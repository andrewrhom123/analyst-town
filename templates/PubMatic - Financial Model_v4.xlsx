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d94eb2d2262879f/Desktop/PUBM/"/>
    </mc:Choice>
  </mc:AlternateContent>
  <xr:revisionPtr revIDLastSave="0" documentId="8_{2CBBDCF2-36F4-4D45-88C6-B1D89933D978}" xr6:coauthVersionLast="47" xr6:coauthVersionMax="47" xr10:uidLastSave="{00000000-0000-0000-0000-000000000000}"/>
  <bookViews>
    <workbookView xWindow="4628" yWindow="-16297" windowWidth="28995" windowHeight="15675" tabRatio="500" xr2:uid="{00000000-000D-0000-FFFF-FFFF00000000}"/>
  </bookViews>
  <sheets>
    <sheet name="Guide" sheetId="1" r:id="rId1"/>
    <sheet name="Summary" sheetId="2" r:id="rId2"/>
    <sheet name="Drivers" sheetId="3" r:id="rId3"/>
    <sheet name="Income Statement" sheetId="4" r:id="rId4"/>
    <sheet name="Balance Sheet" sheetId="5" r:id="rId5"/>
    <sheet name="Cash Flow" sheetId="6" r:id="rId6"/>
    <sheet name="CF YTD Inputs" sheetId="7" r:id="rId7"/>
    <sheet name="10-K Data" sheetId="8" r:id="rId8"/>
    <sheet name="Checks" sheetId="9" r:id="rId9"/>
    <sheet name="Comps" sheetId="10" r:id="rId10"/>
    <sheet name="Valuation Comps" sheetId="13" r:id="rId11"/>
    <sheet name="Infra Trend" sheetId="11" r:id="rId12"/>
    <sheet name="DCF" sheetId="12" r:id="rId13"/>
    <sheet name="Multiples Trade" sheetId="14" r:id="rId14"/>
    <sheet name="PubMatic Data" sheetId="15" r:id="rId15"/>
    <sheet name="Trade Deck Data" sheetId="16" r:id="rId1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I6" i="14" l="1"/>
  <c r="AJ6" i="14"/>
  <c r="AK6" i="14"/>
  <c r="AL6" i="14"/>
  <c r="AM6" i="14"/>
  <c r="AN6" i="14"/>
  <c r="AI7" i="14"/>
  <c r="AJ7" i="14"/>
  <c r="AK7" i="14"/>
  <c r="AL7" i="14"/>
  <c r="AM7" i="14"/>
  <c r="AN7" i="14"/>
  <c r="AI8" i="14"/>
  <c r="AJ8" i="14"/>
  <c r="AK8" i="14"/>
  <c r="AL8" i="14"/>
  <c r="AM8" i="14"/>
  <c r="AN8" i="14"/>
  <c r="AI9" i="14"/>
  <c r="AJ9" i="14"/>
  <c r="AK9" i="14"/>
  <c r="AL9" i="14"/>
  <c r="AM9" i="14"/>
  <c r="AN9" i="14"/>
  <c r="AI10" i="14"/>
  <c r="AJ10" i="14"/>
  <c r="AK10" i="14"/>
  <c r="AL10" i="14"/>
  <c r="AM10" i="14"/>
  <c r="AN10" i="14"/>
  <c r="AI11" i="14"/>
  <c r="AJ11" i="14"/>
  <c r="AK11" i="14"/>
  <c r="AL11" i="14"/>
  <c r="AM11" i="14"/>
  <c r="AN11" i="14"/>
  <c r="AI12" i="14"/>
  <c r="AJ12" i="14"/>
  <c r="AK12" i="14"/>
  <c r="AL12" i="14"/>
  <c r="AM12" i="14"/>
  <c r="AN12" i="14"/>
  <c r="AI13" i="14"/>
  <c r="AJ13" i="14"/>
  <c r="AK13" i="14"/>
  <c r="AL13" i="14"/>
  <c r="AM13" i="14"/>
  <c r="AN13" i="14"/>
  <c r="AI14" i="14"/>
  <c r="AJ14" i="14"/>
  <c r="AK14" i="14"/>
  <c r="AL14" i="14"/>
  <c r="AM14" i="14"/>
  <c r="AN14" i="14"/>
  <c r="AI15" i="14"/>
  <c r="AJ15" i="14"/>
  <c r="AK15" i="14"/>
  <c r="AL15" i="14"/>
  <c r="AM15" i="14"/>
  <c r="AN15" i="14"/>
  <c r="AI16" i="14"/>
  <c r="AJ16" i="14"/>
  <c r="AK16" i="14"/>
  <c r="AL16" i="14"/>
  <c r="AM16" i="14"/>
  <c r="AN16" i="14"/>
  <c r="AI17" i="14"/>
  <c r="AJ17" i="14"/>
  <c r="AK17" i="14"/>
  <c r="AL17" i="14"/>
  <c r="AM17" i="14"/>
  <c r="AN17" i="14"/>
  <c r="AI18" i="14"/>
  <c r="AJ18" i="14"/>
  <c r="AK18" i="14"/>
  <c r="AL18" i="14"/>
  <c r="AM18" i="14"/>
  <c r="AN18" i="14"/>
  <c r="AI19" i="14"/>
  <c r="AJ19" i="14"/>
  <c r="AK19" i="14"/>
  <c r="AL19" i="14"/>
  <c r="AM19" i="14"/>
  <c r="AN19" i="14"/>
  <c r="AI20" i="14"/>
  <c r="AJ20" i="14"/>
  <c r="AK20" i="14"/>
  <c r="AL20" i="14"/>
  <c r="AM20" i="14"/>
  <c r="AN20" i="14"/>
  <c r="AI21" i="14"/>
  <c r="AJ21" i="14"/>
  <c r="AK21" i="14"/>
  <c r="AL21" i="14"/>
  <c r="AM21" i="14"/>
  <c r="AN21" i="14"/>
  <c r="AI22" i="14"/>
  <c r="AJ22" i="14"/>
  <c r="AK22" i="14"/>
  <c r="AL22" i="14"/>
  <c r="AM22" i="14"/>
  <c r="AN22" i="14"/>
  <c r="AI23" i="14"/>
  <c r="AJ23" i="14"/>
  <c r="AK23" i="14"/>
  <c r="AL23" i="14"/>
  <c r="AM23" i="14"/>
  <c r="AN23" i="14"/>
  <c r="AI24" i="14"/>
  <c r="AJ24" i="14"/>
  <c r="AK24" i="14"/>
  <c r="AL24" i="14"/>
  <c r="AM24" i="14"/>
  <c r="AN24" i="14"/>
  <c r="AI25" i="14"/>
  <c r="AJ25" i="14"/>
  <c r="AK25" i="14"/>
  <c r="AL25" i="14"/>
  <c r="AM25" i="14"/>
  <c r="AN25" i="14"/>
  <c r="AI26" i="14"/>
  <c r="AJ26" i="14"/>
  <c r="AK26" i="14"/>
  <c r="AL26" i="14"/>
  <c r="AM26" i="14"/>
  <c r="AN26" i="14"/>
  <c r="AI27" i="14"/>
  <c r="AJ27" i="14"/>
  <c r="AK27" i="14"/>
  <c r="AL27" i="14"/>
  <c r="AM27" i="14"/>
  <c r="AN27" i="14"/>
  <c r="AI28" i="14"/>
  <c r="AJ28" i="14"/>
  <c r="AK28" i="14"/>
  <c r="AL28" i="14"/>
  <c r="AM28" i="14"/>
  <c r="AN28" i="14"/>
  <c r="AI29" i="14"/>
  <c r="AJ29" i="14"/>
  <c r="AK29" i="14"/>
  <c r="AL29" i="14"/>
  <c r="AM29" i="14"/>
  <c r="AN29" i="14"/>
  <c r="AI30" i="14"/>
  <c r="AJ30" i="14"/>
  <c r="AK30" i="14"/>
  <c r="AL30" i="14"/>
  <c r="AM30" i="14"/>
  <c r="AN30" i="14"/>
  <c r="AI31" i="14"/>
  <c r="AJ31" i="14"/>
  <c r="AK31" i="14"/>
  <c r="AL31" i="14"/>
  <c r="AM31" i="14"/>
  <c r="AN31" i="14"/>
  <c r="AI32" i="14"/>
  <c r="AJ32" i="14"/>
  <c r="AK32" i="14"/>
  <c r="AL32" i="14"/>
  <c r="AM32" i="14"/>
  <c r="AN32" i="14"/>
  <c r="AI33" i="14"/>
  <c r="AJ33" i="14"/>
  <c r="AK33" i="14"/>
  <c r="AL33" i="14"/>
  <c r="AM33" i="14"/>
  <c r="AN33" i="14"/>
  <c r="AI34" i="14"/>
  <c r="AJ34" i="14"/>
  <c r="AK34" i="14"/>
  <c r="AL34" i="14"/>
  <c r="AM34" i="14"/>
  <c r="AN34" i="14"/>
  <c r="AI35" i="14"/>
  <c r="AJ35" i="14"/>
  <c r="AK35" i="14"/>
  <c r="AL35" i="14"/>
  <c r="AM35" i="14"/>
  <c r="AN35" i="14"/>
  <c r="AI36" i="14"/>
  <c r="AJ36" i="14"/>
  <c r="AK36" i="14"/>
  <c r="AL36" i="14"/>
  <c r="AM36" i="14"/>
  <c r="AN36" i="14"/>
  <c r="AI37" i="14"/>
  <c r="AJ37" i="14"/>
  <c r="AK37" i="14"/>
  <c r="AL37" i="14"/>
  <c r="AM37" i="14"/>
  <c r="AN37" i="14"/>
  <c r="AI38" i="14"/>
  <c r="AJ38" i="14"/>
  <c r="AK38" i="14"/>
  <c r="AL38" i="14"/>
  <c r="AM38" i="14"/>
  <c r="AN38" i="14"/>
  <c r="AI39" i="14"/>
  <c r="AJ39" i="14"/>
  <c r="AK39" i="14"/>
  <c r="AL39" i="14"/>
  <c r="AM39" i="14"/>
  <c r="AN39" i="14"/>
  <c r="AI40" i="14"/>
  <c r="AJ40" i="14"/>
  <c r="AK40" i="14"/>
  <c r="AL40" i="14"/>
  <c r="AM40" i="14"/>
  <c r="AN40" i="14"/>
  <c r="AI41" i="14"/>
  <c r="AJ41" i="14"/>
  <c r="AK41" i="14"/>
  <c r="AL41" i="14"/>
  <c r="AM41" i="14"/>
  <c r="AN41" i="14"/>
  <c r="AI42" i="14"/>
  <c r="AJ42" i="14"/>
  <c r="AK42" i="14"/>
  <c r="AL42" i="14"/>
  <c r="AM42" i="14"/>
  <c r="AN42" i="14"/>
  <c r="AI43" i="14"/>
  <c r="AJ43" i="14"/>
  <c r="AK43" i="14"/>
  <c r="AL43" i="14"/>
  <c r="AM43" i="14"/>
  <c r="AN43" i="14"/>
  <c r="AI44" i="14"/>
  <c r="AJ44" i="14"/>
  <c r="AK44" i="14"/>
  <c r="AL44" i="14"/>
  <c r="AM44" i="14"/>
  <c r="AN44" i="14"/>
  <c r="AJ45" i="14"/>
  <c r="AL45" i="14"/>
  <c r="AM45" i="14"/>
  <c r="AN45" i="14"/>
  <c r="AI46" i="14"/>
  <c r="AJ46" i="14"/>
  <c r="AK46" i="14"/>
  <c r="AL46" i="14"/>
  <c r="AM46" i="14"/>
  <c r="AN46" i="14"/>
  <c r="AI47" i="14"/>
  <c r="AJ47" i="14"/>
  <c r="AK47" i="14"/>
  <c r="AL47" i="14"/>
  <c r="AM47" i="14"/>
  <c r="AN47" i="14"/>
  <c r="AI48" i="14"/>
  <c r="AJ48" i="14"/>
  <c r="AK48" i="14"/>
  <c r="AL48" i="14"/>
  <c r="AM48" i="14"/>
  <c r="AN48" i="14"/>
  <c r="AI49" i="14"/>
  <c r="AJ49" i="14"/>
  <c r="AK49" i="14"/>
  <c r="AL49" i="14"/>
  <c r="AM49" i="14"/>
  <c r="AN49" i="14"/>
  <c r="AI50" i="14"/>
  <c r="AJ50" i="14"/>
  <c r="AK50" i="14"/>
  <c r="AL50" i="14"/>
  <c r="AM50" i="14"/>
  <c r="AN50" i="14"/>
  <c r="AI51" i="14"/>
  <c r="AJ51" i="14"/>
  <c r="AK51" i="14"/>
  <c r="AL51" i="14"/>
  <c r="AM51" i="14"/>
  <c r="AN51" i="14"/>
  <c r="AI52" i="14"/>
  <c r="AJ52" i="14"/>
  <c r="AK52" i="14"/>
  <c r="AL52" i="14"/>
  <c r="AM52" i="14"/>
  <c r="AN52" i="14"/>
  <c r="AI53" i="14"/>
  <c r="AJ53" i="14"/>
  <c r="AK53" i="14"/>
  <c r="AL53" i="14"/>
  <c r="AM53" i="14"/>
  <c r="AN53" i="14"/>
  <c r="AI54" i="14"/>
  <c r="AJ54" i="14"/>
  <c r="AK54" i="14"/>
  <c r="AL54" i="14"/>
  <c r="AM54" i="14"/>
  <c r="AN54" i="14"/>
  <c r="AI55" i="14"/>
  <c r="AJ55" i="14"/>
  <c r="AK55" i="14"/>
  <c r="AL55" i="14"/>
  <c r="AM55" i="14"/>
  <c r="AN55" i="14"/>
  <c r="AI56" i="14"/>
  <c r="AJ56" i="14"/>
  <c r="AK56" i="14"/>
  <c r="AL56" i="14"/>
  <c r="AM56" i="14"/>
  <c r="AN56" i="14"/>
  <c r="AI57" i="14"/>
  <c r="AJ57" i="14"/>
  <c r="AK57" i="14"/>
  <c r="AL57" i="14"/>
  <c r="AM57" i="14"/>
  <c r="AN57" i="14"/>
  <c r="AI58" i="14"/>
  <c r="AJ58" i="14"/>
  <c r="AK58" i="14"/>
  <c r="AL58" i="14"/>
  <c r="AM58" i="14"/>
  <c r="AN58" i="14"/>
  <c r="AI59" i="14"/>
  <c r="AJ59" i="14"/>
  <c r="AK59" i="14"/>
  <c r="AL59" i="14"/>
  <c r="AM59" i="14"/>
  <c r="AN59" i="14"/>
  <c r="AI60" i="14"/>
  <c r="AJ60" i="14"/>
  <c r="AK60" i="14"/>
  <c r="AL60" i="14"/>
  <c r="AM60" i="14"/>
  <c r="AN60" i="14"/>
  <c r="AI61" i="14"/>
  <c r="AJ61" i="14"/>
  <c r="AK61" i="14"/>
  <c r="AL61" i="14"/>
  <c r="AM61" i="14"/>
  <c r="AN61" i="14"/>
  <c r="AI62" i="14"/>
  <c r="AJ62" i="14"/>
  <c r="AK62" i="14"/>
  <c r="AL62" i="14"/>
  <c r="AM62" i="14"/>
  <c r="AN62" i="14"/>
  <c r="AI63" i="14"/>
  <c r="AJ63" i="14"/>
  <c r="AK63" i="14"/>
  <c r="AL63" i="14"/>
  <c r="AM63" i="14"/>
  <c r="AN63" i="14"/>
  <c r="AI64" i="14"/>
  <c r="AJ64" i="14"/>
  <c r="AK64" i="14"/>
  <c r="AL64" i="14"/>
  <c r="AM64" i="14"/>
  <c r="AN64" i="14"/>
  <c r="AI65" i="14"/>
  <c r="AJ65" i="14"/>
  <c r="AK65" i="14"/>
  <c r="AL65" i="14"/>
  <c r="AM65" i="14"/>
  <c r="AN65" i="14"/>
  <c r="AI66" i="14"/>
  <c r="AJ66" i="14"/>
  <c r="AK66" i="14"/>
  <c r="AL66" i="14"/>
  <c r="AM66" i="14"/>
  <c r="AN66" i="14"/>
  <c r="AI67" i="14"/>
  <c r="AJ67" i="14"/>
  <c r="AK67" i="14"/>
  <c r="AL67" i="14"/>
  <c r="AM67" i="14"/>
  <c r="AN67" i="14"/>
  <c r="AI68" i="14"/>
  <c r="AJ68" i="14"/>
  <c r="AK68" i="14"/>
  <c r="AL68" i="14"/>
  <c r="AM68" i="14"/>
  <c r="AN68" i="14"/>
  <c r="AI69" i="14"/>
  <c r="AJ69" i="14"/>
  <c r="AK69" i="14"/>
  <c r="AL69" i="14"/>
  <c r="AM69" i="14"/>
  <c r="AN69" i="14"/>
  <c r="AI70" i="14"/>
  <c r="AJ70" i="14"/>
  <c r="AK70" i="14"/>
  <c r="AL70" i="14"/>
  <c r="AM70" i="14"/>
  <c r="AN70" i="14"/>
  <c r="AI71" i="14"/>
  <c r="AJ71" i="14"/>
  <c r="AK71" i="14"/>
  <c r="AL71" i="14"/>
  <c r="AM71" i="14"/>
  <c r="AN71" i="14"/>
  <c r="AI72" i="14"/>
  <c r="AJ72" i="14"/>
  <c r="AK72" i="14"/>
  <c r="AL72" i="14"/>
  <c r="AM72" i="14"/>
  <c r="AN72" i="14"/>
  <c r="AI73" i="14"/>
  <c r="AJ73" i="14"/>
  <c r="AK73" i="14"/>
  <c r="AL73" i="14"/>
  <c r="AM73" i="14"/>
  <c r="AN73" i="14"/>
  <c r="AI74" i="14"/>
  <c r="AJ74" i="14"/>
  <c r="AK74" i="14"/>
  <c r="AL74" i="14"/>
  <c r="AM74" i="14"/>
  <c r="AN74" i="14"/>
  <c r="AI75" i="14"/>
  <c r="AJ75" i="14"/>
  <c r="AK75" i="14"/>
  <c r="AL75" i="14"/>
  <c r="AM75" i="14"/>
  <c r="AN75" i="14"/>
  <c r="AI76" i="14"/>
  <c r="AJ76" i="14"/>
  <c r="AK76" i="14"/>
  <c r="AL76" i="14"/>
  <c r="AM76" i="14"/>
  <c r="AN76" i="14"/>
  <c r="AI77" i="14"/>
  <c r="AJ77" i="14"/>
  <c r="AK77" i="14"/>
  <c r="AL77" i="14"/>
  <c r="AM77" i="14"/>
  <c r="AN77" i="14"/>
  <c r="AI78" i="14"/>
  <c r="AJ78" i="14"/>
  <c r="AK78" i="14"/>
  <c r="AL78" i="14"/>
  <c r="AM78" i="14"/>
  <c r="AN78" i="14"/>
  <c r="AI79" i="14"/>
  <c r="AJ79" i="14"/>
  <c r="AK79" i="14"/>
  <c r="AL79" i="14"/>
  <c r="AM79" i="14"/>
  <c r="AN79" i="14"/>
  <c r="AI80" i="14"/>
  <c r="AJ80" i="14"/>
  <c r="AK80" i="14"/>
  <c r="AL80" i="14"/>
  <c r="AM80" i="14"/>
  <c r="AN80" i="14"/>
  <c r="AI81" i="14"/>
  <c r="AJ81" i="14"/>
  <c r="AK81" i="14"/>
  <c r="AL81" i="14"/>
  <c r="AM81" i="14"/>
  <c r="AN81" i="14"/>
  <c r="AI82" i="14"/>
  <c r="AJ82" i="14"/>
  <c r="AK82" i="14"/>
  <c r="AL82" i="14"/>
  <c r="AM82" i="14"/>
  <c r="AN82" i="14"/>
  <c r="AI83" i="14"/>
  <c r="AJ83" i="14"/>
  <c r="AK83" i="14"/>
  <c r="AL83" i="14"/>
  <c r="AM83" i="14"/>
  <c r="AN83" i="14"/>
  <c r="AI84" i="14"/>
  <c r="AJ84" i="14"/>
  <c r="AK84" i="14"/>
  <c r="AL84" i="14"/>
  <c r="AM84" i="14"/>
  <c r="AN84" i="14"/>
  <c r="AI85" i="14"/>
  <c r="AJ85" i="14"/>
  <c r="AK85" i="14"/>
  <c r="AL85" i="14"/>
  <c r="AM85" i="14"/>
  <c r="AN85" i="14"/>
  <c r="AI86" i="14"/>
  <c r="AJ86" i="14"/>
  <c r="AK86" i="14"/>
  <c r="AL86" i="14"/>
  <c r="AM86" i="14"/>
  <c r="AN86" i="14"/>
  <c r="AI87" i="14"/>
  <c r="AJ87" i="14"/>
  <c r="AK87" i="14"/>
  <c r="AL87" i="14"/>
  <c r="AM87" i="14"/>
  <c r="AN87" i="14"/>
  <c r="AI88" i="14"/>
  <c r="AJ88" i="14"/>
  <c r="AK88" i="14"/>
  <c r="AL88" i="14"/>
  <c r="AM88" i="14"/>
  <c r="AN88" i="14"/>
  <c r="AI89" i="14"/>
  <c r="AJ89" i="14"/>
  <c r="AK89" i="14"/>
  <c r="AL89" i="14"/>
  <c r="AM89" i="14"/>
  <c r="AN89" i="14"/>
  <c r="AI90" i="14"/>
  <c r="AJ90" i="14"/>
  <c r="AK90" i="14"/>
  <c r="AL90" i="14"/>
  <c r="AM90" i="14"/>
  <c r="AN90" i="14"/>
  <c r="AI91" i="14"/>
  <c r="AJ91" i="14"/>
  <c r="AK91" i="14"/>
  <c r="AL91" i="14"/>
  <c r="AM91" i="14"/>
  <c r="AN91" i="14"/>
  <c r="AI92" i="14"/>
  <c r="AJ92" i="14"/>
  <c r="AK92" i="14"/>
  <c r="AL92" i="14"/>
  <c r="AM92" i="14"/>
  <c r="AN92" i="14"/>
  <c r="AI93" i="14"/>
  <c r="AJ93" i="14"/>
  <c r="AK93" i="14"/>
  <c r="AL93" i="14"/>
  <c r="AM93" i="14"/>
  <c r="AN93" i="14"/>
  <c r="AI94" i="14"/>
  <c r="AJ94" i="14"/>
  <c r="AK94" i="14"/>
  <c r="AL94" i="14"/>
  <c r="AM94" i="14"/>
  <c r="AN94" i="14"/>
  <c r="AI95" i="14"/>
  <c r="AJ95" i="14"/>
  <c r="AK95" i="14"/>
  <c r="AL95" i="14"/>
  <c r="AM95" i="14"/>
  <c r="AN95" i="14"/>
  <c r="AI96" i="14"/>
  <c r="AJ96" i="14"/>
  <c r="AK96" i="14"/>
  <c r="AL96" i="14"/>
  <c r="AM96" i="14"/>
  <c r="AN96" i="14"/>
  <c r="AI97" i="14"/>
  <c r="AJ97" i="14"/>
  <c r="AK97" i="14"/>
  <c r="AL97" i="14"/>
  <c r="AM97" i="14"/>
  <c r="AN97" i="14"/>
  <c r="AI98" i="14"/>
  <c r="AJ98" i="14"/>
  <c r="AK98" i="14"/>
  <c r="AL98" i="14"/>
  <c r="AM98" i="14"/>
  <c r="AN98" i="14"/>
  <c r="AI99" i="14"/>
  <c r="AJ99" i="14"/>
  <c r="AK99" i="14"/>
  <c r="AL99" i="14"/>
  <c r="AM99" i="14"/>
  <c r="AN99" i="14"/>
  <c r="AI100" i="14"/>
  <c r="AJ100" i="14"/>
  <c r="AK100" i="14"/>
  <c r="AL100" i="14"/>
  <c r="AM100" i="14"/>
  <c r="AN100" i="14"/>
  <c r="AI101" i="14"/>
  <c r="AJ101" i="14"/>
  <c r="AK101" i="14"/>
  <c r="AL101" i="14"/>
  <c r="AM101" i="14"/>
  <c r="AN101" i="14"/>
  <c r="AI102" i="14"/>
  <c r="AJ102" i="14"/>
  <c r="AK102" i="14"/>
  <c r="AL102" i="14"/>
  <c r="AM102" i="14"/>
  <c r="AN102" i="14"/>
  <c r="AI103" i="14"/>
  <c r="AJ103" i="14"/>
  <c r="AK103" i="14"/>
  <c r="AL103" i="14"/>
  <c r="AM103" i="14"/>
  <c r="AN103" i="14"/>
  <c r="AI104" i="14"/>
  <c r="AJ104" i="14"/>
  <c r="AK104" i="14"/>
  <c r="AL104" i="14"/>
  <c r="AM104" i="14"/>
  <c r="AN104" i="14"/>
  <c r="AI105" i="14"/>
  <c r="AJ105" i="14"/>
  <c r="AK105" i="14"/>
  <c r="AL105" i="14"/>
  <c r="AM105" i="14"/>
  <c r="AN105" i="14"/>
  <c r="AI106" i="14"/>
  <c r="AJ106" i="14"/>
  <c r="AK106" i="14"/>
  <c r="AL106" i="14"/>
  <c r="AM106" i="14"/>
  <c r="AN106" i="14"/>
  <c r="AJ107" i="14"/>
  <c r="AL107" i="14"/>
  <c r="AM107" i="14"/>
  <c r="AN107" i="14"/>
  <c r="AI108" i="14"/>
  <c r="AJ108" i="14"/>
  <c r="AK108" i="14"/>
  <c r="AL108" i="14"/>
  <c r="AM108" i="14"/>
  <c r="AN108" i="14"/>
  <c r="AI109" i="14"/>
  <c r="AJ109" i="14"/>
  <c r="AK109" i="14"/>
  <c r="AL109" i="14"/>
  <c r="AM109" i="14"/>
  <c r="AN109" i="14"/>
  <c r="AI110" i="14"/>
  <c r="AJ110" i="14"/>
  <c r="AK110" i="14"/>
  <c r="AL110" i="14"/>
  <c r="AM110" i="14"/>
  <c r="AN110" i="14"/>
  <c r="AI111" i="14"/>
  <c r="AJ111" i="14"/>
  <c r="AK111" i="14"/>
  <c r="AL111" i="14"/>
  <c r="AM111" i="14"/>
  <c r="AN111" i="14"/>
  <c r="AI112" i="14"/>
  <c r="AJ112" i="14"/>
  <c r="AK112" i="14"/>
  <c r="AL112" i="14"/>
  <c r="AM112" i="14"/>
  <c r="AN112" i="14"/>
  <c r="AI113" i="14"/>
  <c r="AJ113" i="14"/>
  <c r="AK113" i="14"/>
  <c r="AL113" i="14"/>
  <c r="AM113" i="14"/>
  <c r="AN113" i="14"/>
  <c r="AI114" i="14"/>
  <c r="AJ114" i="14"/>
  <c r="AK114" i="14"/>
  <c r="AL114" i="14"/>
  <c r="AM114" i="14"/>
  <c r="AN114" i="14"/>
  <c r="AI115" i="14"/>
  <c r="AJ115" i="14"/>
  <c r="AK115" i="14"/>
  <c r="AL115" i="14"/>
  <c r="AM115" i="14"/>
  <c r="AN115" i="14"/>
  <c r="AI116" i="14"/>
  <c r="AJ116" i="14"/>
  <c r="AK116" i="14"/>
  <c r="AL116" i="14"/>
  <c r="AM116" i="14"/>
  <c r="AN116" i="14"/>
  <c r="AI117" i="14"/>
  <c r="AJ117" i="14"/>
  <c r="AK117" i="14"/>
  <c r="AL117" i="14"/>
  <c r="AM117" i="14"/>
  <c r="AN117" i="14"/>
  <c r="AI118" i="14"/>
  <c r="AJ118" i="14"/>
  <c r="AK118" i="14"/>
  <c r="AL118" i="14"/>
  <c r="AM118" i="14"/>
  <c r="AN118" i="14"/>
  <c r="AI119" i="14"/>
  <c r="AJ119" i="14"/>
  <c r="AK119" i="14"/>
  <c r="AL119" i="14"/>
  <c r="AM119" i="14"/>
  <c r="AN119" i="14"/>
  <c r="AI120" i="14"/>
  <c r="AJ120" i="14"/>
  <c r="AK120" i="14"/>
  <c r="AL120" i="14"/>
  <c r="AM120" i="14"/>
  <c r="AN120" i="14"/>
  <c r="AI121" i="14"/>
  <c r="AJ121" i="14"/>
  <c r="AK121" i="14"/>
  <c r="AL121" i="14"/>
  <c r="AM121" i="14"/>
  <c r="AN121" i="14"/>
  <c r="AI122" i="14"/>
  <c r="AJ122" i="14"/>
  <c r="AK122" i="14"/>
  <c r="AL122" i="14"/>
  <c r="AM122" i="14"/>
  <c r="AN122" i="14"/>
  <c r="AI123" i="14"/>
  <c r="AJ123" i="14"/>
  <c r="AK123" i="14"/>
  <c r="AL123" i="14"/>
  <c r="AM123" i="14"/>
  <c r="AN123" i="14"/>
  <c r="AI124" i="14"/>
  <c r="AJ124" i="14"/>
  <c r="AK124" i="14"/>
  <c r="AL124" i="14"/>
  <c r="AM124" i="14"/>
  <c r="AN124" i="14"/>
  <c r="AI125" i="14"/>
  <c r="AJ125" i="14"/>
  <c r="AK125" i="14"/>
  <c r="AL125" i="14"/>
  <c r="AM125" i="14"/>
  <c r="AN125" i="14"/>
  <c r="AI126" i="14"/>
  <c r="AJ126" i="14"/>
  <c r="AK126" i="14"/>
  <c r="AL126" i="14"/>
  <c r="AM126" i="14"/>
  <c r="AN126" i="14"/>
  <c r="AI127" i="14"/>
  <c r="AJ127" i="14"/>
  <c r="AK127" i="14"/>
  <c r="AL127" i="14"/>
  <c r="AM127" i="14"/>
  <c r="AN127" i="14"/>
  <c r="AI128" i="14"/>
  <c r="AJ128" i="14"/>
  <c r="AK128" i="14"/>
  <c r="AL128" i="14"/>
  <c r="AM128" i="14"/>
  <c r="AN128" i="14"/>
  <c r="AI129" i="14"/>
  <c r="AJ129" i="14"/>
  <c r="AK129" i="14"/>
  <c r="AL129" i="14"/>
  <c r="AM129" i="14"/>
  <c r="AN129" i="14"/>
  <c r="AI130" i="14"/>
  <c r="AJ130" i="14"/>
  <c r="AK130" i="14"/>
  <c r="AL130" i="14"/>
  <c r="AM130" i="14"/>
  <c r="AN130" i="14"/>
  <c r="AI131" i="14"/>
  <c r="AJ131" i="14"/>
  <c r="AK131" i="14"/>
  <c r="AL131" i="14"/>
  <c r="AM131" i="14"/>
  <c r="AN131" i="14"/>
  <c r="AI132" i="14"/>
  <c r="AJ132" i="14"/>
  <c r="AK132" i="14"/>
  <c r="AL132" i="14"/>
  <c r="AM132" i="14"/>
  <c r="AN132" i="14"/>
  <c r="AI133" i="14"/>
  <c r="AJ133" i="14"/>
  <c r="AK133" i="14"/>
  <c r="AL133" i="14"/>
  <c r="AM133" i="14"/>
  <c r="AN133" i="14"/>
  <c r="AI134" i="14"/>
  <c r="AJ134" i="14"/>
  <c r="AK134" i="14"/>
  <c r="AL134" i="14"/>
  <c r="AM134" i="14"/>
  <c r="AN134" i="14"/>
  <c r="AI135" i="14"/>
  <c r="AJ135" i="14"/>
  <c r="AK135" i="14"/>
  <c r="AL135" i="14"/>
  <c r="AM135" i="14"/>
  <c r="AN135" i="14"/>
  <c r="AI136" i="14"/>
  <c r="AJ136" i="14"/>
  <c r="AK136" i="14"/>
  <c r="AL136" i="14"/>
  <c r="AM136" i="14"/>
  <c r="AN136" i="14"/>
  <c r="AI137" i="14"/>
  <c r="AJ137" i="14"/>
  <c r="AK137" i="14"/>
  <c r="AL137" i="14"/>
  <c r="AM137" i="14"/>
  <c r="AN137" i="14"/>
  <c r="AI138" i="14"/>
  <c r="AJ138" i="14"/>
  <c r="AK138" i="14"/>
  <c r="AL138" i="14"/>
  <c r="AM138" i="14"/>
  <c r="AN138" i="14"/>
  <c r="AI139" i="14"/>
  <c r="AJ139" i="14"/>
  <c r="AK139" i="14"/>
  <c r="AL139" i="14"/>
  <c r="AM139" i="14"/>
  <c r="AN139" i="14"/>
  <c r="AI140" i="14"/>
  <c r="AJ140" i="14"/>
  <c r="AK140" i="14"/>
  <c r="AL140" i="14"/>
  <c r="AM140" i="14"/>
  <c r="AN140" i="14"/>
  <c r="AI141" i="14"/>
  <c r="AJ141" i="14"/>
  <c r="AK141" i="14"/>
  <c r="AL141" i="14"/>
  <c r="AM141" i="14"/>
  <c r="AN141" i="14"/>
  <c r="AI142" i="14"/>
  <c r="AJ142" i="14"/>
  <c r="AK142" i="14"/>
  <c r="AL142" i="14"/>
  <c r="AM142" i="14"/>
  <c r="AN142" i="14"/>
  <c r="AI143" i="14"/>
  <c r="AJ143" i="14"/>
  <c r="AK143" i="14"/>
  <c r="AL143" i="14"/>
  <c r="AM143" i="14"/>
  <c r="AN143" i="14"/>
  <c r="AI144" i="14"/>
  <c r="AJ144" i="14"/>
  <c r="AK144" i="14"/>
  <c r="AL144" i="14"/>
  <c r="AM144" i="14"/>
  <c r="AN144" i="14"/>
  <c r="AI145" i="14"/>
  <c r="AJ145" i="14"/>
  <c r="AK145" i="14"/>
  <c r="AL145" i="14"/>
  <c r="AM145" i="14"/>
  <c r="AN145" i="14"/>
  <c r="AI146" i="14"/>
  <c r="AJ146" i="14"/>
  <c r="AK146" i="14"/>
  <c r="AL146" i="14"/>
  <c r="AM146" i="14"/>
  <c r="AN146" i="14"/>
  <c r="AI147" i="14"/>
  <c r="AJ147" i="14"/>
  <c r="AK147" i="14"/>
  <c r="AL147" i="14"/>
  <c r="AM147" i="14"/>
  <c r="AN147" i="14"/>
  <c r="AI148" i="14"/>
  <c r="AJ148" i="14"/>
  <c r="AK148" i="14"/>
  <c r="AL148" i="14"/>
  <c r="AM148" i="14"/>
  <c r="AN148" i="14"/>
  <c r="AI149" i="14"/>
  <c r="AJ149" i="14"/>
  <c r="AK149" i="14"/>
  <c r="AL149" i="14"/>
  <c r="AM149" i="14"/>
  <c r="AN149" i="14"/>
  <c r="AI150" i="14"/>
  <c r="AJ150" i="14"/>
  <c r="AK150" i="14"/>
  <c r="AL150" i="14"/>
  <c r="AM150" i="14"/>
  <c r="AN150" i="14"/>
  <c r="AI151" i="14"/>
  <c r="AJ151" i="14"/>
  <c r="AK151" i="14"/>
  <c r="AL151" i="14"/>
  <c r="AM151" i="14"/>
  <c r="AN151" i="14"/>
  <c r="AI152" i="14"/>
  <c r="AJ152" i="14"/>
  <c r="AK152" i="14"/>
  <c r="AL152" i="14"/>
  <c r="AM152" i="14"/>
  <c r="AN152" i="14"/>
  <c r="AI153" i="14"/>
  <c r="AJ153" i="14"/>
  <c r="AK153" i="14"/>
  <c r="AL153" i="14"/>
  <c r="AM153" i="14"/>
  <c r="AN153" i="14"/>
  <c r="AI154" i="14"/>
  <c r="AJ154" i="14"/>
  <c r="AK154" i="14"/>
  <c r="AL154" i="14"/>
  <c r="AM154" i="14"/>
  <c r="AN154" i="14"/>
  <c r="AI155" i="14"/>
  <c r="AJ155" i="14"/>
  <c r="AK155" i="14"/>
  <c r="AL155" i="14"/>
  <c r="AM155" i="14"/>
  <c r="AN155" i="14"/>
  <c r="AJ156" i="14"/>
  <c r="AL156" i="14"/>
  <c r="AM156" i="14"/>
  <c r="AN156" i="14"/>
  <c r="AI157" i="14"/>
  <c r="AJ157" i="14"/>
  <c r="AK157" i="14"/>
  <c r="AL157" i="14"/>
  <c r="AM157" i="14"/>
  <c r="AN157" i="14"/>
  <c r="AI158" i="14"/>
  <c r="AJ158" i="14"/>
  <c r="AK158" i="14"/>
  <c r="AL158" i="14"/>
  <c r="AM158" i="14"/>
  <c r="AN158" i="14"/>
  <c r="AI159" i="14"/>
  <c r="AJ159" i="14"/>
  <c r="AK159" i="14"/>
  <c r="AL159" i="14"/>
  <c r="AM159" i="14"/>
  <c r="AN159" i="14"/>
  <c r="AI160" i="14"/>
  <c r="AJ160" i="14"/>
  <c r="AK160" i="14"/>
  <c r="AL160" i="14"/>
  <c r="AM160" i="14"/>
  <c r="AN160" i="14"/>
  <c r="AI161" i="14"/>
  <c r="AJ161" i="14"/>
  <c r="AK161" i="14"/>
  <c r="AL161" i="14"/>
  <c r="AM161" i="14"/>
  <c r="AN161" i="14"/>
  <c r="AI162" i="14"/>
  <c r="AJ162" i="14"/>
  <c r="AK162" i="14"/>
  <c r="AL162" i="14"/>
  <c r="AM162" i="14"/>
  <c r="AN162" i="14"/>
  <c r="AI163" i="14"/>
  <c r="AJ163" i="14"/>
  <c r="AK163" i="14"/>
  <c r="AL163" i="14"/>
  <c r="AM163" i="14"/>
  <c r="AN163" i="14"/>
  <c r="AI164" i="14"/>
  <c r="AJ164" i="14"/>
  <c r="AK164" i="14"/>
  <c r="AL164" i="14"/>
  <c r="AM164" i="14"/>
  <c r="AN164" i="14"/>
  <c r="AI165" i="14"/>
  <c r="AJ165" i="14"/>
  <c r="AK165" i="14"/>
  <c r="AL165" i="14"/>
  <c r="AM165" i="14"/>
  <c r="AN165" i="14"/>
  <c r="AI166" i="14"/>
  <c r="AJ166" i="14"/>
  <c r="AK166" i="14"/>
  <c r="AL166" i="14"/>
  <c r="AM166" i="14"/>
  <c r="AN166" i="14"/>
  <c r="AI167" i="14"/>
  <c r="AJ167" i="14"/>
  <c r="AK167" i="14"/>
  <c r="AL167" i="14"/>
  <c r="AM167" i="14"/>
  <c r="AN167" i="14"/>
  <c r="AI168" i="14"/>
  <c r="AJ168" i="14"/>
  <c r="AK168" i="14"/>
  <c r="AL168" i="14"/>
  <c r="AM168" i="14"/>
  <c r="AN168" i="14"/>
  <c r="AI169" i="14"/>
  <c r="AJ169" i="14"/>
  <c r="AK169" i="14"/>
  <c r="AL169" i="14"/>
  <c r="AM169" i="14"/>
  <c r="AN169" i="14"/>
  <c r="AI170" i="14"/>
  <c r="AJ170" i="14"/>
  <c r="AK170" i="14"/>
  <c r="AL170" i="14"/>
  <c r="AM170" i="14"/>
  <c r="AN170" i="14"/>
  <c r="AI171" i="14"/>
  <c r="AJ171" i="14"/>
  <c r="AK171" i="14"/>
  <c r="AL171" i="14"/>
  <c r="AM171" i="14"/>
  <c r="AN171" i="14"/>
  <c r="AI172" i="14"/>
  <c r="AJ172" i="14"/>
  <c r="AK172" i="14"/>
  <c r="AL172" i="14"/>
  <c r="AM172" i="14"/>
  <c r="AN172" i="14"/>
  <c r="AI173" i="14"/>
  <c r="AJ173" i="14"/>
  <c r="AK173" i="14"/>
  <c r="AL173" i="14"/>
  <c r="AM173" i="14"/>
  <c r="AN173" i="14"/>
  <c r="AI174" i="14"/>
  <c r="AJ174" i="14"/>
  <c r="AK174" i="14"/>
  <c r="AL174" i="14"/>
  <c r="AM174" i="14"/>
  <c r="AN174" i="14"/>
  <c r="AI175" i="14"/>
  <c r="AJ175" i="14"/>
  <c r="AK175" i="14"/>
  <c r="AL175" i="14"/>
  <c r="AM175" i="14"/>
  <c r="AN175" i="14"/>
  <c r="AI176" i="14"/>
  <c r="AJ176" i="14"/>
  <c r="AK176" i="14"/>
  <c r="AL176" i="14"/>
  <c r="AM176" i="14"/>
  <c r="AN176" i="14"/>
  <c r="AI177" i="14"/>
  <c r="AJ177" i="14"/>
  <c r="AK177" i="14"/>
  <c r="AL177" i="14"/>
  <c r="AM177" i="14"/>
  <c r="AN177" i="14"/>
  <c r="AI178" i="14"/>
  <c r="AJ178" i="14"/>
  <c r="AK178" i="14"/>
  <c r="AL178" i="14"/>
  <c r="AM178" i="14"/>
  <c r="AN178" i="14"/>
  <c r="AI179" i="14"/>
  <c r="AJ179" i="14"/>
  <c r="AK179" i="14"/>
  <c r="AL179" i="14"/>
  <c r="AM179" i="14"/>
  <c r="AN179" i="14"/>
  <c r="AI180" i="14"/>
  <c r="AJ180" i="14"/>
  <c r="AK180" i="14"/>
  <c r="AL180" i="14"/>
  <c r="AM180" i="14"/>
  <c r="AN180" i="14"/>
  <c r="AI181" i="14"/>
  <c r="AJ181" i="14"/>
  <c r="AK181" i="14"/>
  <c r="AL181" i="14"/>
  <c r="AM181" i="14"/>
  <c r="AN181" i="14"/>
  <c r="AI182" i="14"/>
  <c r="AJ182" i="14"/>
  <c r="AK182" i="14"/>
  <c r="AL182" i="14"/>
  <c r="AM182" i="14"/>
  <c r="AN182" i="14"/>
  <c r="AI183" i="14"/>
  <c r="AJ183" i="14"/>
  <c r="AK183" i="14"/>
  <c r="AL183" i="14"/>
  <c r="AM183" i="14"/>
  <c r="AN183" i="14"/>
  <c r="AI184" i="14"/>
  <c r="AJ184" i="14"/>
  <c r="AK184" i="14"/>
  <c r="AL184" i="14"/>
  <c r="AM184" i="14"/>
  <c r="AN184" i="14"/>
  <c r="AI185" i="14"/>
  <c r="AJ185" i="14"/>
  <c r="AK185" i="14"/>
  <c r="AL185" i="14"/>
  <c r="AM185" i="14"/>
  <c r="AN185" i="14"/>
  <c r="AI186" i="14"/>
  <c r="AJ186" i="14"/>
  <c r="AK186" i="14"/>
  <c r="AL186" i="14"/>
  <c r="AM186" i="14"/>
  <c r="AN186" i="14"/>
  <c r="AI187" i="14"/>
  <c r="AJ187" i="14"/>
  <c r="AK187" i="14"/>
  <c r="AL187" i="14"/>
  <c r="AM187" i="14"/>
  <c r="AN187" i="14"/>
  <c r="AI188" i="14"/>
  <c r="AJ188" i="14"/>
  <c r="AK188" i="14"/>
  <c r="AL188" i="14"/>
  <c r="AM188" i="14"/>
  <c r="AN188" i="14"/>
  <c r="AI189" i="14"/>
  <c r="AJ189" i="14"/>
  <c r="AK189" i="14"/>
  <c r="AL189" i="14"/>
  <c r="AM189" i="14"/>
  <c r="AN189" i="14"/>
  <c r="AI190" i="14"/>
  <c r="AJ190" i="14"/>
  <c r="AK190" i="14"/>
  <c r="AL190" i="14"/>
  <c r="AM190" i="14"/>
  <c r="AN190" i="14"/>
  <c r="AI191" i="14"/>
  <c r="AJ191" i="14"/>
  <c r="AK191" i="14"/>
  <c r="AL191" i="14"/>
  <c r="AM191" i="14"/>
  <c r="AN191" i="14"/>
  <c r="AI192" i="14"/>
  <c r="AJ192" i="14"/>
  <c r="AK192" i="14"/>
  <c r="AL192" i="14"/>
  <c r="AM192" i="14"/>
  <c r="AN192" i="14"/>
  <c r="AI193" i="14"/>
  <c r="AJ193" i="14"/>
  <c r="AK193" i="14"/>
  <c r="AL193" i="14"/>
  <c r="AM193" i="14"/>
  <c r="AN193" i="14"/>
  <c r="AI194" i="14"/>
  <c r="AJ194" i="14"/>
  <c r="AK194" i="14"/>
  <c r="AL194" i="14"/>
  <c r="AM194" i="14"/>
  <c r="AN194" i="14"/>
  <c r="AI195" i="14"/>
  <c r="AJ195" i="14"/>
  <c r="AK195" i="14"/>
  <c r="AL195" i="14"/>
  <c r="AM195" i="14"/>
  <c r="AN195" i="14"/>
  <c r="AI196" i="14"/>
  <c r="AJ196" i="14"/>
  <c r="AK196" i="14"/>
  <c r="AL196" i="14"/>
  <c r="AM196" i="14"/>
  <c r="AN196" i="14"/>
  <c r="AI197" i="14"/>
  <c r="AJ197" i="14"/>
  <c r="AK197" i="14"/>
  <c r="AL197" i="14"/>
  <c r="AM197" i="14"/>
  <c r="AN197" i="14"/>
  <c r="AI198" i="14"/>
  <c r="AJ198" i="14"/>
  <c r="AK198" i="14"/>
  <c r="AL198" i="14"/>
  <c r="AM198" i="14"/>
  <c r="AN198" i="14"/>
  <c r="AI199" i="14"/>
  <c r="AJ199" i="14"/>
  <c r="AK199" i="14"/>
  <c r="AL199" i="14"/>
  <c r="AM199" i="14"/>
  <c r="AN199" i="14"/>
  <c r="AI200" i="14"/>
  <c r="AJ200" i="14"/>
  <c r="AK200" i="14"/>
  <c r="AL200" i="14"/>
  <c r="AM200" i="14"/>
  <c r="AN200" i="14"/>
  <c r="AI201" i="14"/>
  <c r="AJ201" i="14"/>
  <c r="AK201" i="14"/>
  <c r="AL201" i="14"/>
  <c r="AM201" i="14"/>
  <c r="AN201" i="14"/>
  <c r="AI202" i="14"/>
  <c r="AJ202" i="14"/>
  <c r="AK202" i="14"/>
  <c r="AL202" i="14"/>
  <c r="AM202" i="14"/>
  <c r="AN202" i="14"/>
  <c r="AI203" i="14"/>
  <c r="AJ203" i="14"/>
  <c r="AK203" i="14"/>
  <c r="AL203" i="14"/>
  <c r="AM203" i="14"/>
  <c r="AN203" i="14"/>
  <c r="AI204" i="14"/>
  <c r="AJ204" i="14"/>
  <c r="AK204" i="14"/>
  <c r="AL204" i="14"/>
  <c r="AM204" i="14"/>
  <c r="AN204" i="14"/>
  <c r="AI205" i="14"/>
  <c r="AJ205" i="14"/>
  <c r="AK205" i="14"/>
  <c r="AL205" i="14"/>
  <c r="AM205" i="14"/>
  <c r="AN205" i="14"/>
  <c r="AI206" i="14"/>
  <c r="AJ206" i="14"/>
  <c r="AK206" i="14"/>
  <c r="AL206" i="14"/>
  <c r="AM206" i="14"/>
  <c r="AN206" i="14"/>
  <c r="AI207" i="14"/>
  <c r="AJ207" i="14"/>
  <c r="AK207" i="14"/>
  <c r="AL207" i="14"/>
  <c r="AM207" i="14"/>
  <c r="AN207" i="14"/>
  <c r="AI208" i="14"/>
  <c r="AJ208" i="14"/>
  <c r="AK208" i="14"/>
  <c r="AL208" i="14"/>
  <c r="AM208" i="14"/>
  <c r="AN208" i="14"/>
  <c r="AI209" i="14"/>
  <c r="AJ209" i="14"/>
  <c r="AK209" i="14"/>
  <c r="AL209" i="14"/>
  <c r="AM209" i="14"/>
  <c r="AN209" i="14"/>
  <c r="AI210" i="14"/>
  <c r="AJ210" i="14"/>
  <c r="AK210" i="14"/>
  <c r="AL210" i="14"/>
  <c r="AM210" i="14"/>
  <c r="AN210" i="14"/>
  <c r="AI211" i="14"/>
  <c r="AJ211" i="14"/>
  <c r="AK211" i="14"/>
  <c r="AL211" i="14"/>
  <c r="AM211" i="14"/>
  <c r="AN211" i="14"/>
  <c r="AI212" i="14"/>
  <c r="AJ212" i="14"/>
  <c r="AK212" i="14"/>
  <c r="AL212" i="14"/>
  <c r="AM212" i="14"/>
  <c r="AN212" i="14"/>
  <c r="AI213" i="14"/>
  <c r="AJ213" i="14"/>
  <c r="AK213" i="14"/>
  <c r="AL213" i="14"/>
  <c r="AM213" i="14"/>
  <c r="AN213" i="14"/>
  <c r="AI214" i="14"/>
  <c r="AJ214" i="14"/>
  <c r="AK214" i="14"/>
  <c r="AL214" i="14"/>
  <c r="AM214" i="14"/>
  <c r="AN214" i="14"/>
  <c r="AI215" i="14"/>
  <c r="AJ215" i="14"/>
  <c r="AK215" i="14"/>
  <c r="AL215" i="14"/>
  <c r="AM215" i="14"/>
  <c r="AN215" i="14"/>
  <c r="AI216" i="14"/>
  <c r="AJ216" i="14"/>
  <c r="AK216" i="14"/>
  <c r="AL216" i="14"/>
  <c r="AM216" i="14"/>
  <c r="AN216" i="14"/>
  <c r="AI217" i="14"/>
  <c r="AJ217" i="14"/>
  <c r="AK217" i="14"/>
  <c r="AL217" i="14"/>
  <c r="AM217" i="14"/>
  <c r="AN217" i="14"/>
  <c r="AI218" i="14"/>
  <c r="AJ218" i="14"/>
  <c r="AK218" i="14"/>
  <c r="AL218" i="14"/>
  <c r="AM218" i="14"/>
  <c r="AN218" i="14"/>
  <c r="AI219" i="14"/>
  <c r="AJ219" i="14"/>
  <c r="AK219" i="14"/>
  <c r="AL219" i="14"/>
  <c r="AM219" i="14"/>
  <c r="AN219" i="14"/>
  <c r="AI220" i="14"/>
  <c r="AJ220" i="14"/>
  <c r="AK220" i="14"/>
  <c r="AL220" i="14"/>
  <c r="AM220" i="14"/>
  <c r="AN220" i="14"/>
  <c r="AI221" i="14"/>
  <c r="AJ221" i="14"/>
  <c r="AK221" i="14"/>
  <c r="AL221" i="14"/>
  <c r="AM221" i="14"/>
  <c r="AN221" i="14"/>
  <c r="AI222" i="14"/>
  <c r="AJ222" i="14"/>
  <c r="AK222" i="14"/>
  <c r="AL222" i="14"/>
  <c r="AM222" i="14"/>
  <c r="AN222" i="14"/>
  <c r="AI223" i="14"/>
  <c r="AJ223" i="14"/>
  <c r="AK223" i="14"/>
  <c r="AL223" i="14"/>
  <c r="AM223" i="14"/>
  <c r="AN223" i="14"/>
  <c r="AI224" i="14"/>
  <c r="AJ224" i="14"/>
  <c r="AK224" i="14"/>
  <c r="AL224" i="14"/>
  <c r="AM224" i="14"/>
  <c r="AN224" i="14"/>
  <c r="AI225" i="14"/>
  <c r="AJ225" i="14"/>
  <c r="AK225" i="14"/>
  <c r="AL225" i="14"/>
  <c r="AM225" i="14"/>
  <c r="AN225" i="14"/>
  <c r="AI226" i="14"/>
  <c r="AJ226" i="14"/>
  <c r="AK226" i="14"/>
  <c r="AL226" i="14"/>
  <c r="AM226" i="14"/>
  <c r="AN226" i="14"/>
  <c r="AI227" i="14"/>
  <c r="AJ227" i="14"/>
  <c r="AK227" i="14"/>
  <c r="AL227" i="14"/>
  <c r="AM227" i="14"/>
  <c r="AN227" i="14"/>
  <c r="AI228" i="14"/>
  <c r="AJ228" i="14"/>
  <c r="AK228" i="14"/>
  <c r="AL228" i="14"/>
  <c r="AM228" i="14"/>
  <c r="AN228" i="14"/>
  <c r="AJ229" i="14"/>
  <c r="AL229" i="14"/>
  <c r="AM229" i="14"/>
  <c r="AN229" i="14"/>
  <c r="AI230" i="14"/>
  <c r="AJ230" i="14"/>
  <c r="AK230" i="14"/>
  <c r="AL230" i="14"/>
  <c r="AM230" i="14"/>
  <c r="AN230" i="14"/>
  <c r="AI231" i="14"/>
  <c r="AJ231" i="14"/>
  <c r="AK231" i="14"/>
  <c r="AL231" i="14"/>
  <c r="AM231" i="14"/>
  <c r="AN231" i="14"/>
  <c r="AI232" i="14"/>
  <c r="AJ232" i="14"/>
  <c r="AK232" i="14"/>
  <c r="AL232" i="14"/>
  <c r="AM232" i="14"/>
  <c r="AN232" i="14"/>
  <c r="AI233" i="14"/>
  <c r="AJ233" i="14"/>
  <c r="AK233" i="14"/>
  <c r="AL233" i="14"/>
  <c r="AM233" i="14"/>
  <c r="AN233" i="14"/>
  <c r="AI234" i="14"/>
  <c r="AJ234" i="14"/>
  <c r="AK234" i="14"/>
  <c r="AL234" i="14"/>
  <c r="AM234" i="14"/>
  <c r="AN234" i="14"/>
  <c r="AI235" i="14"/>
  <c r="AJ235" i="14"/>
  <c r="AK235" i="14"/>
  <c r="AL235" i="14"/>
  <c r="AM235" i="14"/>
  <c r="AN235" i="14"/>
  <c r="AI236" i="14"/>
  <c r="AJ236" i="14"/>
  <c r="AK236" i="14"/>
  <c r="AL236" i="14"/>
  <c r="AM236" i="14"/>
  <c r="AN236" i="14"/>
  <c r="AI237" i="14"/>
  <c r="AJ237" i="14"/>
  <c r="AK237" i="14"/>
  <c r="AL237" i="14"/>
  <c r="AM237" i="14"/>
  <c r="AN237" i="14"/>
  <c r="AI238" i="14"/>
  <c r="AJ238" i="14"/>
  <c r="AK238" i="14"/>
  <c r="AL238" i="14"/>
  <c r="AM238" i="14"/>
  <c r="AN238" i="14"/>
  <c r="AI239" i="14"/>
  <c r="AJ239" i="14"/>
  <c r="AK239" i="14"/>
  <c r="AL239" i="14"/>
  <c r="AM239" i="14"/>
  <c r="AN239" i="14"/>
  <c r="AI240" i="14"/>
  <c r="AJ240" i="14"/>
  <c r="AK240" i="14"/>
  <c r="AL240" i="14"/>
  <c r="AM240" i="14"/>
  <c r="AN240" i="14"/>
  <c r="AI241" i="14"/>
  <c r="AJ241" i="14"/>
  <c r="AK241" i="14"/>
  <c r="AL241" i="14"/>
  <c r="AM241" i="14"/>
  <c r="AN241" i="14"/>
  <c r="AI242" i="14"/>
  <c r="AJ242" i="14"/>
  <c r="AK242" i="14"/>
  <c r="AL242" i="14"/>
  <c r="AM242" i="14"/>
  <c r="AN242" i="14"/>
  <c r="AI243" i="14"/>
  <c r="AJ243" i="14"/>
  <c r="AK243" i="14"/>
  <c r="AL243" i="14"/>
  <c r="AM243" i="14"/>
  <c r="AN243" i="14"/>
  <c r="AI244" i="14"/>
  <c r="AJ244" i="14"/>
  <c r="AK244" i="14"/>
  <c r="AL244" i="14"/>
  <c r="AM244" i="14"/>
  <c r="AN244" i="14"/>
  <c r="AI245" i="14"/>
  <c r="AJ245" i="14"/>
  <c r="AK245" i="14"/>
  <c r="AL245" i="14"/>
  <c r="AM245" i="14"/>
  <c r="AN245" i="14"/>
  <c r="AI246" i="14"/>
  <c r="AJ246" i="14"/>
  <c r="AK246" i="14"/>
  <c r="AL246" i="14"/>
  <c r="AM246" i="14"/>
  <c r="AN246" i="14"/>
  <c r="AI247" i="14"/>
  <c r="AJ247" i="14"/>
  <c r="AK247" i="14"/>
  <c r="AL247" i="14"/>
  <c r="AM247" i="14"/>
  <c r="AN247" i="14"/>
  <c r="AI248" i="14"/>
  <c r="AJ248" i="14"/>
  <c r="AK248" i="14"/>
  <c r="AL248" i="14"/>
  <c r="AM248" i="14"/>
  <c r="AN248" i="14"/>
  <c r="AI249" i="14"/>
  <c r="AJ249" i="14"/>
  <c r="AK249" i="14"/>
  <c r="AL249" i="14"/>
  <c r="AM249" i="14"/>
  <c r="AN249" i="14"/>
  <c r="AI250" i="14"/>
  <c r="AJ250" i="14"/>
  <c r="AK250" i="14"/>
  <c r="AL250" i="14"/>
  <c r="AM250" i="14"/>
  <c r="AN250" i="14"/>
  <c r="AI251" i="14"/>
  <c r="AJ251" i="14"/>
  <c r="AK251" i="14"/>
  <c r="AL251" i="14"/>
  <c r="AM251" i="14"/>
  <c r="AN251" i="14"/>
  <c r="AI252" i="14"/>
  <c r="AJ252" i="14"/>
  <c r="AK252" i="14"/>
  <c r="AL252" i="14"/>
  <c r="AM252" i="14"/>
  <c r="AN252" i="14"/>
  <c r="AI253" i="14"/>
  <c r="AJ253" i="14"/>
  <c r="AK253" i="14"/>
  <c r="AL253" i="14"/>
  <c r="AM253" i="14"/>
  <c r="AN253" i="14"/>
  <c r="AI254" i="14"/>
  <c r="AJ254" i="14"/>
  <c r="AK254" i="14"/>
  <c r="AL254" i="14"/>
  <c r="AM254" i="14"/>
  <c r="AN254" i="14"/>
  <c r="AI255" i="14"/>
  <c r="AJ255" i="14"/>
  <c r="AK255" i="14"/>
  <c r="AL255" i="14"/>
  <c r="AM255" i="14"/>
  <c r="AN255" i="14"/>
  <c r="AI5" i="14"/>
  <c r="AJ5" i="14"/>
  <c r="AK5" i="14"/>
  <c r="AL5" i="14"/>
  <c r="AM5" i="14"/>
  <c r="AN5" i="14"/>
  <c r="AG5" i="14"/>
  <c r="AG6" i="14"/>
  <c r="AG7" i="14"/>
  <c r="AG8" i="14"/>
  <c r="S6" i="14"/>
  <c r="T6" i="14"/>
  <c r="V6" i="14"/>
  <c r="W6" i="14"/>
  <c r="S7" i="14"/>
  <c r="T7" i="14"/>
  <c r="U7" i="14"/>
  <c r="X7" i="14" s="1"/>
  <c r="V7" i="14"/>
  <c r="S8" i="14"/>
  <c r="T8" i="14"/>
  <c r="V8" i="14" s="1"/>
  <c r="W8" i="14" s="1"/>
  <c r="U8" i="14"/>
  <c r="X8" i="14"/>
  <c r="Y8" i="14"/>
  <c r="S9" i="14"/>
  <c r="U9" i="14" s="1"/>
  <c r="T9" i="14"/>
  <c r="V9" i="14" s="1"/>
  <c r="W9" i="14" s="1"/>
  <c r="X9" i="14"/>
  <c r="Y9" i="14" s="1"/>
  <c r="S10" i="14"/>
  <c r="T10" i="14"/>
  <c r="U10" i="14"/>
  <c r="X10" i="14" s="1"/>
  <c r="V10" i="14"/>
  <c r="S11" i="14"/>
  <c r="T11" i="14"/>
  <c r="U11" i="14"/>
  <c r="X11" i="14" s="1"/>
  <c r="Y11" i="14" s="1"/>
  <c r="V11" i="14"/>
  <c r="W11" i="14" s="1"/>
  <c r="S12" i="14"/>
  <c r="U12" i="14" s="1"/>
  <c r="X12" i="14" s="1"/>
  <c r="Y12" i="14" s="1"/>
  <c r="T12" i="14"/>
  <c r="V12" i="14" s="1"/>
  <c r="W12" i="14"/>
  <c r="S13" i="14"/>
  <c r="U13" i="14" s="1"/>
  <c r="X13" i="14" s="1"/>
  <c r="T13" i="14"/>
  <c r="V13" i="14" s="1"/>
  <c r="S14" i="14"/>
  <c r="T14" i="14"/>
  <c r="U14" i="14"/>
  <c r="X14" i="14" s="1"/>
  <c r="V14" i="14"/>
  <c r="S15" i="14"/>
  <c r="T15" i="14"/>
  <c r="V15" i="14" s="1"/>
  <c r="W15" i="14" s="1"/>
  <c r="U15" i="14"/>
  <c r="X15" i="14" s="1"/>
  <c r="Y15" i="14" s="1"/>
  <c r="S16" i="14"/>
  <c r="U16" i="14" s="1"/>
  <c r="X16" i="14" s="1"/>
  <c r="Y16" i="14" s="1"/>
  <c r="T16" i="14"/>
  <c r="V16" i="14" s="1"/>
  <c r="W16" i="14" s="1"/>
  <c r="S17" i="14"/>
  <c r="U17" i="14" s="1"/>
  <c r="X17" i="14" s="1"/>
  <c r="T17" i="14"/>
  <c r="V17" i="14" s="1"/>
  <c r="S18" i="14"/>
  <c r="U18" i="14" s="1"/>
  <c r="X18" i="14" s="1"/>
  <c r="T18" i="14"/>
  <c r="V18" i="14"/>
  <c r="S19" i="14"/>
  <c r="T19" i="14"/>
  <c r="U19" i="14"/>
  <c r="V19" i="14"/>
  <c r="W19" i="14" s="1"/>
  <c r="X19" i="14"/>
  <c r="Y19" i="14" s="1"/>
  <c r="S20" i="14"/>
  <c r="T20" i="14"/>
  <c r="V20" i="14" s="1"/>
  <c r="U20" i="14"/>
  <c r="X20" i="14"/>
  <c r="S21" i="14"/>
  <c r="U21" i="14" s="1"/>
  <c r="X21" i="14" s="1"/>
  <c r="T21" i="14"/>
  <c r="V21" i="14" s="1"/>
  <c r="S22" i="14"/>
  <c r="T22" i="14"/>
  <c r="U22" i="14"/>
  <c r="X22" i="14" s="1"/>
  <c r="Y22" i="14" s="1"/>
  <c r="V22" i="14"/>
  <c r="W22" i="14" s="1"/>
  <c r="S23" i="14"/>
  <c r="T23" i="14"/>
  <c r="U23" i="14"/>
  <c r="X23" i="14" s="1"/>
  <c r="Y23" i="14" s="1"/>
  <c r="V23" i="14"/>
  <c r="W23" i="14" s="1"/>
  <c r="S24" i="14"/>
  <c r="U24" i="14" s="1"/>
  <c r="X24" i="14" s="1"/>
  <c r="T24" i="14"/>
  <c r="V24" i="14" s="1"/>
  <c r="S25" i="14"/>
  <c r="U25" i="14" s="1"/>
  <c r="X25" i="14" s="1"/>
  <c r="Y25" i="14" s="1"/>
  <c r="T25" i="14"/>
  <c r="V25" i="14" s="1"/>
  <c r="W25" i="14" s="1"/>
  <c r="S26" i="14"/>
  <c r="U26" i="14" s="1"/>
  <c r="X26" i="14" s="1"/>
  <c r="T26" i="14"/>
  <c r="V26" i="14" s="1"/>
  <c r="W26" i="14" s="1"/>
  <c r="S27" i="14"/>
  <c r="U27" i="14" s="1"/>
  <c r="X27" i="14" s="1"/>
  <c r="T27" i="14"/>
  <c r="V27" i="14" s="1"/>
  <c r="W27" i="14" s="1"/>
  <c r="S28" i="14"/>
  <c r="U28" i="14" s="1"/>
  <c r="X28" i="14" s="1"/>
  <c r="Y28" i="14" s="1"/>
  <c r="T28" i="14"/>
  <c r="V28" i="14" s="1"/>
  <c r="W28" i="14" s="1"/>
  <c r="S29" i="14"/>
  <c r="U29" i="14" s="1"/>
  <c r="X29" i="14" s="1"/>
  <c r="T29" i="14"/>
  <c r="V29" i="14"/>
  <c r="S30" i="14"/>
  <c r="U30" i="14" s="1"/>
  <c r="X30" i="14" s="1"/>
  <c r="T30" i="14"/>
  <c r="V30" i="14"/>
  <c r="Y30" i="14"/>
  <c r="S31" i="14"/>
  <c r="T31" i="14"/>
  <c r="V31" i="14" s="1"/>
  <c r="W31" i="14" s="1"/>
  <c r="U31" i="14"/>
  <c r="X31" i="14" s="1"/>
  <c r="Y31" i="14" s="1"/>
  <c r="S32" i="14"/>
  <c r="U32" i="14" s="1"/>
  <c r="X32" i="14" s="1"/>
  <c r="T32" i="14"/>
  <c r="V32" i="14" s="1"/>
  <c r="S33" i="14"/>
  <c r="U33" i="14" s="1"/>
  <c r="X33" i="14" s="1"/>
  <c r="T33" i="14"/>
  <c r="V33" i="14" s="1"/>
  <c r="W33" i="14"/>
  <c r="S34" i="14"/>
  <c r="T34" i="14"/>
  <c r="V34" i="14" s="1"/>
  <c r="W34" i="14" s="1"/>
  <c r="U34" i="14"/>
  <c r="X34" i="14" s="1"/>
  <c r="Y34" i="14"/>
  <c r="S35" i="14"/>
  <c r="U35" i="14" s="1"/>
  <c r="X35" i="14" s="1"/>
  <c r="Y35" i="14" s="1"/>
  <c r="T35" i="14"/>
  <c r="V35" i="14" s="1"/>
  <c r="S36" i="14"/>
  <c r="U36" i="14" s="1"/>
  <c r="X36" i="14" s="1"/>
  <c r="T36" i="14"/>
  <c r="V36" i="14" s="1"/>
  <c r="S37" i="14"/>
  <c r="T37" i="14"/>
  <c r="U37" i="14"/>
  <c r="X37" i="14" s="1"/>
  <c r="Y37" i="14" s="1"/>
  <c r="V37" i="14"/>
  <c r="W37" i="14" s="1"/>
  <c r="S38" i="14"/>
  <c r="T38" i="14"/>
  <c r="U38" i="14"/>
  <c r="X38" i="14" s="1"/>
  <c r="Y38" i="14" s="1"/>
  <c r="V38" i="14"/>
  <c r="W38" i="14" s="1"/>
  <c r="S39" i="14"/>
  <c r="U39" i="14" s="1"/>
  <c r="X39" i="14" s="1"/>
  <c r="Y39" i="14" s="1"/>
  <c r="T39" i="14"/>
  <c r="V39" i="14" s="1"/>
  <c r="S40" i="14"/>
  <c r="U40" i="14" s="1"/>
  <c r="T40" i="14"/>
  <c r="V40" i="14" s="1"/>
  <c r="X40" i="14"/>
  <c r="S41" i="14"/>
  <c r="U41" i="14" s="1"/>
  <c r="T41" i="14"/>
  <c r="V41" i="14"/>
  <c r="W41" i="14" s="1"/>
  <c r="X41" i="14"/>
  <c r="Y41" i="14"/>
  <c r="S42" i="14"/>
  <c r="T42" i="14"/>
  <c r="V42" i="14" s="1"/>
  <c r="W42" i="14" s="1"/>
  <c r="U42" i="14"/>
  <c r="X42" i="14" s="1"/>
  <c r="Y42" i="14" s="1"/>
  <c r="S43" i="14"/>
  <c r="T43" i="14"/>
  <c r="V43" i="14" s="1"/>
  <c r="U43" i="14"/>
  <c r="X43" i="14"/>
  <c r="S44" i="14"/>
  <c r="T44" i="14"/>
  <c r="U44" i="14"/>
  <c r="X44" i="14" s="1"/>
  <c r="Y44" i="14" s="1"/>
  <c r="V44" i="14"/>
  <c r="W44" i="14" s="1"/>
  <c r="S45" i="14"/>
  <c r="U45" i="14" s="1"/>
  <c r="X45" i="14" s="1"/>
  <c r="Y45" i="14" s="1"/>
  <c r="T45" i="14"/>
  <c r="V45" i="14" s="1"/>
  <c r="W45" i="14" s="1"/>
  <c r="S46" i="14"/>
  <c r="U46" i="14" s="1"/>
  <c r="X46" i="14" s="1"/>
  <c r="Y46" i="14" s="1"/>
  <c r="AC46" i="14" s="1"/>
  <c r="T46" i="14"/>
  <c r="V46" i="14" s="1"/>
  <c r="W46" i="14" s="1"/>
  <c r="S47" i="14"/>
  <c r="U47" i="14" s="1"/>
  <c r="X47" i="14" s="1"/>
  <c r="T47" i="14"/>
  <c r="V47" i="14" s="1"/>
  <c r="S48" i="14"/>
  <c r="U48" i="14" s="1"/>
  <c r="X48" i="14" s="1"/>
  <c r="Y48" i="14" s="1"/>
  <c r="T48" i="14"/>
  <c r="V48" i="14" s="1"/>
  <c r="S49" i="14"/>
  <c r="U49" i="14" s="1"/>
  <c r="X49" i="14" s="1"/>
  <c r="T49" i="14"/>
  <c r="V49" i="14" s="1"/>
  <c r="W49" i="14" s="1"/>
  <c r="S50" i="14"/>
  <c r="U50" i="14" s="1"/>
  <c r="X50" i="14" s="1"/>
  <c r="Y50" i="14" s="1"/>
  <c r="T50" i="14"/>
  <c r="V50" i="14" s="1"/>
  <c r="W50" i="14" s="1"/>
  <c r="S51" i="14"/>
  <c r="T51" i="14"/>
  <c r="V51" i="14" s="1"/>
  <c r="U51" i="14"/>
  <c r="X51" i="14" s="1"/>
  <c r="S52" i="14"/>
  <c r="U52" i="14" s="1"/>
  <c r="X52" i="14" s="1"/>
  <c r="T52" i="14"/>
  <c r="V52" i="14" s="1"/>
  <c r="S53" i="14"/>
  <c r="U53" i="14" s="1"/>
  <c r="X53" i="14" s="1"/>
  <c r="T53" i="14"/>
  <c r="V53" i="14"/>
  <c r="S54" i="14"/>
  <c r="T54" i="14"/>
  <c r="U54" i="14"/>
  <c r="X54" i="14" s="1"/>
  <c r="Y54" i="14" s="1"/>
  <c r="V54" i="14"/>
  <c r="W54" i="14" s="1"/>
  <c r="S55" i="14"/>
  <c r="U55" i="14" s="1"/>
  <c r="X55" i="14" s="1"/>
  <c r="T55" i="14"/>
  <c r="V55" i="14" s="1"/>
  <c r="S56" i="14"/>
  <c r="U56" i="14" s="1"/>
  <c r="X56" i="14" s="1"/>
  <c r="T56" i="14"/>
  <c r="V56" i="14"/>
  <c r="W56" i="14"/>
  <c r="Y56" i="14"/>
  <c r="S57" i="14"/>
  <c r="U57" i="14" s="1"/>
  <c r="X57" i="14" s="1"/>
  <c r="T57" i="14"/>
  <c r="V57" i="14" s="1"/>
  <c r="W57" i="14" s="1"/>
  <c r="Y57" i="14"/>
  <c r="S58" i="14"/>
  <c r="T58" i="14"/>
  <c r="U58" i="14"/>
  <c r="V58" i="14"/>
  <c r="X58" i="14"/>
  <c r="Y58" i="14" s="1"/>
  <c r="S59" i="14"/>
  <c r="T59" i="14"/>
  <c r="U59" i="14"/>
  <c r="X59" i="14" s="1"/>
  <c r="V59" i="14"/>
  <c r="W59" i="14" s="1"/>
  <c r="Y59" i="14"/>
  <c r="S60" i="14"/>
  <c r="U60" i="14" s="1"/>
  <c r="X60" i="14" s="1"/>
  <c r="Y60" i="14" s="1"/>
  <c r="T60" i="14"/>
  <c r="V60" i="14" s="1"/>
  <c r="W60" i="14" s="1"/>
  <c r="S61" i="14"/>
  <c r="U61" i="14" s="1"/>
  <c r="X61" i="14" s="1"/>
  <c r="T61" i="14"/>
  <c r="V61" i="14" s="1"/>
  <c r="S62" i="14"/>
  <c r="U62" i="14" s="1"/>
  <c r="X62" i="14" s="1"/>
  <c r="T62" i="14"/>
  <c r="V62" i="14" s="1"/>
  <c r="S63" i="14"/>
  <c r="U63" i="14" s="1"/>
  <c r="T63" i="14"/>
  <c r="V63" i="14" s="1"/>
  <c r="W63" i="14" s="1"/>
  <c r="X63" i="14"/>
  <c r="Y63" i="14" s="1"/>
  <c r="S64" i="14"/>
  <c r="U64" i="14" s="1"/>
  <c r="X64" i="14" s="1"/>
  <c r="Y64" i="14" s="1"/>
  <c r="T64" i="14"/>
  <c r="V64" i="14" s="1"/>
  <c r="W64" i="14" s="1"/>
  <c r="S65" i="14"/>
  <c r="U65" i="14" s="1"/>
  <c r="X65" i="14" s="1"/>
  <c r="T65" i="14"/>
  <c r="V65" i="14"/>
  <c r="S66" i="14"/>
  <c r="T66" i="14"/>
  <c r="U66" i="14"/>
  <c r="V66" i="14"/>
  <c r="W66" i="14" s="1"/>
  <c r="X66" i="14"/>
  <c r="Y66" i="14" s="1"/>
  <c r="S67" i="14"/>
  <c r="U67" i="14" s="1"/>
  <c r="X67" i="14" s="1"/>
  <c r="Y67" i="14" s="1"/>
  <c r="T67" i="14"/>
  <c r="V67" i="14" s="1"/>
  <c r="W67" i="14" s="1"/>
  <c r="S68" i="14"/>
  <c r="U68" i="14" s="1"/>
  <c r="X68" i="14" s="1"/>
  <c r="T68" i="14"/>
  <c r="V68" i="14"/>
  <c r="W68" i="14" s="1"/>
  <c r="S69" i="14"/>
  <c r="U69" i="14" s="1"/>
  <c r="X69" i="14" s="1"/>
  <c r="T69" i="14"/>
  <c r="V69" i="14"/>
  <c r="S70" i="14"/>
  <c r="T70" i="14"/>
  <c r="V70" i="14" s="1"/>
  <c r="U70" i="14"/>
  <c r="X70" i="14" s="1"/>
  <c r="Y70" i="14" s="1"/>
  <c r="S71" i="14"/>
  <c r="U71" i="14" s="1"/>
  <c r="X71" i="14" s="1"/>
  <c r="T71" i="14"/>
  <c r="V71" i="14"/>
  <c r="W71" i="14" s="1"/>
  <c r="S72" i="14"/>
  <c r="U72" i="14" s="1"/>
  <c r="X72" i="14" s="1"/>
  <c r="Y72" i="14" s="1"/>
  <c r="T72" i="14"/>
  <c r="V72" i="14" s="1"/>
  <c r="W72" i="14" s="1"/>
  <c r="S73" i="14"/>
  <c r="U73" i="14" s="1"/>
  <c r="X73" i="14" s="1"/>
  <c r="T73" i="14"/>
  <c r="V73" i="14" s="1"/>
  <c r="S74" i="14"/>
  <c r="U74" i="14" s="1"/>
  <c r="X74" i="14" s="1"/>
  <c r="T74" i="14"/>
  <c r="V74" i="14"/>
  <c r="W74" i="14" s="1"/>
  <c r="S75" i="14"/>
  <c r="U75" i="14" s="1"/>
  <c r="X75" i="14" s="1"/>
  <c r="T75" i="14"/>
  <c r="V75" i="14"/>
  <c r="W75" i="14" s="1"/>
  <c r="Y75" i="14"/>
  <c r="S76" i="14"/>
  <c r="U76" i="14" s="1"/>
  <c r="X76" i="14" s="1"/>
  <c r="Y76" i="14" s="1"/>
  <c r="T76" i="14"/>
  <c r="V76" i="14" s="1"/>
  <c r="S77" i="14"/>
  <c r="U77" i="14" s="1"/>
  <c r="X77" i="14" s="1"/>
  <c r="T77" i="14"/>
  <c r="V77" i="14"/>
  <c r="S78" i="14"/>
  <c r="U78" i="14" s="1"/>
  <c r="X78" i="14" s="1"/>
  <c r="Y78" i="14" s="1"/>
  <c r="T78" i="14"/>
  <c r="V78" i="14"/>
  <c r="W78" i="14" s="1"/>
  <c r="S79" i="14"/>
  <c r="T79" i="14"/>
  <c r="V79" i="14" s="1"/>
  <c r="U79" i="14"/>
  <c r="X79" i="14" s="1"/>
  <c r="Y79" i="14" s="1"/>
  <c r="W79" i="14"/>
  <c r="S80" i="14"/>
  <c r="T80" i="14"/>
  <c r="V80" i="14" s="1"/>
  <c r="U80" i="14"/>
  <c r="X80" i="14" s="1"/>
  <c r="S81" i="14"/>
  <c r="U81" i="14" s="1"/>
  <c r="X81" i="14" s="1"/>
  <c r="T81" i="14"/>
  <c r="V81" i="14" s="1"/>
  <c r="S82" i="14"/>
  <c r="T82" i="14"/>
  <c r="V82" i="14" s="1"/>
  <c r="U82" i="14"/>
  <c r="X82" i="14" s="1"/>
  <c r="Y82" i="14" s="1"/>
  <c r="W82" i="14"/>
  <c r="S83" i="14"/>
  <c r="U83" i="14" s="1"/>
  <c r="X83" i="14" s="1"/>
  <c r="Y83" i="14" s="1"/>
  <c r="T83" i="14"/>
  <c r="V83" i="14" s="1"/>
  <c r="W83" i="14" s="1"/>
  <c r="S84" i="14"/>
  <c r="T84" i="14"/>
  <c r="V84" i="14" s="1"/>
  <c r="U84" i="14"/>
  <c r="X84" i="14" s="1"/>
  <c r="S85" i="14"/>
  <c r="U85" i="14" s="1"/>
  <c r="X85" i="14" s="1"/>
  <c r="T85" i="14"/>
  <c r="V85" i="14" s="1"/>
  <c r="W85" i="14"/>
  <c r="S86" i="14"/>
  <c r="T86" i="14"/>
  <c r="V86" i="14" s="1"/>
  <c r="W86" i="14" s="1"/>
  <c r="U86" i="14"/>
  <c r="X86" i="14" s="1"/>
  <c r="Y86" i="14" s="1"/>
  <c r="S87" i="14"/>
  <c r="U87" i="14" s="1"/>
  <c r="X87" i="14" s="1"/>
  <c r="T87" i="14"/>
  <c r="V87" i="14" s="1"/>
  <c r="S88" i="14"/>
  <c r="T88" i="14"/>
  <c r="V88" i="14" s="1"/>
  <c r="U88" i="14"/>
  <c r="X88" i="14"/>
  <c r="S89" i="14"/>
  <c r="U89" i="14" s="1"/>
  <c r="T89" i="14"/>
  <c r="V89" i="14" s="1"/>
  <c r="W89" i="14" s="1"/>
  <c r="X89" i="14"/>
  <c r="Y89" i="14" s="1"/>
  <c r="S90" i="14"/>
  <c r="T90" i="14"/>
  <c r="V90" i="14" s="1"/>
  <c r="W90" i="14" s="1"/>
  <c r="U90" i="14"/>
  <c r="X90" i="14" s="1"/>
  <c r="Y90" i="14" s="1"/>
  <c r="S91" i="14"/>
  <c r="T91" i="14"/>
  <c r="V91" i="14" s="1"/>
  <c r="W91" i="14" s="1"/>
  <c r="U91" i="14"/>
  <c r="X91" i="14" s="1"/>
  <c r="S92" i="14"/>
  <c r="U92" i="14" s="1"/>
  <c r="X92" i="14" s="1"/>
  <c r="T92" i="14"/>
  <c r="V92" i="14" s="1"/>
  <c r="Y92" i="14"/>
  <c r="S93" i="14"/>
  <c r="U93" i="14" s="1"/>
  <c r="X93" i="14" s="1"/>
  <c r="Y93" i="14" s="1"/>
  <c r="T93" i="14"/>
  <c r="V93" i="14" s="1"/>
  <c r="W93" i="14" s="1"/>
  <c r="S94" i="14"/>
  <c r="U94" i="14" s="1"/>
  <c r="X94" i="14" s="1"/>
  <c r="T94" i="14"/>
  <c r="V94" i="14" s="1"/>
  <c r="Y94" i="14"/>
  <c r="S95" i="14"/>
  <c r="U95" i="14" s="1"/>
  <c r="X95" i="14" s="1"/>
  <c r="Y95" i="14" s="1"/>
  <c r="T95" i="14"/>
  <c r="V95" i="14" s="1"/>
  <c r="S96" i="14"/>
  <c r="T96" i="14"/>
  <c r="U96" i="14"/>
  <c r="X96" i="14" s="1"/>
  <c r="Y96" i="14" s="1"/>
  <c r="V96" i="14"/>
  <c r="W96" i="14" s="1"/>
  <c r="S97" i="14"/>
  <c r="U97" i="14" s="1"/>
  <c r="X97" i="14" s="1"/>
  <c r="Y97" i="14" s="1"/>
  <c r="AA97" i="14" s="1"/>
  <c r="T97" i="14"/>
  <c r="V97" i="14"/>
  <c r="S98" i="14"/>
  <c r="T98" i="14"/>
  <c r="V98" i="14" s="1"/>
  <c r="W98" i="14" s="1"/>
  <c r="U98" i="14"/>
  <c r="X98" i="14" s="1"/>
  <c r="Y98" i="14" s="1"/>
  <c r="S99" i="14"/>
  <c r="T99" i="14"/>
  <c r="U99" i="14"/>
  <c r="X99" i="14" s="1"/>
  <c r="V99" i="14"/>
  <c r="S100" i="14"/>
  <c r="U100" i="14" s="1"/>
  <c r="X100" i="14" s="1"/>
  <c r="Y100" i="14" s="1"/>
  <c r="T100" i="14"/>
  <c r="V100" i="14" s="1"/>
  <c r="W100" i="14" s="1"/>
  <c r="S101" i="14"/>
  <c r="U101" i="14" s="1"/>
  <c r="T101" i="14"/>
  <c r="V101" i="14" s="1"/>
  <c r="X101" i="14"/>
  <c r="Y101" i="14" s="1"/>
  <c r="S102" i="14"/>
  <c r="U102" i="14" s="1"/>
  <c r="X102" i="14" s="1"/>
  <c r="Y102" i="14" s="1"/>
  <c r="T102" i="14"/>
  <c r="V102" i="14"/>
  <c r="W102" i="14" s="1"/>
  <c r="S103" i="14"/>
  <c r="T103" i="14"/>
  <c r="U103" i="14"/>
  <c r="X103" i="14" s="1"/>
  <c r="V103" i="14"/>
  <c r="S104" i="14"/>
  <c r="T104" i="14"/>
  <c r="U104" i="14"/>
  <c r="X104" i="14" s="1"/>
  <c r="Y104" i="14" s="1"/>
  <c r="V104" i="14"/>
  <c r="W104" i="14" s="1"/>
  <c r="S105" i="14"/>
  <c r="T105" i="14"/>
  <c r="V105" i="14" s="1"/>
  <c r="W105" i="14" s="1"/>
  <c r="U105" i="14"/>
  <c r="X105" i="14" s="1"/>
  <c r="Y105" i="14" s="1"/>
  <c r="S106" i="14"/>
  <c r="U106" i="14" s="1"/>
  <c r="X106" i="14" s="1"/>
  <c r="T106" i="14"/>
  <c r="V106" i="14" s="1"/>
  <c r="S107" i="14"/>
  <c r="U107" i="14" s="1"/>
  <c r="X107" i="14" s="1"/>
  <c r="T107" i="14"/>
  <c r="V107" i="14" s="1"/>
  <c r="S108" i="14"/>
  <c r="T108" i="14"/>
  <c r="U108" i="14"/>
  <c r="V108" i="14"/>
  <c r="W108" i="14"/>
  <c r="X108" i="14"/>
  <c r="Y108" i="14" s="1"/>
  <c r="S109" i="14"/>
  <c r="U109" i="14" s="1"/>
  <c r="X109" i="14" s="1"/>
  <c r="Y109" i="14" s="1"/>
  <c r="T109" i="14"/>
  <c r="V109" i="14"/>
  <c r="S110" i="14"/>
  <c r="U110" i="14" s="1"/>
  <c r="X110" i="14" s="1"/>
  <c r="T110" i="14"/>
  <c r="V110" i="14"/>
  <c r="S111" i="14"/>
  <c r="T111" i="14"/>
  <c r="V111" i="14" s="1"/>
  <c r="W111" i="14" s="1"/>
  <c r="U111" i="14"/>
  <c r="X111" i="14" s="1"/>
  <c r="Y111" i="14" s="1"/>
  <c r="AA111" i="14"/>
  <c r="S112" i="14"/>
  <c r="U112" i="14" s="1"/>
  <c r="X112" i="14" s="1"/>
  <c r="Y112" i="14" s="1"/>
  <c r="T112" i="14"/>
  <c r="V112" i="14" s="1"/>
  <c r="W112" i="14" s="1"/>
  <c r="S113" i="14"/>
  <c r="U113" i="14" s="1"/>
  <c r="T113" i="14"/>
  <c r="V113" i="14" s="1"/>
  <c r="X113" i="14"/>
  <c r="S114" i="14"/>
  <c r="U114" i="14" s="1"/>
  <c r="X114" i="14" s="1"/>
  <c r="T114" i="14"/>
  <c r="V114" i="14" s="1"/>
  <c r="S115" i="14"/>
  <c r="U115" i="14" s="1"/>
  <c r="X115" i="14" s="1"/>
  <c r="Y115" i="14" s="1"/>
  <c r="T115" i="14"/>
  <c r="V115" i="14"/>
  <c r="W115" i="14" s="1"/>
  <c r="S116" i="14"/>
  <c r="T116" i="14"/>
  <c r="U116" i="14"/>
  <c r="X116" i="14" s="1"/>
  <c r="Y116" i="14" s="1"/>
  <c r="V116" i="14"/>
  <c r="W116" i="14" s="1"/>
  <c r="S117" i="14"/>
  <c r="U117" i="14" s="1"/>
  <c r="X117" i="14" s="1"/>
  <c r="T117" i="14"/>
  <c r="V117" i="14" s="1"/>
  <c r="S118" i="14"/>
  <c r="U118" i="14" s="1"/>
  <c r="X118" i="14" s="1"/>
  <c r="T118" i="14"/>
  <c r="V118" i="14"/>
  <c r="W118" i="14" s="1"/>
  <c r="S119" i="14"/>
  <c r="U119" i="14" s="1"/>
  <c r="X119" i="14" s="1"/>
  <c r="Y119" i="14" s="1"/>
  <c r="T119" i="14"/>
  <c r="V119" i="14"/>
  <c r="W119" i="14" s="1"/>
  <c r="S120" i="14"/>
  <c r="U120" i="14" s="1"/>
  <c r="X120" i="14" s="1"/>
  <c r="Y120" i="14" s="1"/>
  <c r="T120" i="14"/>
  <c r="V120" i="14" s="1"/>
  <c r="W120" i="14" s="1"/>
  <c r="S121" i="14"/>
  <c r="U121" i="14" s="1"/>
  <c r="X121" i="14" s="1"/>
  <c r="T121" i="14"/>
  <c r="V121" i="14"/>
  <c r="S122" i="14"/>
  <c r="T122" i="14"/>
  <c r="U122" i="14"/>
  <c r="X122" i="14" s="1"/>
  <c r="Y122" i="14" s="1"/>
  <c r="V122" i="14"/>
  <c r="W122" i="14" s="1"/>
  <c r="S123" i="14"/>
  <c r="T123" i="14"/>
  <c r="U123" i="14"/>
  <c r="X123" i="14" s="1"/>
  <c r="Y123" i="14" s="1"/>
  <c r="AA123" i="14" s="1"/>
  <c r="V123" i="14"/>
  <c r="W123" i="14" s="1"/>
  <c r="S124" i="14"/>
  <c r="T124" i="14"/>
  <c r="U124" i="14"/>
  <c r="X124" i="14" s="1"/>
  <c r="V124" i="14"/>
  <c r="S125" i="14"/>
  <c r="U125" i="14" s="1"/>
  <c r="X125" i="14" s="1"/>
  <c r="T125" i="14"/>
  <c r="V125" i="14" s="1"/>
  <c r="W125" i="14"/>
  <c r="Y125" i="14"/>
  <c r="AA125" i="14" s="1"/>
  <c r="S126" i="14"/>
  <c r="U126" i="14" s="1"/>
  <c r="X126" i="14" s="1"/>
  <c r="Y126" i="14" s="1"/>
  <c r="T126" i="14"/>
  <c r="V126" i="14" s="1"/>
  <c r="W126" i="14" s="1"/>
  <c r="AC126" i="14"/>
  <c r="S127" i="14"/>
  <c r="U127" i="14" s="1"/>
  <c r="X127" i="14" s="1"/>
  <c r="Y127" i="14" s="1"/>
  <c r="T127" i="14"/>
  <c r="V127" i="14" s="1"/>
  <c r="W127" i="14" s="1"/>
  <c r="S128" i="14"/>
  <c r="T128" i="14"/>
  <c r="V128" i="14" s="1"/>
  <c r="U128" i="14"/>
  <c r="X128" i="14" s="1"/>
  <c r="S129" i="14"/>
  <c r="U129" i="14" s="1"/>
  <c r="X129" i="14" s="1"/>
  <c r="Y129" i="14" s="1"/>
  <c r="T129" i="14"/>
  <c r="V129" i="14" s="1"/>
  <c r="W129" i="14" s="1"/>
  <c r="S130" i="14"/>
  <c r="T130" i="14"/>
  <c r="V130" i="14" s="1"/>
  <c r="U130" i="14"/>
  <c r="W130" i="14"/>
  <c r="X130" i="14"/>
  <c r="Y130" i="14" s="1"/>
  <c r="S131" i="14"/>
  <c r="U131" i="14" s="1"/>
  <c r="X131" i="14" s="1"/>
  <c r="Y131" i="14" s="1"/>
  <c r="T131" i="14"/>
  <c r="V131" i="14" s="1"/>
  <c r="S132" i="14"/>
  <c r="U132" i="14" s="1"/>
  <c r="X132" i="14" s="1"/>
  <c r="T132" i="14"/>
  <c r="V132" i="14" s="1"/>
  <c r="S133" i="14"/>
  <c r="T133" i="14"/>
  <c r="V133" i="14" s="1"/>
  <c r="U133" i="14"/>
  <c r="X133" i="14" s="1"/>
  <c r="Y133" i="14" s="1"/>
  <c r="W133" i="14"/>
  <c r="S134" i="14"/>
  <c r="T134" i="14"/>
  <c r="V134" i="14" s="1"/>
  <c r="W134" i="14" s="1"/>
  <c r="U134" i="14"/>
  <c r="X134" i="14" s="1"/>
  <c r="Y134" i="14" s="1"/>
  <c r="S135" i="14"/>
  <c r="T135" i="14"/>
  <c r="V135" i="14" s="1"/>
  <c r="U135" i="14"/>
  <c r="X135" i="14" s="1"/>
  <c r="S136" i="14"/>
  <c r="U136" i="14" s="1"/>
  <c r="T136" i="14"/>
  <c r="V136" i="14"/>
  <c r="W136" i="14"/>
  <c r="X136" i="14"/>
  <c r="Y136" i="14" s="1"/>
  <c r="S137" i="14"/>
  <c r="T137" i="14"/>
  <c r="V137" i="14" s="1"/>
  <c r="W137" i="14" s="1"/>
  <c r="U137" i="14"/>
  <c r="X137" i="14" s="1"/>
  <c r="Y137" i="14" s="1"/>
  <c r="S138" i="14"/>
  <c r="T138" i="14"/>
  <c r="U138" i="14"/>
  <c r="V138" i="14"/>
  <c r="W138" i="14" s="1"/>
  <c r="X138" i="14"/>
  <c r="Y138" i="14"/>
  <c r="S139" i="14"/>
  <c r="U139" i="14" s="1"/>
  <c r="X139" i="14" s="1"/>
  <c r="Y139" i="14" s="1"/>
  <c r="T139" i="14"/>
  <c r="V139" i="14"/>
  <c r="W139" i="14"/>
  <c r="S140" i="14"/>
  <c r="U140" i="14" s="1"/>
  <c r="X140" i="14" s="1"/>
  <c r="T140" i="14"/>
  <c r="V140" i="14" s="1"/>
  <c r="S141" i="14"/>
  <c r="U141" i="14" s="1"/>
  <c r="X141" i="14" s="1"/>
  <c r="T141" i="14"/>
  <c r="V141" i="14" s="1"/>
  <c r="S142" i="14"/>
  <c r="T142" i="14"/>
  <c r="V142" i="14" s="1"/>
  <c r="W142" i="14" s="1"/>
  <c r="U142" i="14"/>
  <c r="X142" i="14" s="1"/>
  <c r="Y142" i="14" s="1"/>
  <c r="AC142" i="14"/>
  <c r="S143" i="14"/>
  <c r="U143" i="14" s="1"/>
  <c r="X143" i="14" s="1"/>
  <c r="Y143" i="14" s="1"/>
  <c r="AC143" i="14" s="1"/>
  <c r="T143" i="14"/>
  <c r="V143" i="14"/>
  <c r="W143" i="14" s="1"/>
  <c r="S144" i="14"/>
  <c r="U144" i="14" s="1"/>
  <c r="T144" i="14"/>
  <c r="V144" i="14" s="1"/>
  <c r="X144" i="14"/>
  <c r="S145" i="14"/>
  <c r="U145" i="14" s="1"/>
  <c r="X145" i="14" s="1"/>
  <c r="Y145" i="14" s="1"/>
  <c r="T145" i="14"/>
  <c r="V145" i="14"/>
  <c r="W145" i="14" s="1"/>
  <c r="S146" i="14"/>
  <c r="T146" i="14"/>
  <c r="U146" i="14"/>
  <c r="X146" i="14" s="1"/>
  <c r="Y146" i="14" s="1"/>
  <c r="V146" i="14"/>
  <c r="W146" i="14" s="1"/>
  <c r="S147" i="14"/>
  <c r="U147" i="14" s="1"/>
  <c r="X147" i="14" s="1"/>
  <c r="T147" i="14"/>
  <c r="V147" i="14" s="1"/>
  <c r="S148" i="14"/>
  <c r="U148" i="14" s="1"/>
  <c r="X148" i="14" s="1"/>
  <c r="T148" i="14"/>
  <c r="V148" i="14" s="1"/>
  <c r="S149" i="14"/>
  <c r="T149" i="14"/>
  <c r="U149" i="14"/>
  <c r="X149" i="14" s="1"/>
  <c r="Y149" i="14" s="1"/>
  <c r="AA149" i="14" s="1"/>
  <c r="V149" i="14"/>
  <c r="W149" i="14" s="1"/>
  <c r="S150" i="14"/>
  <c r="U150" i="14" s="1"/>
  <c r="X150" i="14" s="1"/>
  <c r="Y150" i="14" s="1"/>
  <c r="T150" i="14"/>
  <c r="V150" i="14" s="1"/>
  <c r="W150" i="14" s="1"/>
  <c r="S151" i="14"/>
  <c r="U151" i="14" s="1"/>
  <c r="X151" i="14" s="1"/>
  <c r="Y151" i="14" s="1"/>
  <c r="T151" i="14"/>
  <c r="V151" i="14" s="1"/>
  <c r="S152" i="14"/>
  <c r="T152" i="14"/>
  <c r="U152" i="14"/>
  <c r="V152" i="14"/>
  <c r="X152" i="14"/>
  <c r="Y152" i="14" s="1"/>
  <c r="S153" i="14"/>
  <c r="T153" i="14"/>
  <c r="U153" i="14"/>
  <c r="X153" i="14" s="1"/>
  <c r="Y153" i="14" s="1"/>
  <c r="V153" i="14"/>
  <c r="W153" i="14" s="1"/>
  <c r="S154" i="14"/>
  <c r="T154" i="14"/>
  <c r="U154" i="14"/>
  <c r="X154" i="14" s="1"/>
  <c r="V154" i="14"/>
  <c r="S155" i="14"/>
  <c r="U155" i="14" s="1"/>
  <c r="X155" i="14" s="1"/>
  <c r="T155" i="14"/>
  <c r="V155" i="14"/>
  <c r="S156" i="14"/>
  <c r="U156" i="14" s="1"/>
  <c r="X156" i="14" s="1"/>
  <c r="Y156" i="14" s="1"/>
  <c r="T156" i="14"/>
  <c r="V156" i="14" s="1"/>
  <c r="W156" i="14"/>
  <c r="S157" i="14"/>
  <c r="U157" i="14" s="1"/>
  <c r="X157" i="14" s="1"/>
  <c r="Y157" i="14" s="1"/>
  <c r="AA157" i="14" s="1"/>
  <c r="T157" i="14"/>
  <c r="V157" i="14" s="1"/>
  <c r="W157" i="14" s="1"/>
  <c r="AC157" i="14"/>
  <c r="S158" i="14"/>
  <c r="U158" i="14" s="1"/>
  <c r="X158" i="14" s="1"/>
  <c r="T158" i="14"/>
  <c r="V158" i="14"/>
  <c r="S159" i="14"/>
  <c r="T159" i="14"/>
  <c r="V159" i="14" s="1"/>
  <c r="U159" i="14"/>
  <c r="X159" i="14" s="1"/>
  <c r="Y159" i="14" s="1"/>
  <c r="S160" i="14"/>
  <c r="U160" i="14" s="1"/>
  <c r="X160" i="14" s="1"/>
  <c r="Y160" i="14" s="1"/>
  <c r="T160" i="14"/>
  <c r="V160" i="14" s="1"/>
  <c r="W160" i="14" s="1"/>
  <c r="S161" i="14"/>
  <c r="T161" i="14"/>
  <c r="U161" i="14"/>
  <c r="X161" i="14" s="1"/>
  <c r="Y161" i="14" s="1"/>
  <c r="AA161" i="14" s="1"/>
  <c r="V161" i="14"/>
  <c r="W161" i="14" s="1"/>
  <c r="S162" i="14"/>
  <c r="T162" i="14"/>
  <c r="V162" i="14" s="1"/>
  <c r="U162" i="14"/>
  <c r="X162" i="14" s="1"/>
  <c r="Y162" i="14" s="1"/>
  <c r="S163" i="14"/>
  <c r="U163" i="14" s="1"/>
  <c r="X163" i="14" s="1"/>
  <c r="Y163" i="14" s="1"/>
  <c r="T163" i="14"/>
  <c r="V163" i="14" s="1"/>
  <c r="S164" i="14"/>
  <c r="T164" i="14"/>
  <c r="U164" i="14"/>
  <c r="X164" i="14" s="1"/>
  <c r="Y164" i="14" s="1"/>
  <c r="AA164" i="14" s="1"/>
  <c r="V164" i="14"/>
  <c r="W164" i="14"/>
  <c r="S165" i="14"/>
  <c r="T165" i="14"/>
  <c r="V165" i="14" s="1"/>
  <c r="U165" i="14"/>
  <c r="X165" i="14" s="1"/>
  <c r="Y165" i="14" s="1"/>
  <c r="S166" i="14"/>
  <c r="T166" i="14"/>
  <c r="U166" i="14"/>
  <c r="X166" i="14" s="1"/>
  <c r="V166" i="14"/>
  <c r="W166" i="14" s="1"/>
  <c r="S167" i="14"/>
  <c r="U167" i="14" s="1"/>
  <c r="X167" i="14" s="1"/>
  <c r="Y167" i="14" s="1"/>
  <c r="AA167" i="14" s="1"/>
  <c r="T167" i="14"/>
  <c r="V167" i="14" s="1"/>
  <c r="W167" i="14" s="1"/>
  <c r="S168" i="14"/>
  <c r="T168" i="14"/>
  <c r="V168" i="14" s="1"/>
  <c r="U168" i="14"/>
  <c r="X168" i="14" s="1"/>
  <c r="Y168" i="14" s="1"/>
  <c r="S169" i="14"/>
  <c r="U169" i="14" s="1"/>
  <c r="T169" i="14"/>
  <c r="V169" i="14"/>
  <c r="X169" i="14"/>
  <c r="Y169" i="14" s="1"/>
  <c r="S170" i="14"/>
  <c r="U170" i="14" s="1"/>
  <c r="X170" i="14" s="1"/>
  <c r="Y170" i="14" s="1"/>
  <c r="AA170" i="14" s="1"/>
  <c r="T170" i="14"/>
  <c r="V170" i="14"/>
  <c r="W170" i="14" s="1"/>
  <c r="S171" i="14"/>
  <c r="T171" i="14"/>
  <c r="V171" i="14" s="1"/>
  <c r="U171" i="14"/>
  <c r="X171" i="14" s="1"/>
  <c r="Y171" i="14" s="1"/>
  <c r="S172" i="14"/>
  <c r="U172" i="14" s="1"/>
  <c r="X172" i="14" s="1"/>
  <c r="T172" i="14"/>
  <c r="V172" i="14" s="1"/>
  <c r="S173" i="14"/>
  <c r="U173" i="14" s="1"/>
  <c r="X173" i="14" s="1"/>
  <c r="Y173" i="14" s="1"/>
  <c r="T173" i="14"/>
  <c r="V173" i="14"/>
  <c r="W173" i="14" s="1"/>
  <c r="S174" i="14"/>
  <c r="U174" i="14" s="1"/>
  <c r="X174" i="14" s="1"/>
  <c r="Y174" i="14" s="1"/>
  <c r="AC174" i="14" s="1"/>
  <c r="T174" i="14"/>
  <c r="V174" i="14" s="1"/>
  <c r="W174" i="14" s="1"/>
  <c r="S175" i="14"/>
  <c r="U175" i="14" s="1"/>
  <c r="X175" i="14" s="1"/>
  <c r="T175" i="14"/>
  <c r="V175" i="14" s="1"/>
  <c r="Y175" i="14"/>
  <c r="S176" i="14"/>
  <c r="U176" i="14" s="1"/>
  <c r="X176" i="14" s="1"/>
  <c r="Y176" i="14" s="1"/>
  <c r="T176" i="14"/>
  <c r="V176" i="14" s="1"/>
  <c r="W176" i="14" s="1"/>
  <c r="AC176" i="14"/>
  <c r="S177" i="14"/>
  <c r="U177" i="14" s="1"/>
  <c r="X177" i="14" s="1"/>
  <c r="Y177" i="14" s="1"/>
  <c r="T177" i="14"/>
  <c r="V177" i="14" s="1"/>
  <c r="W177" i="14" s="1"/>
  <c r="S178" i="14"/>
  <c r="U178" i="14" s="1"/>
  <c r="X178" i="14" s="1"/>
  <c r="T178" i="14"/>
  <c r="V178" i="14" s="1"/>
  <c r="S179" i="14"/>
  <c r="U179" i="14" s="1"/>
  <c r="X179" i="14" s="1"/>
  <c r="T179" i="14"/>
  <c r="V179" i="14" s="1"/>
  <c r="S180" i="14"/>
  <c r="U180" i="14" s="1"/>
  <c r="X180" i="14" s="1"/>
  <c r="T180" i="14"/>
  <c r="V180" i="14" s="1"/>
  <c r="W180" i="14" s="1"/>
  <c r="Y180" i="14"/>
  <c r="AC180" i="14"/>
  <c r="S181" i="14"/>
  <c r="U181" i="14" s="1"/>
  <c r="X181" i="14" s="1"/>
  <c r="Y181" i="14" s="1"/>
  <c r="T181" i="14"/>
  <c r="V181" i="14"/>
  <c r="W181" i="14" s="1"/>
  <c r="S182" i="14"/>
  <c r="T182" i="14"/>
  <c r="V182" i="14" s="1"/>
  <c r="U182" i="14"/>
  <c r="X182" i="14" s="1"/>
  <c r="S183" i="14"/>
  <c r="U183" i="14" s="1"/>
  <c r="X183" i="14" s="1"/>
  <c r="Y183" i="14" s="1"/>
  <c r="T183" i="14"/>
  <c r="V183" i="14" s="1"/>
  <c r="W183" i="14"/>
  <c r="S184" i="14"/>
  <c r="U184" i="14" s="1"/>
  <c r="X184" i="14" s="1"/>
  <c r="Y184" i="14" s="1"/>
  <c r="AC184" i="14" s="1"/>
  <c r="T184" i="14"/>
  <c r="V184" i="14" s="1"/>
  <c r="W184" i="14" s="1"/>
  <c r="AA184" i="14"/>
  <c r="S185" i="14"/>
  <c r="U185" i="14" s="1"/>
  <c r="X185" i="14" s="1"/>
  <c r="T185" i="14"/>
  <c r="V185" i="14" s="1"/>
  <c r="S186" i="14"/>
  <c r="U186" i="14" s="1"/>
  <c r="X186" i="14" s="1"/>
  <c r="T186" i="14"/>
  <c r="V186" i="14" s="1"/>
  <c r="S187" i="14"/>
  <c r="U187" i="14" s="1"/>
  <c r="X187" i="14" s="1"/>
  <c r="Y187" i="14" s="1"/>
  <c r="T187" i="14"/>
  <c r="V187" i="14" s="1"/>
  <c r="W187" i="14"/>
  <c r="AA187" i="14"/>
  <c r="S188" i="14"/>
  <c r="U188" i="14" s="1"/>
  <c r="X188" i="14" s="1"/>
  <c r="T188" i="14"/>
  <c r="V188" i="14" s="1"/>
  <c r="S189" i="14"/>
  <c r="U189" i="14" s="1"/>
  <c r="X189" i="14" s="1"/>
  <c r="T189" i="14"/>
  <c r="V189" i="14" s="1"/>
  <c r="S190" i="14"/>
  <c r="U190" i="14" s="1"/>
  <c r="T190" i="14"/>
  <c r="V190" i="14" s="1"/>
  <c r="X190" i="14"/>
  <c r="Y190" i="14" s="1"/>
  <c r="S191" i="14"/>
  <c r="U191" i="14" s="1"/>
  <c r="T191" i="14"/>
  <c r="V191" i="14" s="1"/>
  <c r="W191" i="14" s="1"/>
  <c r="X191" i="14"/>
  <c r="Y191" i="14" s="1"/>
  <c r="AC191" i="14" s="1"/>
  <c r="S192" i="14"/>
  <c r="U192" i="14" s="1"/>
  <c r="T192" i="14"/>
  <c r="V192" i="14" s="1"/>
  <c r="X192" i="14"/>
  <c r="S193" i="14"/>
  <c r="U193" i="14" s="1"/>
  <c r="X193" i="14" s="1"/>
  <c r="Y193" i="14" s="1"/>
  <c r="T193" i="14"/>
  <c r="V193" i="14" s="1"/>
  <c r="W193" i="14" s="1"/>
  <c r="S194" i="14"/>
  <c r="U194" i="14" s="1"/>
  <c r="X194" i="14" s="1"/>
  <c r="Y194" i="14" s="1"/>
  <c r="T194" i="14"/>
  <c r="V194" i="14"/>
  <c r="W194" i="14" s="1"/>
  <c r="AA194" i="14"/>
  <c r="S195" i="14"/>
  <c r="T195" i="14"/>
  <c r="U195" i="14"/>
  <c r="V195" i="14"/>
  <c r="X195" i="14"/>
  <c r="Y195" i="14"/>
  <c r="S196" i="14"/>
  <c r="T196" i="14"/>
  <c r="V196" i="14" s="1"/>
  <c r="U196" i="14"/>
  <c r="W196" i="14"/>
  <c r="X196" i="14"/>
  <c r="Y196" i="14" s="1"/>
  <c r="AA196" i="14" s="1"/>
  <c r="S197" i="14"/>
  <c r="U197" i="14" s="1"/>
  <c r="X197" i="14" s="1"/>
  <c r="Y197" i="14" s="1"/>
  <c r="T197" i="14"/>
  <c r="V197" i="14" s="1"/>
  <c r="W197" i="14" s="1"/>
  <c r="S198" i="14"/>
  <c r="T198" i="14"/>
  <c r="U198" i="14"/>
  <c r="V198" i="14"/>
  <c r="X198" i="14"/>
  <c r="Y198" i="14"/>
  <c r="S199" i="14"/>
  <c r="T199" i="14"/>
  <c r="V199" i="14" s="1"/>
  <c r="U199" i="14"/>
  <c r="X199" i="14"/>
  <c r="Y199" i="14" s="1"/>
  <c r="S200" i="14"/>
  <c r="U200" i="14" s="1"/>
  <c r="X200" i="14" s="1"/>
  <c r="Y200" i="14" s="1"/>
  <c r="T200" i="14"/>
  <c r="V200" i="14" s="1"/>
  <c r="S201" i="14"/>
  <c r="T201" i="14"/>
  <c r="U201" i="14"/>
  <c r="X201" i="14" s="1"/>
  <c r="V201" i="14"/>
  <c r="S202" i="14"/>
  <c r="U202" i="14" s="1"/>
  <c r="X202" i="14" s="1"/>
  <c r="Y202" i="14" s="1"/>
  <c r="T202" i="14"/>
  <c r="V202" i="14" s="1"/>
  <c r="W202" i="14" s="1"/>
  <c r="S203" i="14"/>
  <c r="T203" i="14"/>
  <c r="U203" i="14"/>
  <c r="X203" i="14" s="1"/>
  <c r="V203" i="14"/>
  <c r="W203" i="14" s="1"/>
  <c r="Y203" i="14"/>
  <c r="AC203" i="14" s="1"/>
  <c r="S204" i="14"/>
  <c r="T204" i="14"/>
  <c r="U204" i="14"/>
  <c r="V204" i="14"/>
  <c r="X204" i="14"/>
  <c r="Y204" i="14" s="1"/>
  <c r="S205" i="14"/>
  <c r="U205" i="14" s="1"/>
  <c r="X205" i="14" s="1"/>
  <c r="T205" i="14"/>
  <c r="V205" i="14" s="1"/>
  <c r="Y205" i="14"/>
  <c r="AA205" i="14" s="1"/>
  <c r="AC205" i="14"/>
  <c r="S206" i="14"/>
  <c r="U206" i="14" s="1"/>
  <c r="T206" i="14"/>
  <c r="V206" i="14" s="1"/>
  <c r="X206" i="14"/>
  <c r="S207" i="14"/>
  <c r="T207" i="14"/>
  <c r="V207" i="14" s="1"/>
  <c r="U207" i="14"/>
  <c r="X207" i="14" s="1"/>
  <c r="Y207" i="14" s="1"/>
  <c r="AC207" i="14" s="1"/>
  <c r="W207" i="14"/>
  <c r="AA207" i="14"/>
  <c r="S208" i="14"/>
  <c r="U208" i="14" s="1"/>
  <c r="X208" i="14" s="1"/>
  <c r="Y208" i="14" s="1"/>
  <c r="T208" i="14"/>
  <c r="V208" i="14"/>
  <c r="S209" i="14"/>
  <c r="U209" i="14" s="1"/>
  <c r="X209" i="14" s="1"/>
  <c r="Y209" i="14" s="1"/>
  <c r="T209" i="14"/>
  <c r="V209" i="14"/>
  <c r="W209" i="14" s="1"/>
  <c r="S210" i="14"/>
  <c r="T210" i="14"/>
  <c r="U210" i="14"/>
  <c r="X210" i="14" s="1"/>
  <c r="Y210" i="14" s="1"/>
  <c r="V210" i="14"/>
  <c r="W210" i="14" s="1"/>
  <c r="S211" i="14"/>
  <c r="U211" i="14" s="1"/>
  <c r="X211" i="14" s="1"/>
  <c r="T211" i="14"/>
  <c r="V211" i="14" s="1"/>
  <c r="S212" i="14"/>
  <c r="U212" i="14" s="1"/>
  <c r="X212" i="14" s="1"/>
  <c r="Y212" i="14" s="1"/>
  <c r="T212" i="14"/>
  <c r="V212" i="14" s="1"/>
  <c r="W212" i="14" s="1"/>
  <c r="S213" i="14"/>
  <c r="T213" i="14"/>
  <c r="V213" i="14" s="1"/>
  <c r="W213" i="14" s="1"/>
  <c r="U213" i="14"/>
  <c r="X213" i="14" s="1"/>
  <c r="Y213" i="14" s="1"/>
  <c r="S214" i="14"/>
  <c r="U214" i="14" s="1"/>
  <c r="X214" i="14" s="1"/>
  <c r="Y214" i="14" s="1"/>
  <c r="T214" i="14"/>
  <c r="V214" i="14" s="1"/>
  <c r="W214" i="14" s="1"/>
  <c r="S215" i="14"/>
  <c r="U215" i="14" s="1"/>
  <c r="X215" i="14" s="1"/>
  <c r="T215" i="14"/>
  <c r="V215" i="14"/>
  <c r="S216" i="14"/>
  <c r="T216" i="14"/>
  <c r="V216" i="14" s="1"/>
  <c r="U216" i="14"/>
  <c r="X216" i="14"/>
  <c r="Y216" i="14" s="1"/>
  <c r="S217" i="14"/>
  <c r="T217" i="14"/>
  <c r="V217" i="14" s="1"/>
  <c r="W217" i="14" s="1"/>
  <c r="U217" i="14"/>
  <c r="X217" i="14" s="1"/>
  <c r="Y217" i="14" s="1"/>
  <c r="S218" i="14"/>
  <c r="U218" i="14" s="1"/>
  <c r="X218" i="14" s="1"/>
  <c r="Y218" i="14" s="1"/>
  <c r="AC218" i="14" s="1"/>
  <c r="T218" i="14"/>
  <c r="V218" i="14" s="1"/>
  <c r="W218" i="14" s="1"/>
  <c r="S219" i="14"/>
  <c r="U219" i="14" s="1"/>
  <c r="X219" i="14" s="1"/>
  <c r="T219" i="14"/>
  <c r="V219" i="14"/>
  <c r="W219" i="14"/>
  <c r="S220" i="14"/>
  <c r="T220" i="14"/>
  <c r="U220" i="14"/>
  <c r="V220" i="14"/>
  <c r="W220" i="14" s="1"/>
  <c r="X220" i="14"/>
  <c r="Y220" i="14" s="1"/>
  <c r="S221" i="14"/>
  <c r="T221" i="14"/>
  <c r="V221" i="14" s="1"/>
  <c r="U221" i="14"/>
  <c r="X221" i="14" s="1"/>
  <c r="S222" i="14"/>
  <c r="T222" i="14"/>
  <c r="U222" i="14"/>
  <c r="X222" i="14" s="1"/>
  <c r="V222" i="14"/>
  <c r="W222" i="14"/>
  <c r="Y222" i="14"/>
  <c r="S223" i="14"/>
  <c r="U223" i="14" s="1"/>
  <c r="X223" i="14" s="1"/>
  <c r="Y223" i="14" s="1"/>
  <c r="T223" i="14"/>
  <c r="V223" i="14"/>
  <c r="S224" i="14"/>
  <c r="T224" i="14"/>
  <c r="V224" i="14" s="1"/>
  <c r="U224" i="14"/>
  <c r="X224" i="14"/>
  <c r="Y224" i="14"/>
  <c r="S225" i="14"/>
  <c r="U225" i="14" s="1"/>
  <c r="X225" i="14" s="1"/>
  <c r="Y225" i="14" s="1"/>
  <c r="AC225" i="14" s="1"/>
  <c r="T225" i="14"/>
  <c r="V225" i="14"/>
  <c r="W225" i="14" s="1"/>
  <c r="S226" i="14"/>
  <c r="U226" i="14" s="1"/>
  <c r="X226" i="14" s="1"/>
  <c r="T226" i="14"/>
  <c r="V226" i="14" s="1"/>
  <c r="S227" i="14"/>
  <c r="U227" i="14" s="1"/>
  <c r="X227" i="14" s="1"/>
  <c r="T227" i="14"/>
  <c r="V227" i="14" s="1"/>
  <c r="S228" i="14"/>
  <c r="U228" i="14" s="1"/>
  <c r="X228" i="14" s="1"/>
  <c r="Y228" i="14" s="1"/>
  <c r="T228" i="14"/>
  <c r="V228" i="14" s="1"/>
  <c r="W228" i="14" s="1"/>
  <c r="S229" i="14"/>
  <c r="T229" i="14"/>
  <c r="V229" i="14" s="1"/>
  <c r="W229" i="14" s="1"/>
  <c r="U229" i="14"/>
  <c r="X229" i="14" s="1"/>
  <c r="Y229" i="14" s="1"/>
  <c r="S230" i="14"/>
  <c r="U230" i="14" s="1"/>
  <c r="X230" i="14" s="1"/>
  <c r="Y230" i="14" s="1"/>
  <c r="T230" i="14"/>
  <c r="V230" i="14"/>
  <c r="S231" i="14"/>
  <c r="T231" i="14"/>
  <c r="V231" i="14" s="1"/>
  <c r="U231" i="14"/>
  <c r="X231" i="14" s="1"/>
  <c r="Y231" i="14" s="1"/>
  <c r="W231" i="14"/>
  <c r="S232" i="14"/>
  <c r="U232" i="14" s="1"/>
  <c r="X232" i="14" s="1"/>
  <c r="Y232" i="14" s="1"/>
  <c r="T232" i="14"/>
  <c r="V232" i="14"/>
  <c r="W232" i="14" s="1"/>
  <c r="S233" i="14"/>
  <c r="U233" i="14" s="1"/>
  <c r="X233" i="14" s="1"/>
  <c r="Y233" i="14" s="1"/>
  <c r="T233" i="14"/>
  <c r="V233" i="14" s="1"/>
  <c r="W233" i="14" s="1"/>
  <c r="S234" i="14"/>
  <c r="U234" i="14" s="1"/>
  <c r="X234" i="14" s="1"/>
  <c r="T234" i="14"/>
  <c r="V234" i="14" s="1"/>
  <c r="S235" i="14"/>
  <c r="U235" i="14" s="1"/>
  <c r="X235" i="14" s="1"/>
  <c r="T235" i="14"/>
  <c r="V235" i="14" s="1"/>
  <c r="S236" i="14"/>
  <c r="U236" i="14" s="1"/>
  <c r="X236" i="14" s="1"/>
  <c r="Y236" i="14" s="1"/>
  <c r="T236" i="14"/>
  <c r="V236" i="14" s="1"/>
  <c r="W236" i="14" s="1"/>
  <c r="AA236" i="14"/>
  <c r="S237" i="14"/>
  <c r="U237" i="14" s="1"/>
  <c r="X237" i="14" s="1"/>
  <c r="Y237" i="14" s="1"/>
  <c r="T237" i="14"/>
  <c r="V237" i="14" s="1"/>
  <c r="W237" i="14" s="1"/>
  <c r="S238" i="14"/>
  <c r="U238" i="14" s="1"/>
  <c r="X238" i="14" s="1"/>
  <c r="Y238" i="14" s="1"/>
  <c r="T238" i="14"/>
  <c r="V238" i="14" s="1"/>
  <c r="S239" i="14"/>
  <c r="U239" i="14" s="1"/>
  <c r="X239" i="14" s="1"/>
  <c r="T239" i="14"/>
  <c r="V239" i="14"/>
  <c r="W239" i="14"/>
  <c r="S240" i="14"/>
  <c r="T240" i="14"/>
  <c r="U240" i="14"/>
  <c r="X240" i="14" s="1"/>
  <c r="V240" i="14"/>
  <c r="W240" i="14" s="1"/>
  <c r="Y240" i="14"/>
  <c r="S241" i="14"/>
  <c r="T241" i="14"/>
  <c r="U241" i="14"/>
  <c r="X241" i="14" s="1"/>
  <c r="V241" i="14"/>
  <c r="S242" i="14"/>
  <c r="T242" i="14"/>
  <c r="V242" i="14" s="1"/>
  <c r="U242" i="14"/>
  <c r="X242" i="14" s="1"/>
  <c r="Y242" i="14" s="1"/>
  <c r="W242" i="14"/>
  <c r="S243" i="14"/>
  <c r="U243" i="14" s="1"/>
  <c r="X243" i="14" s="1"/>
  <c r="Y243" i="14" s="1"/>
  <c r="T243" i="14"/>
  <c r="V243" i="14"/>
  <c r="W243" i="14"/>
  <c r="S244" i="14"/>
  <c r="U244" i="14" s="1"/>
  <c r="X244" i="14" s="1"/>
  <c r="T244" i="14"/>
  <c r="V244" i="14" s="1"/>
  <c r="S245" i="14"/>
  <c r="T245" i="14"/>
  <c r="V245" i="14" s="1"/>
  <c r="U245" i="14"/>
  <c r="X245" i="14" s="1"/>
  <c r="Y245" i="14" s="1"/>
  <c r="S246" i="14"/>
  <c r="U246" i="14" s="1"/>
  <c r="X246" i="14" s="1"/>
  <c r="Y246" i="14" s="1"/>
  <c r="AA246" i="14" s="1"/>
  <c r="T246" i="14"/>
  <c r="V246" i="14" s="1"/>
  <c r="W246" i="14" s="1"/>
  <c r="S247" i="14"/>
  <c r="U247" i="14" s="1"/>
  <c r="X247" i="14" s="1"/>
  <c r="Y247" i="14" s="1"/>
  <c r="AC247" i="14" s="1"/>
  <c r="T247" i="14"/>
  <c r="V247" i="14"/>
  <c r="W247" i="14" s="1"/>
  <c r="S248" i="14"/>
  <c r="T248" i="14"/>
  <c r="V248" i="14" s="1"/>
  <c r="U248" i="14"/>
  <c r="X248" i="14" s="1"/>
  <c r="S249" i="14"/>
  <c r="U249" i="14" s="1"/>
  <c r="X249" i="14" s="1"/>
  <c r="T249" i="14"/>
  <c r="V249" i="14" s="1"/>
  <c r="W249" i="14" s="1"/>
  <c r="Y249" i="14"/>
  <c r="AA249" i="14" s="1"/>
  <c r="AC249" i="14"/>
  <c r="S250" i="14"/>
  <c r="U250" i="14" s="1"/>
  <c r="X250" i="14" s="1"/>
  <c r="Y250" i="14" s="1"/>
  <c r="T250" i="14"/>
  <c r="V250" i="14" s="1"/>
  <c r="W250" i="14" s="1"/>
  <c r="S251" i="14"/>
  <c r="U251" i="14" s="1"/>
  <c r="T251" i="14"/>
  <c r="V251" i="14"/>
  <c r="X251" i="14"/>
  <c r="Y251" i="14" s="1"/>
  <c r="AA251" i="14"/>
  <c r="S252" i="14"/>
  <c r="T252" i="14"/>
  <c r="U252" i="14"/>
  <c r="X252" i="14" s="1"/>
  <c r="V252" i="14"/>
  <c r="W252" i="14" s="1"/>
  <c r="Y252" i="14"/>
  <c r="S253" i="14"/>
  <c r="T253" i="14"/>
  <c r="U253" i="14"/>
  <c r="V253" i="14"/>
  <c r="X253" i="14"/>
  <c r="Y253" i="14"/>
  <c r="S254" i="14"/>
  <c r="T254" i="14"/>
  <c r="V254" i="14" s="1"/>
  <c r="U254" i="14"/>
  <c r="X254" i="14" s="1"/>
  <c r="Y254" i="14" s="1"/>
  <c r="W254" i="14"/>
  <c r="S255" i="14"/>
  <c r="U255" i="14" s="1"/>
  <c r="X255" i="14" s="1"/>
  <c r="Y255" i="14" s="1"/>
  <c r="T255" i="14"/>
  <c r="V255" i="14" s="1"/>
  <c r="W255" i="14" s="1"/>
  <c r="S5" i="14"/>
  <c r="T5" i="14"/>
  <c r="V5" i="14"/>
  <c r="P5" i="14"/>
  <c r="Q5" i="14"/>
  <c r="H4" i="14"/>
  <c r="I4" i="14"/>
  <c r="F4" i="14"/>
  <c r="D5" i="14"/>
  <c r="Y124" i="14" s="1"/>
  <c r="D4" i="14"/>
  <c r="W65" i="14" s="1"/>
  <c r="E27" i="13"/>
  <c r="F27" i="13"/>
  <c r="G27" i="13"/>
  <c r="H27" i="13"/>
  <c r="I27" i="13"/>
  <c r="J27" i="13"/>
  <c r="K27" i="13"/>
  <c r="L27" i="13"/>
  <c r="M27" i="13"/>
  <c r="N27" i="13"/>
  <c r="O27" i="13"/>
  <c r="P27" i="13"/>
  <c r="E26" i="13"/>
  <c r="F26" i="13"/>
  <c r="G26" i="13"/>
  <c r="H26" i="13"/>
  <c r="I26" i="13"/>
  <c r="J26" i="13"/>
  <c r="K26" i="13"/>
  <c r="L26" i="13"/>
  <c r="M26" i="13"/>
  <c r="N26" i="13"/>
  <c r="O26" i="13"/>
  <c r="P26" i="13"/>
  <c r="E23" i="13"/>
  <c r="F23" i="13"/>
  <c r="G23" i="13"/>
  <c r="H23" i="13"/>
  <c r="I23" i="13"/>
  <c r="J23" i="13"/>
  <c r="K23" i="13"/>
  <c r="L23" i="13"/>
  <c r="M23" i="13"/>
  <c r="N23" i="13"/>
  <c r="O23" i="13"/>
  <c r="P23" i="13"/>
  <c r="E22" i="13"/>
  <c r="F22" i="13"/>
  <c r="G22" i="13"/>
  <c r="H22" i="13"/>
  <c r="I22" i="13"/>
  <c r="J22" i="13"/>
  <c r="K22" i="13"/>
  <c r="L22" i="13"/>
  <c r="M22" i="13"/>
  <c r="N22" i="13"/>
  <c r="O22" i="13"/>
  <c r="P22" i="13"/>
  <c r="E16" i="13"/>
  <c r="F16" i="13"/>
  <c r="G16" i="13"/>
  <c r="H16" i="13"/>
  <c r="I16" i="13"/>
  <c r="J16" i="13"/>
  <c r="K16" i="13"/>
  <c r="L16" i="13"/>
  <c r="M16" i="13"/>
  <c r="N16" i="13"/>
  <c r="O16" i="13"/>
  <c r="P16" i="13"/>
  <c r="E15" i="13"/>
  <c r="F15" i="13"/>
  <c r="G15" i="13"/>
  <c r="H15" i="13"/>
  <c r="I15" i="13"/>
  <c r="J15" i="13"/>
  <c r="K15" i="13"/>
  <c r="L15" i="13"/>
  <c r="M15" i="13"/>
  <c r="N15" i="13"/>
  <c r="O15" i="13"/>
  <c r="P15" i="13"/>
  <c r="A30" i="13"/>
  <c r="B30" i="13"/>
  <c r="C30" i="13"/>
  <c r="D30" i="13"/>
  <c r="E30" i="13"/>
  <c r="F30" i="13"/>
  <c r="G30" i="13"/>
  <c r="H30" i="13"/>
  <c r="I30" i="13"/>
  <c r="J30" i="13"/>
  <c r="K30" i="13"/>
  <c r="L30" i="13"/>
  <c r="M30" i="13"/>
  <c r="N30" i="13"/>
  <c r="O30" i="13"/>
  <c r="P30" i="13"/>
  <c r="A21" i="13"/>
  <c r="B21" i="13"/>
  <c r="C21" i="13"/>
  <c r="D21" i="13"/>
  <c r="E21" i="13"/>
  <c r="F21" i="13"/>
  <c r="G21" i="13"/>
  <c r="H21" i="13"/>
  <c r="I21" i="13"/>
  <c r="J21" i="13"/>
  <c r="K21" i="13"/>
  <c r="L21" i="13"/>
  <c r="M21" i="13"/>
  <c r="N21" i="13"/>
  <c r="O21" i="13"/>
  <c r="P21" i="13"/>
  <c r="A20" i="13"/>
  <c r="B20" i="13"/>
  <c r="C20" i="13"/>
  <c r="D20" i="13"/>
  <c r="E20" i="13"/>
  <c r="F20" i="13"/>
  <c r="G20" i="13"/>
  <c r="H20" i="13"/>
  <c r="I20" i="13"/>
  <c r="J20" i="13"/>
  <c r="K20" i="13"/>
  <c r="L20" i="13"/>
  <c r="M20" i="13"/>
  <c r="N20" i="13"/>
  <c r="O20" i="13"/>
  <c r="P20" i="13"/>
  <c r="A19" i="13"/>
  <c r="B19" i="13"/>
  <c r="C19" i="13"/>
  <c r="D19" i="13"/>
  <c r="E19" i="13"/>
  <c r="F19" i="13"/>
  <c r="G19" i="13"/>
  <c r="H19" i="13"/>
  <c r="I19" i="13"/>
  <c r="J19" i="13"/>
  <c r="K19" i="13"/>
  <c r="L19" i="13"/>
  <c r="M19" i="13"/>
  <c r="N19" i="13"/>
  <c r="O19" i="13"/>
  <c r="P19" i="13"/>
  <c r="A14" i="13"/>
  <c r="B14" i="13"/>
  <c r="C14" i="13"/>
  <c r="D14" i="13"/>
  <c r="E14" i="13"/>
  <c r="F14" i="13"/>
  <c r="G14" i="13"/>
  <c r="H14" i="13"/>
  <c r="I14" i="13"/>
  <c r="J14" i="13"/>
  <c r="K14" i="13"/>
  <c r="L14" i="13"/>
  <c r="M14" i="13"/>
  <c r="N14" i="13"/>
  <c r="O14" i="13"/>
  <c r="P14" i="13"/>
  <c r="A13" i="13"/>
  <c r="B13" i="13"/>
  <c r="C13" i="13"/>
  <c r="D13" i="13"/>
  <c r="E13" i="13"/>
  <c r="F13" i="13"/>
  <c r="G13" i="13"/>
  <c r="H13" i="13"/>
  <c r="I13" i="13"/>
  <c r="J13" i="13"/>
  <c r="K13" i="13"/>
  <c r="L13" i="13"/>
  <c r="M13" i="13"/>
  <c r="N13" i="13"/>
  <c r="O13" i="13"/>
  <c r="P13" i="13"/>
  <c r="A12" i="13"/>
  <c r="B12" i="13"/>
  <c r="C12" i="13"/>
  <c r="D12" i="13"/>
  <c r="E12" i="13"/>
  <c r="F12" i="13"/>
  <c r="G12" i="13"/>
  <c r="H12" i="13"/>
  <c r="I12" i="13"/>
  <c r="J12" i="13"/>
  <c r="K12" i="13"/>
  <c r="L12" i="13"/>
  <c r="M12" i="13"/>
  <c r="N12" i="13"/>
  <c r="O12" i="13"/>
  <c r="P12" i="13"/>
  <c r="A11" i="13"/>
  <c r="B11" i="13"/>
  <c r="C11" i="13"/>
  <c r="D11" i="13"/>
  <c r="E11" i="13"/>
  <c r="F11" i="13"/>
  <c r="G11" i="13"/>
  <c r="H11" i="13"/>
  <c r="I11" i="13"/>
  <c r="J11" i="13"/>
  <c r="K11" i="13"/>
  <c r="L11" i="13"/>
  <c r="M11" i="13"/>
  <c r="N11" i="13"/>
  <c r="O11" i="13"/>
  <c r="P11" i="13"/>
  <c r="A8" i="13"/>
  <c r="B8" i="13"/>
  <c r="A7" i="13"/>
  <c r="B7" i="13"/>
  <c r="C7" i="13"/>
  <c r="D7" i="13"/>
  <c r="E7" i="13"/>
  <c r="F7" i="13"/>
  <c r="G7" i="13"/>
  <c r="H7" i="13"/>
  <c r="I7" i="13"/>
  <c r="J7" i="13"/>
  <c r="K7" i="13"/>
  <c r="L7" i="13"/>
  <c r="M7" i="13"/>
  <c r="N7" i="13"/>
  <c r="O7" i="13"/>
  <c r="P7" i="13"/>
  <c r="G46" i="13"/>
  <c r="L46" i="13"/>
  <c r="N46" i="13"/>
  <c r="O46" i="13"/>
  <c r="P46" i="13"/>
  <c r="Q46" i="13"/>
  <c r="R46" i="13"/>
  <c r="G45" i="13"/>
  <c r="L45" i="13"/>
  <c r="P45" i="13" s="1"/>
  <c r="M45" i="13"/>
  <c r="N45" i="13"/>
  <c r="O45" i="13"/>
  <c r="Q45" i="13"/>
  <c r="R45" i="13"/>
  <c r="G44" i="13"/>
  <c r="L44" i="13"/>
  <c r="M44" i="13"/>
  <c r="N44" i="13"/>
  <c r="O44" i="13"/>
  <c r="P44" i="13"/>
  <c r="Q44" i="13"/>
  <c r="R44" i="13"/>
  <c r="C43" i="13"/>
  <c r="D43" i="13"/>
  <c r="E43" i="13"/>
  <c r="F43" i="13"/>
  <c r="G43" i="13"/>
  <c r="H43" i="13"/>
  <c r="L43" i="13"/>
  <c r="M43" i="13"/>
  <c r="N43" i="13"/>
  <c r="R43" i="13" s="1"/>
  <c r="O43" i="13"/>
  <c r="P43" i="13"/>
  <c r="Q43" i="13"/>
  <c r="G42" i="13"/>
  <c r="L42" i="13"/>
  <c r="P42" i="13" s="1"/>
  <c r="N42" i="13"/>
  <c r="O42" i="13"/>
  <c r="Q42" i="13"/>
  <c r="R42" i="13"/>
  <c r="C41" i="13"/>
  <c r="D41" i="13"/>
  <c r="E41" i="13"/>
  <c r="F41" i="13"/>
  <c r="G41" i="13"/>
  <c r="H41" i="13"/>
  <c r="K41" i="13"/>
  <c r="L41" i="13"/>
  <c r="M41" i="13"/>
  <c r="Q41" i="13" s="1"/>
  <c r="N41" i="13"/>
  <c r="R41" i="13" s="1"/>
  <c r="O41" i="13"/>
  <c r="P41" i="13"/>
  <c r="C40" i="13"/>
  <c r="D40" i="13"/>
  <c r="E40" i="13"/>
  <c r="F40" i="13"/>
  <c r="G40" i="13"/>
  <c r="H40" i="13"/>
  <c r="L40" i="13"/>
  <c r="M40" i="13"/>
  <c r="N40" i="13"/>
  <c r="R40" i="13" s="1"/>
  <c r="O40" i="13"/>
  <c r="P40" i="13"/>
  <c r="Q40" i="13"/>
  <c r="C39" i="13"/>
  <c r="D39" i="13"/>
  <c r="E39" i="13"/>
  <c r="F39" i="13"/>
  <c r="G39" i="13"/>
  <c r="L39" i="13"/>
  <c r="M39" i="13"/>
  <c r="N39" i="13"/>
  <c r="O39" i="13"/>
  <c r="P39" i="13"/>
  <c r="Q39" i="13"/>
  <c r="R39" i="13"/>
  <c r="C38" i="13"/>
  <c r="D38" i="13"/>
  <c r="E38" i="13"/>
  <c r="F38" i="13"/>
  <c r="G38" i="13"/>
  <c r="C37" i="13"/>
  <c r="D37" i="13"/>
  <c r="E37" i="13"/>
  <c r="F37" i="13"/>
  <c r="G37" i="13"/>
  <c r="K37" i="13"/>
  <c r="O37" i="13" s="1"/>
  <c r="L37" i="13"/>
  <c r="M37" i="13"/>
  <c r="N37" i="13"/>
  <c r="R37" i="13" s="1"/>
  <c r="P37" i="13"/>
  <c r="Q37" i="13"/>
  <c r="Q40" i="3"/>
  <c r="Q39" i="3"/>
  <c r="R39" i="3"/>
  <c r="S39" i="3"/>
  <c r="W39" i="3" s="1"/>
  <c r="T39" i="3"/>
  <c r="U39" i="3"/>
  <c r="V39" i="3"/>
  <c r="X39" i="3"/>
  <c r="Y39" i="3"/>
  <c r="P39" i="3"/>
  <c r="R40" i="3"/>
  <c r="S40" i="3" s="1"/>
  <c r="T40" i="3" s="1"/>
  <c r="U40" i="3" s="1"/>
  <c r="V40" i="3" s="1"/>
  <c r="W40" i="3" s="1"/>
  <c r="X40" i="3" s="1"/>
  <c r="Y40" i="3" s="1"/>
  <c r="P40" i="3"/>
  <c r="K40" i="3"/>
  <c r="L40" i="3"/>
  <c r="M40" i="3"/>
  <c r="N40" i="3"/>
  <c r="O40" i="3"/>
  <c r="J40" i="3"/>
  <c r="N42" i="3"/>
  <c r="N41" i="3"/>
  <c r="O41" i="3"/>
  <c r="O42" i="3"/>
  <c r="AG40" i="5"/>
  <c r="AF40" i="5"/>
  <c r="AD40" i="5"/>
  <c r="AC40" i="5"/>
  <c r="F40" i="5"/>
  <c r="G40" i="5"/>
  <c r="H40" i="5"/>
  <c r="I40" i="5"/>
  <c r="I41" i="5" s="1"/>
  <c r="H25" i="3" s="1"/>
  <c r="J40" i="5"/>
  <c r="K40" i="5"/>
  <c r="L40" i="5"/>
  <c r="M40" i="5"/>
  <c r="M42" i="5" s="1"/>
  <c r="L26" i="3" s="1"/>
  <c r="N40" i="5"/>
  <c r="O40" i="5"/>
  <c r="O42" i="5" s="1"/>
  <c r="N26" i="3" s="1"/>
  <c r="P40" i="5"/>
  <c r="Q40" i="5"/>
  <c r="R40" i="5"/>
  <c r="S40" i="5"/>
  <c r="T40" i="5"/>
  <c r="U40" i="5"/>
  <c r="V40" i="5"/>
  <c r="W40" i="5"/>
  <c r="X40" i="5"/>
  <c r="Y40" i="5"/>
  <c r="Z40" i="5"/>
  <c r="G41" i="5"/>
  <c r="F25" i="3" s="1"/>
  <c r="K41" i="5"/>
  <c r="J25" i="3" s="1"/>
  <c r="L41" i="5"/>
  <c r="K25" i="3" s="1"/>
  <c r="M41" i="5"/>
  <c r="M43" i="5" s="1"/>
  <c r="G42" i="5"/>
  <c r="F26" i="3" s="1"/>
  <c r="H42" i="5"/>
  <c r="I42" i="5"/>
  <c r="H26" i="3" s="1"/>
  <c r="K42" i="5"/>
  <c r="J26" i="3" s="1"/>
  <c r="L42" i="5"/>
  <c r="K26" i="3" s="1"/>
  <c r="G44" i="5"/>
  <c r="I44" i="5"/>
  <c r="H28" i="3" s="1"/>
  <c r="C39" i="12"/>
  <c r="C40" i="12" s="1"/>
  <c r="B21" i="12"/>
  <c r="B20" i="12"/>
  <c r="B19" i="12"/>
  <c r="B50" i="12" s="1"/>
  <c r="B15" i="12"/>
  <c r="B98" i="11"/>
  <c r="F97" i="11"/>
  <c r="D97" i="11"/>
  <c r="C97" i="11"/>
  <c r="F96" i="11"/>
  <c r="D95" i="11"/>
  <c r="C95" i="11"/>
  <c r="B95" i="11"/>
  <c r="D91" i="11"/>
  <c r="B91" i="11"/>
  <c r="F85" i="11"/>
  <c r="C85" i="11"/>
  <c r="B80" i="11"/>
  <c r="D79" i="11"/>
  <c r="B78" i="11"/>
  <c r="B77" i="11"/>
  <c r="C71" i="11"/>
  <c r="C72" i="11" s="1"/>
  <c r="C104" i="11" s="1"/>
  <c r="B71" i="11"/>
  <c r="B72" i="11" s="1"/>
  <c r="B104" i="11" s="1"/>
  <c r="D70" i="11"/>
  <c r="F98" i="11" s="1"/>
  <c r="C70" i="11"/>
  <c r="C98" i="11" s="1"/>
  <c r="B70" i="11"/>
  <c r="F69" i="11"/>
  <c r="E69" i="11"/>
  <c r="E70" i="11" s="1"/>
  <c r="E98" i="11" s="1"/>
  <c r="F68" i="11"/>
  <c r="E67" i="11"/>
  <c r="E92" i="11" s="1"/>
  <c r="D67" i="11"/>
  <c r="B67" i="11"/>
  <c r="B92" i="11" s="1"/>
  <c r="F66" i="11"/>
  <c r="E66" i="11"/>
  <c r="D66" i="11"/>
  <c r="D71" i="11" s="1"/>
  <c r="D72" i="11" s="1"/>
  <c r="C66" i="11"/>
  <c r="C67" i="11" s="1"/>
  <c r="C92" i="11" s="1"/>
  <c r="D65" i="11"/>
  <c r="F86" i="11" s="1"/>
  <c r="C65" i="11"/>
  <c r="C86" i="11" s="1"/>
  <c r="B65" i="11"/>
  <c r="B86" i="11" s="1"/>
  <c r="F64" i="11"/>
  <c r="E64" i="11"/>
  <c r="E65" i="11" s="1"/>
  <c r="E86" i="11" s="1"/>
  <c r="D63" i="11"/>
  <c r="C63" i="11"/>
  <c r="C80" i="11" s="1"/>
  <c r="B63" i="11"/>
  <c r="F62" i="11"/>
  <c r="E62" i="11"/>
  <c r="E63" i="11" s="1"/>
  <c r="E80" i="11" s="1"/>
  <c r="F61" i="11"/>
  <c r="E61" i="11"/>
  <c r="B58" i="11"/>
  <c r="B103" i="11" s="1"/>
  <c r="D57" i="11"/>
  <c r="D58" i="11" s="1"/>
  <c r="C57" i="11"/>
  <c r="C58" i="11" s="1"/>
  <c r="C103" i="11" s="1"/>
  <c r="B57" i="11"/>
  <c r="D56" i="11"/>
  <c r="C56" i="11"/>
  <c r="B56" i="11"/>
  <c r="B97" i="11" s="1"/>
  <c r="F55" i="11"/>
  <c r="E55" i="11"/>
  <c r="E56" i="11" s="1"/>
  <c r="E97" i="11" s="1"/>
  <c r="F54" i="11"/>
  <c r="E53" i="11"/>
  <c r="E91" i="11" s="1"/>
  <c r="D53" i="11"/>
  <c r="C53" i="11"/>
  <c r="B53" i="11"/>
  <c r="F52" i="11"/>
  <c r="E52" i="11"/>
  <c r="D51" i="11"/>
  <c r="D85" i="11" s="1"/>
  <c r="C51" i="11"/>
  <c r="B51" i="11"/>
  <c r="B85" i="11" s="1"/>
  <c r="F50" i="11"/>
  <c r="E50" i="11"/>
  <c r="E51" i="11" s="1"/>
  <c r="E85" i="11" s="1"/>
  <c r="E49" i="11"/>
  <c r="E79" i="11" s="1"/>
  <c r="D49" i="11"/>
  <c r="C49" i="11"/>
  <c r="B49" i="11"/>
  <c r="B79" i="11" s="1"/>
  <c r="F48" i="11"/>
  <c r="E48" i="11"/>
  <c r="F47" i="11"/>
  <c r="E47" i="11"/>
  <c r="C43" i="11"/>
  <c r="C44" i="11" s="1"/>
  <c r="C102" i="11" s="1"/>
  <c r="B43" i="11"/>
  <c r="B44" i="11" s="1"/>
  <c r="B102" i="11" s="1"/>
  <c r="D42" i="11"/>
  <c r="D96" i="11" s="1"/>
  <c r="C42" i="11"/>
  <c r="C96" i="11" s="1"/>
  <c r="B42" i="11"/>
  <c r="B96" i="11" s="1"/>
  <c r="F41" i="11"/>
  <c r="E41" i="11"/>
  <c r="E42" i="11" s="1"/>
  <c r="E96" i="11" s="1"/>
  <c r="F40" i="11"/>
  <c r="E39" i="11"/>
  <c r="E90" i="11" s="1"/>
  <c r="D39" i="11"/>
  <c r="D90" i="11" s="1"/>
  <c r="B39" i="11"/>
  <c r="B90" i="11" s="1"/>
  <c r="F38" i="11"/>
  <c r="E38" i="11"/>
  <c r="D38" i="11"/>
  <c r="D43" i="11" s="1"/>
  <c r="D44" i="11" s="1"/>
  <c r="C38" i="11"/>
  <c r="C39" i="11" s="1"/>
  <c r="D37" i="11"/>
  <c r="F84" i="11" s="1"/>
  <c r="C37" i="11"/>
  <c r="C84" i="11" s="1"/>
  <c r="B37" i="11"/>
  <c r="B84" i="11" s="1"/>
  <c r="F36" i="11"/>
  <c r="E36" i="11"/>
  <c r="E37" i="11" s="1"/>
  <c r="E84" i="11" s="1"/>
  <c r="D35" i="11"/>
  <c r="C35" i="11"/>
  <c r="C78" i="11" s="1"/>
  <c r="B35" i="11"/>
  <c r="F34" i="11"/>
  <c r="E34" i="11"/>
  <c r="E35" i="11" s="1"/>
  <c r="E78" i="11" s="1"/>
  <c r="F33" i="11"/>
  <c r="E33" i="11"/>
  <c r="B30" i="11"/>
  <c r="B101" i="11" s="1"/>
  <c r="D29" i="11"/>
  <c r="D30" i="11" s="1"/>
  <c r="C29" i="11"/>
  <c r="C30" i="11" s="1"/>
  <c r="C101" i="11" s="1"/>
  <c r="B29" i="11"/>
  <c r="D28" i="11"/>
  <c r="F95" i="11" s="1"/>
  <c r="C28" i="11"/>
  <c r="B28" i="11"/>
  <c r="F27" i="11"/>
  <c r="E27" i="11"/>
  <c r="E28" i="11" s="1"/>
  <c r="E95" i="11" s="1"/>
  <c r="F26" i="11"/>
  <c r="C25" i="11"/>
  <c r="C89" i="11" s="1"/>
  <c r="B25" i="11"/>
  <c r="B89" i="11" s="1"/>
  <c r="E24" i="11"/>
  <c r="D24" i="11"/>
  <c r="F24" i="11" s="1"/>
  <c r="C24" i="11"/>
  <c r="D23" i="11"/>
  <c r="F83" i="11" s="1"/>
  <c r="C23" i="11"/>
  <c r="C83" i="11" s="1"/>
  <c r="B23" i="11"/>
  <c r="B83" i="11" s="1"/>
  <c r="F22" i="11"/>
  <c r="E22" i="11"/>
  <c r="E21" i="11"/>
  <c r="E77" i="11" s="1"/>
  <c r="D21" i="11"/>
  <c r="F77" i="11" s="1"/>
  <c r="C21" i="11"/>
  <c r="C77" i="11" s="1"/>
  <c r="B21" i="11"/>
  <c r="F20" i="11"/>
  <c r="E20" i="11"/>
  <c r="F19" i="11"/>
  <c r="E19" i="11"/>
  <c r="E23" i="11" s="1"/>
  <c r="E83" i="11" s="1"/>
  <c r="E13" i="11"/>
  <c r="E14" i="11" s="1"/>
  <c r="E94" i="11" s="1"/>
  <c r="E10" i="11"/>
  <c r="E8" i="11"/>
  <c r="E9" i="11" s="1"/>
  <c r="E82" i="11" s="1"/>
  <c r="E7" i="11"/>
  <c r="E76" i="11" s="1"/>
  <c r="E6" i="11"/>
  <c r="E5" i="11"/>
  <c r="E11" i="11" s="1"/>
  <c r="E88" i="11" s="1"/>
  <c r="D96" i="10"/>
  <c r="F95" i="10"/>
  <c r="B94" i="10"/>
  <c r="E91" i="10"/>
  <c r="D88" i="10"/>
  <c r="B88" i="10"/>
  <c r="C84" i="10"/>
  <c r="C90" i="10" s="1"/>
  <c r="F82" i="10"/>
  <c r="E82" i="10"/>
  <c r="D82" i="10"/>
  <c r="C82" i="10"/>
  <c r="B81" i="10"/>
  <c r="B82" i="10" s="1"/>
  <c r="F80" i="10"/>
  <c r="E80" i="10"/>
  <c r="D80" i="10"/>
  <c r="C80" i="10"/>
  <c r="B80" i="10"/>
  <c r="F79" i="10"/>
  <c r="F83" i="10" s="1"/>
  <c r="E79" i="10"/>
  <c r="E83" i="10" s="1"/>
  <c r="D79" i="10"/>
  <c r="D83" i="10" s="1"/>
  <c r="D84" i="10" s="1"/>
  <c r="D90" i="10" s="1"/>
  <c r="C79" i="10"/>
  <c r="C83" i="10" s="1"/>
  <c r="F77" i="10"/>
  <c r="F97" i="10" s="1"/>
  <c r="E77" i="10"/>
  <c r="D77" i="10"/>
  <c r="C77" i="10"/>
  <c r="B77" i="10"/>
  <c r="B95" i="10" s="1"/>
  <c r="F72" i="10"/>
  <c r="E72" i="10"/>
  <c r="E73" i="10" s="1"/>
  <c r="E92" i="10" s="1"/>
  <c r="C72" i="10"/>
  <c r="B72" i="10"/>
  <c r="F70" i="10"/>
  <c r="E70" i="10"/>
  <c r="D70" i="10"/>
  <c r="D72" i="10" s="1"/>
  <c r="C70" i="10"/>
  <c r="B70" i="10"/>
  <c r="D68" i="10"/>
  <c r="C68" i="10"/>
  <c r="C96" i="10" s="1"/>
  <c r="F66" i="10"/>
  <c r="E66" i="10"/>
  <c r="E68" i="10" s="1"/>
  <c r="D66" i="10"/>
  <c r="C66" i="10"/>
  <c r="C88" i="10" s="1"/>
  <c r="B66" i="10"/>
  <c r="B68" i="10" s="1"/>
  <c r="E62" i="10"/>
  <c r="E87" i="10" s="1"/>
  <c r="B62" i="10"/>
  <c r="F58" i="10"/>
  <c r="F62" i="10" s="1"/>
  <c r="E58" i="10"/>
  <c r="D58" i="10"/>
  <c r="D62" i="10" s="1"/>
  <c r="C58" i="10"/>
  <c r="B58" i="10"/>
  <c r="C35" i="10"/>
  <c r="F34" i="10"/>
  <c r="F35" i="10" s="1"/>
  <c r="E34" i="10"/>
  <c r="E35" i="10" s="1"/>
  <c r="D34" i="10"/>
  <c r="D35" i="10" s="1"/>
  <c r="C34" i="10"/>
  <c r="B34" i="10"/>
  <c r="B35" i="10" s="1"/>
  <c r="F33" i="10"/>
  <c r="E33" i="10"/>
  <c r="D33" i="10"/>
  <c r="C33" i="10"/>
  <c r="B33" i="10"/>
  <c r="F31" i="10"/>
  <c r="E31" i="10"/>
  <c r="D31" i="10"/>
  <c r="C31" i="10"/>
  <c r="B31" i="10"/>
  <c r="F29" i="10"/>
  <c r="E29" i="10"/>
  <c r="D29" i="10"/>
  <c r="C29" i="10"/>
  <c r="B29" i="10"/>
  <c r="F27" i="10"/>
  <c r="E27" i="10"/>
  <c r="D27" i="10"/>
  <c r="C27" i="10"/>
  <c r="B27" i="10"/>
  <c r="F21" i="10"/>
  <c r="E21" i="10"/>
  <c r="D21" i="10"/>
  <c r="C21" i="10"/>
  <c r="B21" i="10"/>
  <c r="F18" i="10"/>
  <c r="E18" i="10"/>
  <c r="D18" i="10"/>
  <c r="C18" i="10"/>
  <c r="B18" i="10"/>
  <c r="F17" i="10"/>
  <c r="E17" i="10"/>
  <c r="D17" i="10"/>
  <c r="C17" i="10"/>
  <c r="B17" i="10"/>
  <c r="F14" i="10"/>
  <c r="E14" i="10"/>
  <c r="F13" i="10"/>
  <c r="E13" i="10"/>
  <c r="D13" i="10"/>
  <c r="D14" i="10" s="1"/>
  <c r="C13" i="10"/>
  <c r="C14" i="10" s="1"/>
  <c r="B13" i="10"/>
  <c r="B14" i="10" s="1"/>
  <c r="F12" i="10"/>
  <c r="E12" i="10"/>
  <c r="D12" i="10"/>
  <c r="C12" i="10"/>
  <c r="B12" i="10"/>
  <c r="F10" i="10"/>
  <c r="E10" i="10"/>
  <c r="D10" i="10"/>
  <c r="C10" i="10"/>
  <c r="B10" i="10"/>
  <c r="F7" i="10"/>
  <c r="E7" i="10"/>
  <c r="D7" i="10"/>
  <c r="C7" i="10"/>
  <c r="B7" i="10"/>
  <c r="L22" i="9"/>
  <c r="L24" i="9" s="1"/>
  <c r="H22" i="9"/>
  <c r="H24" i="9" s="1"/>
  <c r="D22" i="9"/>
  <c r="D24" i="9" s="1"/>
  <c r="M17" i="9"/>
  <c r="I17" i="9"/>
  <c r="E17" i="9"/>
  <c r="L53" i="7"/>
  <c r="L19" i="9" s="1"/>
  <c r="E43" i="7"/>
  <c r="E46" i="7" s="1"/>
  <c r="D43" i="7"/>
  <c r="D46" i="7" s="1"/>
  <c r="D53" i="7" s="1"/>
  <c r="D19" i="9" s="1"/>
  <c r="C43" i="7"/>
  <c r="C46" i="7" s="1"/>
  <c r="C53" i="7" s="1"/>
  <c r="C19" i="9" s="1"/>
  <c r="O40" i="7"/>
  <c r="O43" i="7" s="1"/>
  <c r="O46" i="7" s="1"/>
  <c r="O53" i="7" s="1"/>
  <c r="O19" i="9" s="1"/>
  <c r="N40" i="7"/>
  <c r="M40" i="7"/>
  <c r="L40" i="7"/>
  <c r="K40" i="7"/>
  <c r="J40" i="7"/>
  <c r="I40" i="7"/>
  <c r="H40" i="7"/>
  <c r="G40" i="7"/>
  <c r="G43" i="7" s="1"/>
  <c r="G46" i="7" s="1"/>
  <c r="F40" i="7"/>
  <c r="E40" i="7"/>
  <c r="D40" i="7"/>
  <c r="C40" i="7"/>
  <c r="B40" i="7"/>
  <c r="O32" i="7"/>
  <c r="N32" i="7"/>
  <c r="M32" i="7"/>
  <c r="L32" i="7"/>
  <c r="K32" i="7"/>
  <c r="J32" i="7"/>
  <c r="I32" i="7"/>
  <c r="H32" i="7"/>
  <c r="G32" i="7"/>
  <c r="F32" i="7"/>
  <c r="E32" i="7"/>
  <c r="D32" i="7"/>
  <c r="C32" i="7"/>
  <c r="B32" i="7"/>
  <c r="O23" i="7"/>
  <c r="N23" i="7"/>
  <c r="M23" i="7"/>
  <c r="M43" i="7" s="1"/>
  <c r="M46" i="7" s="1"/>
  <c r="M53" i="7" s="1"/>
  <c r="M19" i="9" s="1"/>
  <c r="L23" i="7"/>
  <c r="L43" i="7" s="1"/>
  <c r="L46" i="7" s="1"/>
  <c r="K23" i="7"/>
  <c r="J23" i="7"/>
  <c r="I23" i="7"/>
  <c r="H23" i="7"/>
  <c r="G23" i="7"/>
  <c r="F23" i="7"/>
  <c r="E23" i="7"/>
  <c r="D23" i="7"/>
  <c r="C23" i="7"/>
  <c r="B23" i="7"/>
  <c r="AD46" i="6"/>
  <c r="AB46" i="6"/>
  <c r="N46" i="6"/>
  <c r="J46" i="6"/>
  <c r="AC46" i="6" s="1"/>
  <c r="F46" i="6"/>
  <c r="B46" i="6"/>
  <c r="AA46" i="6" s="1"/>
  <c r="AF45" i="6"/>
  <c r="AE45" i="6"/>
  <c r="O45" i="6"/>
  <c r="N45" i="6"/>
  <c r="M45" i="6"/>
  <c r="L45" i="6"/>
  <c r="K45" i="6"/>
  <c r="J45" i="6"/>
  <c r="I45" i="6"/>
  <c r="H45" i="6"/>
  <c r="G45" i="6"/>
  <c r="F45" i="6"/>
  <c r="AB45" i="6" s="1"/>
  <c r="E45" i="6"/>
  <c r="D45" i="6"/>
  <c r="C45" i="6"/>
  <c r="AA45" i="6" s="1"/>
  <c r="B45" i="6"/>
  <c r="K41" i="6"/>
  <c r="D41" i="6"/>
  <c r="Y40" i="6"/>
  <c r="X40" i="6"/>
  <c r="W40" i="6"/>
  <c r="AF40" i="6" s="1"/>
  <c r="V40" i="6"/>
  <c r="U40" i="6"/>
  <c r="T40" i="6"/>
  <c r="S40" i="6"/>
  <c r="R40" i="6"/>
  <c r="AE40" i="6" s="1"/>
  <c r="F25" i="2" s="1"/>
  <c r="Q40" i="6"/>
  <c r="Q41" i="6" s="1"/>
  <c r="P40" i="6"/>
  <c r="P41" i="6" s="1"/>
  <c r="O40" i="6"/>
  <c r="N40" i="6"/>
  <c r="M40" i="6"/>
  <c r="L40" i="6"/>
  <c r="K40" i="6"/>
  <c r="AC40" i="6" s="1"/>
  <c r="J40" i="6"/>
  <c r="I40" i="6"/>
  <c r="AB40" i="6" s="1"/>
  <c r="H40" i="6"/>
  <c r="G40" i="6"/>
  <c r="F40" i="6"/>
  <c r="E40" i="6"/>
  <c r="D40" i="6"/>
  <c r="C40" i="6"/>
  <c r="B40" i="6"/>
  <c r="AA40" i="6" s="1"/>
  <c r="AF39" i="6"/>
  <c r="AE39" i="6"/>
  <c r="AD39" i="6"/>
  <c r="O39" i="6"/>
  <c r="N39" i="6"/>
  <c r="M39" i="6"/>
  <c r="L39" i="6"/>
  <c r="K39" i="6"/>
  <c r="AC39" i="6" s="1"/>
  <c r="D12" i="11" s="1"/>
  <c r="F12" i="11" s="1"/>
  <c r="J39" i="6"/>
  <c r="I39" i="6"/>
  <c r="H39" i="6"/>
  <c r="G39" i="6"/>
  <c r="AB39" i="6" s="1"/>
  <c r="C12" i="11" s="1"/>
  <c r="F39" i="6"/>
  <c r="E39" i="6"/>
  <c r="D39" i="6"/>
  <c r="C39" i="6"/>
  <c r="B39" i="6"/>
  <c r="AA39" i="6" s="1"/>
  <c r="B12" i="11" s="1"/>
  <c r="Y38" i="6"/>
  <c r="Y41" i="6" s="1"/>
  <c r="X38" i="6"/>
  <c r="X41" i="6" s="1"/>
  <c r="W38" i="6"/>
  <c r="W41" i="6" s="1"/>
  <c r="V38" i="6"/>
  <c r="AF38" i="6" s="1"/>
  <c r="U38" i="6"/>
  <c r="U41" i="6" s="1"/>
  <c r="T38" i="6"/>
  <c r="T41" i="6" s="1"/>
  <c r="S38" i="6"/>
  <c r="R38" i="6"/>
  <c r="Q38" i="6"/>
  <c r="P38" i="6"/>
  <c r="O38" i="6"/>
  <c r="N38" i="6"/>
  <c r="M38" i="6"/>
  <c r="L38" i="6"/>
  <c r="K38" i="6"/>
  <c r="J38" i="6"/>
  <c r="I38" i="6"/>
  <c r="H38" i="6"/>
  <c r="G38" i="6"/>
  <c r="F38" i="6"/>
  <c r="E38" i="6"/>
  <c r="D38" i="6"/>
  <c r="C38" i="6"/>
  <c r="B38" i="6"/>
  <c r="AA38" i="6" s="1"/>
  <c r="AF37" i="6"/>
  <c r="AE37" i="6"/>
  <c r="AD37" i="6"/>
  <c r="AB37" i="6"/>
  <c r="O37" i="6"/>
  <c r="N37" i="6"/>
  <c r="M37" i="6"/>
  <c r="L37" i="6"/>
  <c r="K37" i="6"/>
  <c r="J37" i="6"/>
  <c r="AC37" i="6" s="1"/>
  <c r="I37" i="6"/>
  <c r="H37" i="6"/>
  <c r="G37" i="6"/>
  <c r="F37" i="6"/>
  <c r="E37" i="6"/>
  <c r="D37" i="6"/>
  <c r="C37" i="6"/>
  <c r="B37" i="6"/>
  <c r="AF36" i="6"/>
  <c r="AE36" i="6"/>
  <c r="O36" i="6"/>
  <c r="N36" i="6"/>
  <c r="M36" i="6"/>
  <c r="M41" i="6" s="1"/>
  <c r="L36" i="6"/>
  <c r="L41" i="6" s="1"/>
  <c r="K36" i="6"/>
  <c r="J36" i="6"/>
  <c r="J41" i="6" s="1"/>
  <c r="I36" i="6"/>
  <c r="I41" i="6" s="1"/>
  <c r="H36" i="6"/>
  <c r="G36" i="6"/>
  <c r="F36" i="6"/>
  <c r="AB36" i="6" s="1"/>
  <c r="E36" i="6"/>
  <c r="D36" i="6"/>
  <c r="C36" i="6"/>
  <c r="B36" i="6"/>
  <c r="AF32" i="6"/>
  <c r="AE32" i="6"/>
  <c r="AB32" i="6"/>
  <c r="O32" i="6"/>
  <c r="N32" i="6"/>
  <c r="AD32" i="6" s="1"/>
  <c r="M32" i="6"/>
  <c r="L32" i="6"/>
  <c r="K32" i="6"/>
  <c r="AC32" i="6" s="1"/>
  <c r="J32" i="6"/>
  <c r="I32" i="6"/>
  <c r="H32" i="6"/>
  <c r="G32" i="6"/>
  <c r="F32" i="6"/>
  <c r="E32" i="6"/>
  <c r="D32" i="6"/>
  <c r="C32" i="6"/>
  <c r="B32" i="6"/>
  <c r="O31" i="6"/>
  <c r="F31" i="6"/>
  <c r="C31" i="6"/>
  <c r="AF30" i="6"/>
  <c r="AE30" i="6"/>
  <c r="O30" i="6"/>
  <c r="AD30" i="6" s="1"/>
  <c r="N30" i="6"/>
  <c r="M30" i="6"/>
  <c r="L30" i="6"/>
  <c r="K30" i="6"/>
  <c r="J30" i="6"/>
  <c r="AC30" i="6" s="1"/>
  <c r="I30" i="6"/>
  <c r="H30" i="6"/>
  <c r="AB30" i="6" s="1"/>
  <c r="G30" i="6"/>
  <c r="F30" i="6"/>
  <c r="E30" i="6"/>
  <c r="D30" i="6"/>
  <c r="AA30" i="6" s="1"/>
  <c r="C30" i="6"/>
  <c r="B30" i="6"/>
  <c r="AF29" i="6"/>
  <c r="AE29" i="6"/>
  <c r="AD29" i="6"/>
  <c r="O29" i="6"/>
  <c r="N29" i="6"/>
  <c r="M29" i="6"/>
  <c r="L29" i="6"/>
  <c r="AC29" i="6" s="1"/>
  <c r="K29" i="6"/>
  <c r="J29" i="6"/>
  <c r="I29" i="6"/>
  <c r="I31" i="6" s="1"/>
  <c r="I33" i="6" s="1"/>
  <c r="H29" i="6"/>
  <c r="G29" i="6"/>
  <c r="F29" i="6"/>
  <c r="E29" i="6"/>
  <c r="D29" i="6"/>
  <c r="AA29" i="6" s="1"/>
  <c r="C29" i="6"/>
  <c r="B29" i="6"/>
  <c r="AF28" i="6"/>
  <c r="AE28" i="6"/>
  <c r="AB28" i="6"/>
  <c r="O28" i="6"/>
  <c r="N28" i="6"/>
  <c r="M28" i="6"/>
  <c r="M31" i="6" s="1"/>
  <c r="L28" i="6"/>
  <c r="K28" i="6"/>
  <c r="J28" i="6"/>
  <c r="J31" i="6" s="1"/>
  <c r="I28" i="6"/>
  <c r="H28" i="6"/>
  <c r="G28" i="6"/>
  <c r="F28" i="6"/>
  <c r="E28" i="6"/>
  <c r="E31" i="6" s="1"/>
  <c r="E33" i="6" s="1"/>
  <c r="D28" i="6"/>
  <c r="D31" i="6" s="1"/>
  <c r="D33" i="6" s="1"/>
  <c r="C28" i="6"/>
  <c r="B28" i="6"/>
  <c r="Y27" i="6"/>
  <c r="X27" i="6"/>
  <c r="W27" i="6"/>
  <c r="V27" i="6"/>
  <c r="U27" i="6"/>
  <c r="T27" i="6"/>
  <c r="S27" i="6"/>
  <c r="R27" i="6"/>
  <c r="Q27" i="6"/>
  <c r="AD27" i="6" s="1"/>
  <c r="P27" i="6"/>
  <c r="O27" i="6"/>
  <c r="N27" i="6"/>
  <c r="M27" i="6"/>
  <c r="L27" i="6"/>
  <c r="AC27" i="6" s="1"/>
  <c r="K27" i="6"/>
  <c r="J27" i="6"/>
  <c r="I27" i="6"/>
  <c r="H27" i="6"/>
  <c r="G27" i="6"/>
  <c r="F27" i="6"/>
  <c r="E27" i="6"/>
  <c r="D27" i="6"/>
  <c r="C27" i="6"/>
  <c r="B27" i="6"/>
  <c r="AA27" i="6" s="1"/>
  <c r="AB26" i="6"/>
  <c r="Y26" i="6"/>
  <c r="X26" i="6"/>
  <c r="W26" i="6"/>
  <c r="V26" i="6"/>
  <c r="AF26" i="6" s="1"/>
  <c r="U26" i="6"/>
  <c r="T26" i="6"/>
  <c r="S26" i="6"/>
  <c r="R26" i="6"/>
  <c r="Q26" i="6"/>
  <c r="P26" i="6"/>
  <c r="O26" i="6"/>
  <c r="N26" i="6"/>
  <c r="M26" i="6"/>
  <c r="L26" i="6"/>
  <c r="K26" i="6"/>
  <c r="J26" i="6"/>
  <c r="I26" i="6"/>
  <c r="H26" i="6"/>
  <c r="G26" i="6"/>
  <c r="F26" i="6"/>
  <c r="F33" i="6" s="1"/>
  <c r="E26" i="6"/>
  <c r="D26" i="6"/>
  <c r="C26" i="6"/>
  <c r="B26" i="6"/>
  <c r="AF22" i="6"/>
  <c r="AE22" i="6"/>
  <c r="AB22" i="6"/>
  <c r="O22" i="6"/>
  <c r="N22" i="6"/>
  <c r="AD22" i="6" s="1"/>
  <c r="M22" i="6"/>
  <c r="L22" i="6"/>
  <c r="K22" i="6"/>
  <c r="J22" i="6"/>
  <c r="I22" i="6"/>
  <c r="H22" i="6"/>
  <c r="G22" i="6"/>
  <c r="F22" i="6"/>
  <c r="E22" i="6"/>
  <c r="D22" i="6"/>
  <c r="C22" i="6"/>
  <c r="B22" i="6"/>
  <c r="AF21" i="6"/>
  <c r="AE21" i="6"/>
  <c r="AD21" i="6"/>
  <c r="O21" i="6"/>
  <c r="N21" i="6"/>
  <c r="M21" i="6"/>
  <c r="L21" i="6"/>
  <c r="K21" i="6"/>
  <c r="J21" i="6"/>
  <c r="AC21" i="6" s="1"/>
  <c r="I21" i="6"/>
  <c r="H21" i="6"/>
  <c r="AB21" i="6" s="1"/>
  <c r="G21" i="6"/>
  <c r="F21" i="6"/>
  <c r="E21" i="6"/>
  <c r="D21" i="6"/>
  <c r="AA21" i="6" s="1"/>
  <c r="C21" i="6"/>
  <c r="B21" i="6"/>
  <c r="AC20" i="6"/>
  <c r="AA20" i="6"/>
  <c r="O20" i="6"/>
  <c r="N20" i="6"/>
  <c r="M20" i="6"/>
  <c r="L20" i="6"/>
  <c r="K20" i="6"/>
  <c r="J20" i="6"/>
  <c r="I20" i="6"/>
  <c r="H20" i="6"/>
  <c r="G20" i="6"/>
  <c r="F20" i="6"/>
  <c r="AB20" i="6" s="1"/>
  <c r="E20" i="6"/>
  <c r="D20" i="6"/>
  <c r="C20" i="6"/>
  <c r="B20" i="6"/>
  <c r="O19" i="6"/>
  <c r="N19" i="6"/>
  <c r="M19" i="6"/>
  <c r="L19" i="6"/>
  <c r="K19" i="6"/>
  <c r="J19" i="6"/>
  <c r="AC19" i="6" s="1"/>
  <c r="I19" i="6"/>
  <c r="H19" i="6"/>
  <c r="G19" i="6"/>
  <c r="F19" i="6"/>
  <c r="E19" i="6"/>
  <c r="D19" i="6"/>
  <c r="C19" i="6"/>
  <c r="B19" i="6"/>
  <c r="O18" i="6"/>
  <c r="N18" i="6"/>
  <c r="M18" i="6"/>
  <c r="L18" i="6"/>
  <c r="K18" i="6"/>
  <c r="AC18" i="6" s="1"/>
  <c r="J18" i="6"/>
  <c r="I18" i="6"/>
  <c r="H18" i="6"/>
  <c r="G18" i="6"/>
  <c r="F18" i="6"/>
  <c r="AB18" i="6" s="1"/>
  <c r="E18" i="6"/>
  <c r="D18" i="6"/>
  <c r="AA18" i="6" s="1"/>
  <c r="C18" i="6"/>
  <c r="B18" i="6"/>
  <c r="O17" i="6"/>
  <c r="N17" i="6"/>
  <c r="M17" i="6"/>
  <c r="L17" i="6"/>
  <c r="K17" i="6"/>
  <c r="J17" i="6"/>
  <c r="AC17" i="6" s="1"/>
  <c r="I17" i="6"/>
  <c r="H17" i="6"/>
  <c r="G17" i="6"/>
  <c r="F17" i="6"/>
  <c r="AB17" i="6" s="1"/>
  <c r="E17" i="6"/>
  <c r="D17" i="6"/>
  <c r="C17" i="6"/>
  <c r="B17" i="6"/>
  <c r="AF16" i="6"/>
  <c r="AE16" i="6"/>
  <c r="AC16" i="6"/>
  <c r="O16" i="6"/>
  <c r="N16" i="6"/>
  <c r="AD16" i="6" s="1"/>
  <c r="M16" i="6"/>
  <c r="L16" i="6"/>
  <c r="K16" i="6"/>
  <c r="J16" i="6"/>
  <c r="I16" i="6"/>
  <c r="H16" i="6"/>
  <c r="G16" i="6"/>
  <c r="F16" i="6"/>
  <c r="AB16" i="6" s="1"/>
  <c r="E16" i="6"/>
  <c r="D16" i="6"/>
  <c r="C16" i="6"/>
  <c r="B16" i="6"/>
  <c r="AF15" i="6"/>
  <c r="AE15" i="6"/>
  <c r="O15" i="6"/>
  <c r="N15" i="6"/>
  <c r="AD15" i="6" s="1"/>
  <c r="M15" i="6"/>
  <c r="L15" i="6"/>
  <c r="K15" i="6"/>
  <c r="AC15" i="6" s="1"/>
  <c r="J15" i="6"/>
  <c r="I15" i="6"/>
  <c r="H15" i="6"/>
  <c r="G15" i="6"/>
  <c r="F15" i="6"/>
  <c r="E15" i="6"/>
  <c r="D15" i="6"/>
  <c r="C15" i="6"/>
  <c r="B15" i="6"/>
  <c r="AA15" i="6" s="1"/>
  <c r="AF14" i="6"/>
  <c r="AE14" i="6"/>
  <c r="AD14" i="6"/>
  <c r="O14" i="6"/>
  <c r="N14" i="6"/>
  <c r="M14" i="6"/>
  <c r="L14" i="6"/>
  <c r="K14" i="6"/>
  <c r="J14" i="6"/>
  <c r="AC14" i="6" s="1"/>
  <c r="I14" i="6"/>
  <c r="AB14" i="6" s="1"/>
  <c r="H14" i="6"/>
  <c r="G14" i="6"/>
  <c r="F14" i="6"/>
  <c r="E14" i="6"/>
  <c r="D14" i="6"/>
  <c r="C14" i="6"/>
  <c r="B14" i="6"/>
  <c r="AF13" i="6"/>
  <c r="AE13" i="6"/>
  <c r="AC13" i="6"/>
  <c r="AB13" i="6"/>
  <c r="O13" i="6"/>
  <c r="N13" i="6"/>
  <c r="M13" i="6"/>
  <c r="L13" i="6"/>
  <c r="K13" i="6"/>
  <c r="J13" i="6"/>
  <c r="I13" i="6"/>
  <c r="H13" i="6"/>
  <c r="G13" i="6"/>
  <c r="F13" i="6"/>
  <c r="E13" i="6"/>
  <c r="D13" i="6"/>
  <c r="C13" i="6"/>
  <c r="B13" i="6"/>
  <c r="AF12" i="6"/>
  <c r="AE12" i="6"/>
  <c r="O12" i="6"/>
  <c r="N12" i="6"/>
  <c r="AD12" i="6" s="1"/>
  <c r="M12" i="6"/>
  <c r="L12" i="6"/>
  <c r="K12" i="6"/>
  <c r="J12" i="6"/>
  <c r="I12" i="6"/>
  <c r="H12" i="6"/>
  <c r="G12" i="6"/>
  <c r="F12" i="6"/>
  <c r="AB12" i="6" s="1"/>
  <c r="E12" i="6"/>
  <c r="D12" i="6"/>
  <c r="C12" i="6"/>
  <c r="B12" i="6"/>
  <c r="AA12" i="6" s="1"/>
  <c r="O11" i="6"/>
  <c r="N11" i="6"/>
  <c r="M11" i="6"/>
  <c r="L11" i="6"/>
  <c r="AC11" i="6" s="1"/>
  <c r="K11" i="6"/>
  <c r="J11" i="6"/>
  <c r="I11" i="6"/>
  <c r="H11" i="6"/>
  <c r="G11" i="6"/>
  <c r="AB11" i="6" s="1"/>
  <c r="F11" i="6"/>
  <c r="E11" i="6"/>
  <c r="D11" i="6"/>
  <c r="C11" i="6"/>
  <c r="B11" i="6"/>
  <c r="AA10" i="6"/>
  <c r="O10" i="6"/>
  <c r="N10" i="6"/>
  <c r="M10" i="6"/>
  <c r="L10" i="6"/>
  <c r="K10" i="6"/>
  <c r="J10" i="6"/>
  <c r="I10" i="6"/>
  <c r="H10" i="6"/>
  <c r="G10" i="6"/>
  <c r="F10" i="6"/>
  <c r="E10" i="6"/>
  <c r="D10" i="6"/>
  <c r="C10" i="6"/>
  <c r="B10" i="6"/>
  <c r="AC9" i="6"/>
  <c r="O9" i="6"/>
  <c r="N9" i="6"/>
  <c r="N23" i="6" s="1"/>
  <c r="M9" i="6"/>
  <c r="L9" i="6"/>
  <c r="K9" i="6"/>
  <c r="J9" i="6"/>
  <c r="I9" i="6"/>
  <c r="H9" i="6"/>
  <c r="G9" i="6"/>
  <c r="F9" i="6"/>
  <c r="E9" i="6"/>
  <c r="E23" i="6" s="1"/>
  <c r="D9" i="6"/>
  <c r="C9" i="6"/>
  <c r="B9" i="6"/>
  <c r="AA9" i="6" s="1"/>
  <c r="P45" i="5"/>
  <c r="O45" i="5"/>
  <c r="N45" i="5"/>
  <c r="AD45" i="5" s="1"/>
  <c r="D27" i="2" s="1"/>
  <c r="M45" i="5"/>
  <c r="L45" i="5"/>
  <c r="K45" i="5"/>
  <c r="J45" i="5"/>
  <c r="AC45" i="5" s="1"/>
  <c r="C27" i="2" s="1"/>
  <c r="I45" i="5"/>
  <c r="H45" i="5"/>
  <c r="G45" i="5"/>
  <c r="F45" i="5"/>
  <c r="AB45" i="5" s="1"/>
  <c r="B27" i="2" s="1"/>
  <c r="L25" i="3"/>
  <c r="P35" i="5"/>
  <c r="O35" i="5"/>
  <c r="N35" i="5"/>
  <c r="AD35" i="5" s="1"/>
  <c r="D30" i="2" s="1"/>
  <c r="M35" i="5"/>
  <c r="L35" i="5"/>
  <c r="K35" i="5"/>
  <c r="J35" i="5"/>
  <c r="AC35" i="5" s="1"/>
  <c r="C30" i="2" s="1"/>
  <c r="I35" i="5"/>
  <c r="H35" i="5"/>
  <c r="G35" i="5"/>
  <c r="F35" i="5"/>
  <c r="AB35" i="5" s="1"/>
  <c r="B30" i="2" s="1"/>
  <c r="AD34" i="5"/>
  <c r="AC34" i="5"/>
  <c r="AB34" i="5"/>
  <c r="AD33" i="5"/>
  <c r="AC33" i="5"/>
  <c r="AB33" i="5"/>
  <c r="Q33" i="5"/>
  <c r="R33" i="5" s="1"/>
  <c r="AD32" i="5"/>
  <c r="AC32" i="5"/>
  <c r="AB32" i="5"/>
  <c r="AD31" i="5"/>
  <c r="AC31" i="5"/>
  <c r="AB31" i="5"/>
  <c r="Q31" i="5"/>
  <c r="R31" i="5" s="1"/>
  <c r="AD30" i="5"/>
  <c r="AC30" i="5"/>
  <c r="AB30" i="5"/>
  <c r="Q30" i="5"/>
  <c r="R30" i="5" s="1"/>
  <c r="J29" i="5"/>
  <c r="AC29" i="5" s="1"/>
  <c r="AD28" i="5"/>
  <c r="AC28" i="5"/>
  <c r="AB28" i="5"/>
  <c r="Q28" i="5"/>
  <c r="R28" i="5" s="1"/>
  <c r="S28" i="5" s="1"/>
  <c r="T28" i="5" s="1"/>
  <c r="U28" i="5" s="1"/>
  <c r="V28" i="5" s="1"/>
  <c r="AF28" i="5" s="1"/>
  <c r="AD27" i="5"/>
  <c r="AC27" i="5"/>
  <c r="AB27" i="5"/>
  <c r="Q27" i="5"/>
  <c r="R27" i="5" s="1"/>
  <c r="AC26" i="5"/>
  <c r="P26" i="5"/>
  <c r="P29" i="5" s="1"/>
  <c r="O26" i="5"/>
  <c r="O29" i="5" s="1"/>
  <c r="O36" i="5" s="1"/>
  <c r="N26" i="5"/>
  <c r="M26" i="5"/>
  <c r="M29" i="5" s="1"/>
  <c r="L26" i="5"/>
  <c r="L29" i="5" s="1"/>
  <c r="K26" i="5"/>
  <c r="K29" i="5" s="1"/>
  <c r="J26" i="5"/>
  <c r="I26" i="5"/>
  <c r="I29" i="5" s="1"/>
  <c r="I36" i="5" s="1"/>
  <c r="H26" i="5"/>
  <c r="H29" i="5" s="1"/>
  <c r="G26" i="5"/>
  <c r="G29" i="5" s="1"/>
  <c r="F26" i="5"/>
  <c r="F29" i="5" s="1"/>
  <c r="AB29" i="5" s="1"/>
  <c r="AD25" i="5"/>
  <c r="AC25" i="5"/>
  <c r="AB25" i="5"/>
  <c r="Q25" i="5"/>
  <c r="R25" i="5" s="1"/>
  <c r="AD24" i="5"/>
  <c r="AC24" i="5"/>
  <c r="AB24" i="5"/>
  <c r="AD23" i="5"/>
  <c r="AC23" i="5"/>
  <c r="C29" i="2" s="1"/>
  <c r="AB23" i="5"/>
  <c r="B29" i="2" s="1"/>
  <c r="AD19" i="5"/>
  <c r="AC19" i="5"/>
  <c r="AB19" i="5"/>
  <c r="Q19" i="5"/>
  <c r="R19" i="5" s="1"/>
  <c r="AE19" i="5" s="1"/>
  <c r="AD18" i="5"/>
  <c r="AC18" i="5"/>
  <c r="AB18" i="5"/>
  <c r="Q18" i="5"/>
  <c r="R18" i="5" s="1"/>
  <c r="AD17" i="5"/>
  <c r="AC17" i="5"/>
  <c r="AB17" i="5"/>
  <c r="Q17" i="5"/>
  <c r="R17" i="5" s="1"/>
  <c r="S17" i="5" s="1"/>
  <c r="T17" i="5" s="1"/>
  <c r="U17" i="5" s="1"/>
  <c r="V17" i="5" s="1"/>
  <c r="AD16" i="5"/>
  <c r="AC16" i="5"/>
  <c r="AB16" i="5"/>
  <c r="Q16" i="5"/>
  <c r="R16" i="5" s="1"/>
  <c r="AE16" i="5" s="1"/>
  <c r="AD15" i="5"/>
  <c r="AC15" i="5"/>
  <c r="AB15" i="5"/>
  <c r="Q15" i="5"/>
  <c r="R15" i="5" s="1"/>
  <c r="AD14" i="5"/>
  <c r="AC14" i="5"/>
  <c r="AB14" i="5"/>
  <c r="AB13" i="5"/>
  <c r="P13" i="5"/>
  <c r="O13" i="5"/>
  <c r="O20" i="5" s="1"/>
  <c r="N13" i="5"/>
  <c r="N20" i="5" s="1"/>
  <c r="M13" i="5"/>
  <c r="L13" i="5"/>
  <c r="K13" i="5"/>
  <c r="K46" i="5" s="1"/>
  <c r="J13" i="5"/>
  <c r="J20" i="5" s="1"/>
  <c r="AC20" i="5" s="1"/>
  <c r="I13" i="5"/>
  <c r="H13" i="5"/>
  <c r="G13" i="5"/>
  <c r="F13" i="5"/>
  <c r="AD12" i="5"/>
  <c r="AC12" i="5"/>
  <c r="AB12" i="5"/>
  <c r="Z12" i="5"/>
  <c r="AG12" i="5" s="1"/>
  <c r="Y12" i="5"/>
  <c r="X12" i="5"/>
  <c r="W12" i="5"/>
  <c r="V12" i="5"/>
  <c r="U12" i="5"/>
  <c r="T12" i="5"/>
  <c r="S12" i="5"/>
  <c r="R12" i="5"/>
  <c r="Q12" i="5"/>
  <c r="P18" i="6" s="1"/>
  <c r="AD11" i="5"/>
  <c r="D28" i="2" s="1"/>
  <c r="AC11" i="5"/>
  <c r="C28" i="2" s="1"/>
  <c r="AB11" i="5"/>
  <c r="B28" i="2" s="1"/>
  <c r="AD10" i="5"/>
  <c r="AC10" i="5"/>
  <c r="AB10" i="5"/>
  <c r="Z10" i="5"/>
  <c r="Y10" i="5"/>
  <c r="X10" i="5"/>
  <c r="W10" i="5"/>
  <c r="V10" i="5"/>
  <c r="U10" i="5"/>
  <c r="T10" i="5"/>
  <c r="S10" i="5"/>
  <c r="R10" i="5"/>
  <c r="Q10" i="5"/>
  <c r="P31" i="6" s="1"/>
  <c r="AD9" i="5"/>
  <c r="AC9" i="5"/>
  <c r="AB9" i="5"/>
  <c r="P62" i="4"/>
  <c r="O62" i="4"/>
  <c r="N62" i="4"/>
  <c r="M62" i="4"/>
  <c r="M47" i="4" s="1"/>
  <c r="L62" i="4"/>
  <c r="K16" i="3" s="1"/>
  <c r="K62" i="4"/>
  <c r="AD62" i="4" s="1"/>
  <c r="AD47" i="4" s="1"/>
  <c r="J62" i="4"/>
  <c r="J47" i="4" s="1"/>
  <c r="I62" i="4"/>
  <c r="I47" i="4" s="1"/>
  <c r="H62" i="4"/>
  <c r="G62" i="4"/>
  <c r="F16" i="3" s="1"/>
  <c r="F62" i="4"/>
  <c r="F47" i="4" s="1"/>
  <c r="E62" i="4"/>
  <c r="E47" i="4" s="1"/>
  <c r="D62" i="4"/>
  <c r="D47" i="4" s="1"/>
  <c r="C62" i="4"/>
  <c r="P59" i="4"/>
  <c r="P46" i="4" s="1"/>
  <c r="O59" i="4"/>
  <c r="N17" i="3" s="1"/>
  <c r="M59" i="4"/>
  <c r="M46" i="4" s="1"/>
  <c r="L59" i="4"/>
  <c r="K59" i="4"/>
  <c r="J17" i="3" s="1"/>
  <c r="I59" i="4"/>
  <c r="H59" i="4"/>
  <c r="G59" i="4"/>
  <c r="E59" i="4"/>
  <c r="D59" i="4"/>
  <c r="D46" i="4" s="1"/>
  <c r="C59" i="4"/>
  <c r="N58" i="4"/>
  <c r="AD58" i="4" s="1"/>
  <c r="J58" i="4"/>
  <c r="AC58" i="4" s="1"/>
  <c r="F58" i="4"/>
  <c r="AB58" i="4" s="1"/>
  <c r="AC57" i="4"/>
  <c r="N57" i="4"/>
  <c r="AD57" i="4" s="1"/>
  <c r="J57" i="4"/>
  <c r="F57" i="4"/>
  <c r="AB57" i="4" s="1"/>
  <c r="N56" i="4"/>
  <c r="AD56" i="4" s="1"/>
  <c r="J56" i="4"/>
  <c r="AC56" i="4" s="1"/>
  <c r="F56" i="4"/>
  <c r="AB56" i="4" s="1"/>
  <c r="N55" i="4"/>
  <c r="J55" i="4"/>
  <c r="J59" i="4" s="1"/>
  <c r="J46" i="4" s="1"/>
  <c r="F55" i="4"/>
  <c r="P50" i="4"/>
  <c r="O50" i="4"/>
  <c r="M50" i="4"/>
  <c r="L50" i="4"/>
  <c r="K50" i="4"/>
  <c r="I50" i="4"/>
  <c r="H50" i="4"/>
  <c r="G50" i="4"/>
  <c r="E50" i="4"/>
  <c r="D50" i="4"/>
  <c r="C50" i="4"/>
  <c r="P49" i="4"/>
  <c r="O49" i="4"/>
  <c r="M49" i="4"/>
  <c r="L49" i="4"/>
  <c r="K49" i="4"/>
  <c r="I49" i="4"/>
  <c r="H49" i="4"/>
  <c r="G49" i="4"/>
  <c r="E49" i="4"/>
  <c r="D49" i="4"/>
  <c r="C49" i="4"/>
  <c r="AC48" i="4"/>
  <c r="AB48" i="4"/>
  <c r="Z48" i="4"/>
  <c r="Y48" i="4"/>
  <c r="X48" i="4"/>
  <c r="W48" i="4"/>
  <c r="V48" i="4"/>
  <c r="U48" i="4"/>
  <c r="T48" i="4"/>
  <c r="S48" i="4"/>
  <c r="R48" i="4"/>
  <c r="Q48" i="4"/>
  <c r="AE48" i="4" s="1"/>
  <c r="N48" i="4"/>
  <c r="AD48" i="4" s="1"/>
  <c r="O47" i="4"/>
  <c r="N47" i="4"/>
  <c r="H47" i="4"/>
  <c r="C47" i="4"/>
  <c r="I46" i="4"/>
  <c r="H46" i="4"/>
  <c r="E46" i="4"/>
  <c r="C46" i="4"/>
  <c r="P41" i="4"/>
  <c r="O41" i="4"/>
  <c r="M41" i="4"/>
  <c r="L41" i="4"/>
  <c r="K41" i="4"/>
  <c r="I41" i="4"/>
  <c r="H41" i="4"/>
  <c r="G41" i="4"/>
  <c r="E41" i="4"/>
  <c r="D41" i="4"/>
  <c r="C41" i="4"/>
  <c r="P40" i="4"/>
  <c r="O40" i="4"/>
  <c r="M40" i="4"/>
  <c r="L40" i="4"/>
  <c r="K40" i="4"/>
  <c r="I40" i="4"/>
  <c r="H40" i="4"/>
  <c r="G40" i="4"/>
  <c r="E40" i="4"/>
  <c r="D40" i="4"/>
  <c r="C40" i="4"/>
  <c r="P39" i="4"/>
  <c r="O39" i="4"/>
  <c r="M39" i="4"/>
  <c r="L39" i="4"/>
  <c r="K39" i="4"/>
  <c r="I39" i="4"/>
  <c r="H39" i="4"/>
  <c r="G39" i="4"/>
  <c r="E39" i="4"/>
  <c r="D39" i="4"/>
  <c r="C39" i="4"/>
  <c r="P38" i="4"/>
  <c r="O38" i="4"/>
  <c r="M38" i="4"/>
  <c r="L38" i="4"/>
  <c r="K38" i="4"/>
  <c r="I38" i="4"/>
  <c r="H38" i="4"/>
  <c r="G38" i="4"/>
  <c r="E38" i="4"/>
  <c r="D38" i="4"/>
  <c r="C38" i="4"/>
  <c r="P36" i="4"/>
  <c r="M36" i="4"/>
  <c r="L36" i="4"/>
  <c r="I36" i="4"/>
  <c r="H36" i="4"/>
  <c r="E36" i="4"/>
  <c r="D36" i="4"/>
  <c r="P35" i="4"/>
  <c r="O35" i="4"/>
  <c r="M35" i="4"/>
  <c r="L35" i="4"/>
  <c r="K35" i="4"/>
  <c r="I35" i="4"/>
  <c r="H35" i="4"/>
  <c r="G35" i="4"/>
  <c r="AD31" i="4"/>
  <c r="AC31" i="4"/>
  <c r="AB31" i="4"/>
  <c r="Z31" i="4"/>
  <c r="Z30" i="4" s="1"/>
  <c r="Y31" i="4"/>
  <c r="Y30" i="4" s="1"/>
  <c r="X31" i="4"/>
  <c r="W31" i="4"/>
  <c r="W30" i="4" s="1"/>
  <c r="V31" i="4"/>
  <c r="V30" i="4" s="1"/>
  <c r="U31" i="4"/>
  <c r="U30" i="4" s="1"/>
  <c r="T31" i="4"/>
  <c r="T30" i="4" s="1"/>
  <c r="S31" i="4"/>
  <c r="S30" i="4" s="1"/>
  <c r="R31" i="4"/>
  <c r="R30" i="4" s="1"/>
  <c r="Q31" i="4"/>
  <c r="Q30" i="4" s="1"/>
  <c r="AE30" i="4" s="1"/>
  <c r="AD30" i="4"/>
  <c r="AC30" i="4"/>
  <c r="AB30" i="4"/>
  <c r="N30" i="4"/>
  <c r="J30" i="4"/>
  <c r="F30" i="4"/>
  <c r="AC25" i="4"/>
  <c r="AC50" i="4" s="1"/>
  <c r="N25" i="4"/>
  <c r="J25" i="4"/>
  <c r="J50" i="4" s="1"/>
  <c r="F25" i="4"/>
  <c r="F50" i="4" s="1"/>
  <c r="P23" i="4"/>
  <c r="O23" i="4"/>
  <c r="N23" i="4"/>
  <c r="M23" i="4"/>
  <c r="L23" i="4"/>
  <c r="K23" i="4"/>
  <c r="I23" i="4"/>
  <c r="H23" i="4"/>
  <c r="G23" i="4"/>
  <c r="E23" i="4"/>
  <c r="D23" i="4"/>
  <c r="C23" i="4"/>
  <c r="Z22" i="4"/>
  <c r="Y22" i="4"/>
  <c r="X22" i="4"/>
  <c r="W22" i="4"/>
  <c r="V22" i="4"/>
  <c r="U22" i="4"/>
  <c r="T22" i="4"/>
  <c r="S22" i="4"/>
  <c r="R22" i="4"/>
  <c r="Q22" i="4"/>
  <c r="N22" i="4"/>
  <c r="AD22" i="4" s="1"/>
  <c r="J22" i="4"/>
  <c r="AC22" i="4" s="1"/>
  <c r="F22" i="4"/>
  <c r="AB22" i="4" s="1"/>
  <c r="AD21" i="4"/>
  <c r="AD49" i="4" s="1"/>
  <c r="AB21" i="4"/>
  <c r="Q21" i="4"/>
  <c r="Q49" i="4" s="1"/>
  <c r="N21" i="4"/>
  <c r="N49" i="4" s="1"/>
  <c r="J21" i="4"/>
  <c r="F21" i="4"/>
  <c r="F49" i="4" s="1"/>
  <c r="P17" i="4"/>
  <c r="O17" i="4"/>
  <c r="O44" i="5" s="1"/>
  <c r="M17" i="4"/>
  <c r="L17" i="4"/>
  <c r="L44" i="5" s="1"/>
  <c r="K17" i="4"/>
  <c r="I17" i="4"/>
  <c r="H17" i="4"/>
  <c r="G17" i="4"/>
  <c r="E17" i="4"/>
  <c r="E42" i="4" s="1"/>
  <c r="D17" i="4"/>
  <c r="D42" i="4" s="1"/>
  <c r="C17" i="4"/>
  <c r="C42" i="4" s="1"/>
  <c r="T16" i="4"/>
  <c r="X16" i="4" s="1"/>
  <c r="S16" i="4"/>
  <c r="W16" i="4" s="1"/>
  <c r="Q16" i="4"/>
  <c r="U16" i="4" s="1"/>
  <c r="Y16" i="4" s="1"/>
  <c r="N16" i="4"/>
  <c r="AD16" i="4" s="1"/>
  <c r="J16" i="4"/>
  <c r="AC16" i="4" s="1"/>
  <c r="AC13" i="3" s="1"/>
  <c r="F16" i="4"/>
  <c r="AB16" i="4" s="1"/>
  <c r="AC15" i="4"/>
  <c r="T15" i="4"/>
  <c r="X15" i="4" s="1"/>
  <c r="S15" i="4"/>
  <c r="Q15" i="4"/>
  <c r="U15" i="4" s="1"/>
  <c r="N15" i="4"/>
  <c r="R15" i="4" s="1"/>
  <c r="V15" i="4" s="1"/>
  <c r="Z15" i="4" s="1"/>
  <c r="J15" i="4"/>
  <c r="F15" i="4"/>
  <c r="AB15" i="4" s="1"/>
  <c r="AB12" i="3" s="1"/>
  <c r="X14" i="4"/>
  <c r="U14" i="4"/>
  <c r="T14" i="4"/>
  <c r="T17" i="4" s="1"/>
  <c r="T24" i="5" s="1"/>
  <c r="S14" i="4"/>
  <c r="W14" i="4" s="1"/>
  <c r="Q14" i="4"/>
  <c r="N14" i="4"/>
  <c r="J14" i="4"/>
  <c r="AC14" i="4" s="1"/>
  <c r="F14" i="4"/>
  <c r="I12" i="4"/>
  <c r="P11" i="4"/>
  <c r="P18" i="4" s="1"/>
  <c r="P24" i="4" s="1"/>
  <c r="P26" i="4" s="1"/>
  <c r="O21" i="3" s="1"/>
  <c r="O11" i="4"/>
  <c r="O12" i="4" s="1"/>
  <c r="M11" i="4"/>
  <c r="L11" i="4"/>
  <c r="K11" i="4"/>
  <c r="K12" i="4" s="1"/>
  <c r="I11" i="4"/>
  <c r="H11" i="4"/>
  <c r="G11" i="4"/>
  <c r="E11" i="4"/>
  <c r="D11" i="4"/>
  <c r="D18" i="4" s="1"/>
  <c r="C11" i="4"/>
  <c r="C18" i="4" s="1"/>
  <c r="AB10" i="4"/>
  <c r="N10" i="4"/>
  <c r="AD10" i="4" s="1"/>
  <c r="J10" i="4"/>
  <c r="I10" i="3" s="1"/>
  <c r="F10" i="4"/>
  <c r="AC9" i="4"/>
  <c r="AC40" i="4" s="1"/>
  <c r="N9" i="4"/>
  <c r="M16" i="3" s="1"/>
  <c r="J9" i="4"/>
  <c r="J40" i="4" s="1"/>
  <c r="F9" i="4"/>
  <c r="E16" i="3" s="1"/>
  <c r="L42" i="3"/>
  <c r="K42" i="3"/>
  <c r="J42" i="3"/>
  <c r="H42" i="3"/>
  <c r="G42" i="3"/>
  <c r="F42" i="3"/>
  <c r="L41" i="3"/>
  <c r="K41" i="3"/>
  <c r="J41" i="3"/>
  <c r="I41" i="3"/>
  <c r="H41" i="3"/>
  <c r="G41" i="3"/>
  <c r="F41" i="3"/>
  <c r="AC39" i="3"/>
  <c r="AB39" i="3"/>
  <c r="AF36" i="3"/>
  <c r="AE36" i="3"/>
  <c r="O36" i="3"/>
  <c r="N36" i="3"/>
  <c r="M36" i="3"/>
  <c r="L36" i="3"/>
  <c r="K36" i="3"/>
  <c r="J36" i="3"/>
  <c r="I36" i="3"/>
  <c r="H36" i="3"/>
  <c r="G36" i="3"/>
  <c r="F36" i="3"/>
  <c r="E36" i="3"/>
  <c r="D36" i="3"/>
  <c r="AA36" i="3" s="1"/>
  <c r="C36" i="3"/>
  <c r="B36" i="3"/>
  <c r="AF35" i="3"/>
  <c r="AE35" i="3"/>
  <c r="O35" i="3"/>
  <c r="N35" i="3"/>
  <c r="M35" i="3"/>
  <c r="L35" i="3"/>
  <c r="K35" i="3"/>
  <c r="J35" i="3"/>
  <c r="AC35" i="3" s="1"/>
  <c r="I35" i="3"/>
  <c r="H35" i="3"/>
  <c r="G35" i="3"/>
  <c r="F35" i="3"/>
  <c r="E35" i="3"/>
  <c r="D35" i="3"/>
  <c r="C35" i="3"/>
  <c r="B35" i="3"/>
  <c r="AF34" i="3"/>
  <c r="AE34" i="3"/>
  <c r="AD34" i="3"/>
  <c r="AF33" i="3"/>
  <c r="AE33" i="3"/>
  <c r="O33" i="3"/>
  <c r="N33" i="3"/>
  <c r="AD33" i="3" s="1"/>
  <c r="M33" i="3"/>
  <c r="L33" i="3"/>
  <c r="K33" i="3"/>
  <c r="J33" i="3"/>
  <c r="I33" i="3"/>
  <c r="H33" i="3"/>
  <c r="G33" i="3"/>
  <c r="F33" i="3"/>
  <c r="AB33" i="3" s="1"/>
  <c r="E33" i="3"/>
  <c r="D33" i="3"/>
  <c r="C33" i="3"/>
  <c r="B33" i="3"/>
  <c r="AF32" i="3"/>
  <c r="AE32" i="3"/>
  <c r="O32" i="3"/>
  <c r="N32" i="3"/>
  <c r="M32" i="3"/>
  <c r="L32" i="3"/>
  <c r="K32" i="3"/>
  <c r="J32" i="3"/>
  <c r="AC32" i="3" s="1"/>
  <c r="I32" i="3"/>
  <c r="H32" i="3"/>
  <c r="G32" i="3"/>
  <c r="F32" i="3"/>
  <c r="E32" i="3"/>
  <c r="D32" i="3"/>
  <c r="C32" i="3"/>
  <c r="B32" i="3"/>
  <c r="O29" i="3"/>
  <c r="N29" i="3"/>
  <c r="M29" i="3"/>
  <c r="L29" i="3"/>
  <c r="K29" i="3"/>
  <c r="J29" i="3"/>
  <c r="I29" i="3"/>
  <c r="H29" i="3"/>
  <c r="G29" i="3"/>
  <c r="F29" i="3"/>
  <c r="E29" i="3"/>
  <c r="O27" i="3"/>
  <c r="N27" i="3"/>
  <c r="M27" i="3"/>
  <c r="L27" i="3"/>
  <c r="K27" i="3"/>
  <c r="J27" i="3"/>
  <c r="I27" i="3"/>
  <c r="H27" i="3"/>
  <c r="G27" i="3"/>
  <c r="F27" i="3"/>
  <c r="E27" i="3"/>
  <c r="G26" i="3"/>
  <c r="O22" i="3"/>
  <c r="N22" i="3"/>
  <c r="M22" i="3"/>
  <c r="L22" i="3"/>
  <c r="K22" i="3"/>
  <c r="J22" i="3"/>
  <c r="I22" i="3"/>
  <c r="H22" i="3"/>
  <c r="G22" i="3"/>
  <c r="F22" i="3"/>
  <c r="E22" i="3"/>
  <c r="D22" i="3"/>
  <c r="C22" i="3"/>
  <c r="B22" i="3"/>
  <c r="AF20" i="3"/>
  <c r="AE20" i="3"/>
  <c r="AB20" i="3"/>
  <c r="O20" i="3"/>
  <c r="N20" i="3"/>
  <c r="M20" i="3"/>
  <c r="L20" i="3"/>
  <c r="K20" i="3"/>
  <c r="J20" i="3"/>
  <c r="I20" i="3"/>
  <c r="H20" i="3"/>
  <c r="G20" i="3"/>
  <c r="F20" i="3"/>
  <c r="D20" i="3"/>
  <c r="C20" i="3"/>
  <c r="B20" i="3"/>
  <c r="O19" i="3"/>
  <c r="N19" i="3"/>
  <c r="L19" i="3"/>
  <c r="K19" i="3"/>
  <c r="J19" i="3"/>
  <c r="I19" i="3"/>
  <c r="H19" i="3"/>
  <c r="G19" i="3"/>
  <c r="F19" i="3"/>
  <c r="AF18" i="3"/>
  <c r="AE18" i="3"/>
  <c r="AD18" i="3"/>
  <c r="O18" i="3"/>
  <c r="N18" i="3"/>
  <c r="L18" i="3"/>
  <c r="K18" i="3"/>
  <c r="J18" i="3"/>
  <c r="I18" i="3"/>
  <c r="H18" i="3"/>
  <c r="G18" i="3"/>
  <c r="F18" i="3"/>
  <c r="AB18" i="3" s="1"/>
  <c r="E18" i="3"/>
  <c r="D18" i="3"/>
  <c r="C18" i="3"/>
  <c r="B18" i="3"/>
  <c r="H17" i="3"/>
  <c r="G17" i="3"/>
  <c r="F17" i="3"/>
  <c r="D17" i="3"/>
  <c r="C17" i="3"/>
  <c r="B17" i="3"/>
  <c r="O16" i="3"/>
  <c r="N16" i="3"/>
  <c r="I16" i="3"/>
  <c r="H16" i="3"/>
  <c r="G16" i="3"/>
  <c r="D16" i="3"/>
  <c r="C16" i="3"/>
  <c r="B16" i="3"/>
  <c r="O13" i="3"/>
  <c r="N13" i="3"/>
  <c r="L13" i="3"/>
  <c r="K13" i="3"/>
  <c r="J13" i="3"/>
  <c r="I13" i="3"/>
  <c r="H13" i="3"/>
  <c r="G13" i="3"/>
  <c r="F13" i="3"/>
  <c r="O12" i="3"/>
  <c r="N12" i="3"/>
  <c r="M12" i="3"/>
  <c r="L12" i="3"/>
  <c r="K12" i="3"/>
  <c r="J12" i="3"/>
  <c r="I12" i="3"/>
  <c r="H12" i="3"/>
  <c r="G12" i="3"/>
  <c r="F12" i="3"/>
  <c r="O11" i="3"/>
  <c r="N11" i="3"/>
  <c r="L11" i="3"/>
  <c r="K11" i="3"/>
  <c r="J11" i="3"/>
  <c r="H11" i="3"/>
  <c r="G11" i="3"/>
  <c r="F11" i="3"/>
  <c r="O10" i="3"/>
  <c r="N10" i="3"/>
  <c r="L10" i="3"/>
  <c r="K10" i="3"/>
  <c r="J10" i="3"/>
  <c r="H10" i="3"/>
  <c r="G10" i="3"/>
  <c r="F10" i="3"/>
  <c r="O9" i="3"/>
  <c r="N9" i="3"/>
  <c r="M9" i="3"/>
  <c r="L9" i="3"/>
  <c r="K9" i="3"/>
  <c r="J9" i="3"/>
  <c r="I9" i="3"/>
  <c r="H9" i="3"/>
  <c r="G9" i="3"/>
  <c r="F9" i="3"/>
  <c r="D29" i="2"/>
  <c r="G25" i="2"/>
  <c r="D25" i="2"/>
  <c r="C25" i="2"/>
  <c r="B25" i="2"/>
  <c r="C8" i="2"/>
  <c r="M18" i="3" l="1"/>
  <c r="M19" i="3"/>
  <c r="AD9" i="4"/>
  <c r="AD15" i="4"/>
  <c r="AC12" i="3" s="1"/>
  <c r="AB25" i="4"/>
  <c r="AB50" i="4" s="1"/>
  <c r="K36" i="4"/>
  <c r="L47" i="4"/>
  <c r="P44" i="5"/>
  <c r="O28" i="3" s="1"/>
  <c r="I43" i="5"/>
  <c r="D21" i="2"/>
  <c r="J16" i="3"/>
  <c r="K47" i="4"/>
  <c r="M18" i="4"/>
  <c r="AF30" i="4"/>
  <c r="F59" i="4"/>
  <c r="AB59" i="4" s="1"/>
  <c r="AD20" i="3"/>
  <c r="R16" i="4"/>
  <c r="AC16" i="3"/>
  <c r="O17" i="3"/>
  <c r="M10" i="3"/>
  <c r="N42" i="5"/>
  <c r="AD42" i="5" s="1"/>
  <c r="G43" i="5"/>
  <c r="AD11" i="4"/>
  <c r="K44" i="5"/>
  <c r="J28" i="3" s="1"/>
  <c r="E20" i="3"/>
  <c r="AA20" i="3" s="1"/>
  <c r="N28" i="3"/>
  <c r="O46" i="4"/>
  <c r="AF48" i="4"/>
  <c r="AC55" i="4"/>
  <c r="J41" i="5"/>
  <c r="L16" i="3"/>
  <c r="I17" i="3"/>
  <c r="F41" i="4"/>
  <c r="M13" i="3"/>
  <c r="G37" i="4"/>
  <c r="P12" i="4"/>
  <c r="G18" i="4"/>
  <c r="G19" i="4" s="1"/>
  <c r="AD23" i="4"/>
  <c r="H44" i="5"/>
  <c r="L17" i="3"/>
  <c r="N39" i="4"/>
  <c r="F17" i="4"/>
  <c r="L43" i="5"/>
  <c r="G4" i="14"/>
  <c r="P4" i="14" s="1"/>
  <c r="Z246" i="14" s="1"/>
  <c r="AD246" i="14" s="1"/>
  <c r="F42" i="5"/>
  <c r="K43" i="5"/>
  <c r="AA208" i="14"/>
  <c r="AC208" i="14"/>
  <c r="AC210" i="14"/>
  <c r="AA210" i="14"/>
  <c r="AC9" i="14"/>
  <c r="AA9" i="14"/>
  <c r="AA233" i="14"/>
  <c r="AC233" i="14"/>
  <c r="AC217" i="14"/>
  <c r="AA217" i="14"/>
  <c r="AC194" i="14"/>
  <c r="AA209" i="14"/>
  <c r="AC204" i="14"/>
  <c r="AC251" i="14"/>
  <c r="AA245" i="14"/>
  <c r="W201" i="14"/>
  <c r="AC187" i="14"/>
  <c r="W159" i="14"/>
  <c r="W152" i="14"/>
  <c r="W132" i="14"/>
  <c r="W92" i="14"/>
  <c r="W81" i="14"/>
  <c r="W47" i="14"/>
  <c r="W128" i="14"/>
  <c r="Y117" i="14"/>
  <c r="AA117" i="14" s="1"/>
  <c r="W109" i="14"/>
  <c r="Y103" i="14"/>
  <c r="AC103" i="14" s="1"/>
  <c r="W84" i="14"/>
  <c r="Y73" i="14"/>
  <c r="Y55" i="14"/>
  <c r="Y51" i="14"/>
  <c r="AA51" i="14" s="1"/>
  <c r="Y32" i="14"/>
  <c r="AC32" i="14" s="1"/>
  <c r="Y24" i="14"/>
  <c r="AC24" i="14" s="1"/>
  <c r="W21" i="14"/>
  <c r="Y226" i="14"/>
  <c r="W208" i="14"/>
  <c r="W178" i="14"/>
  <c r="Y140" i="14"/>
  <c r="AC140" i="14" s="1"/>
  <c r="W124" i="14"/>
  <c r="W117" i="14"/>
  <c r="Y106" i="14"/>
  <c r="AC106" i="14" s="1"/>
  <c r="Y91" i="14"/>
  <c r="AC91" i="14" s="1"/>
  <c r="W51" i="14"/>
  <c r="W43" i="14"/>
  <c r="Y36" i="14"/>
  <c r="Y29" i="14"/>
  <c r="U6" i="14"/>
  <c r="X6" i="14" s="1"/>
  <c r="Y6" i="14" s="1"/>
  <c r="R13" i="14"/>
  <c r="AC190" i="14"/>
  <c r="AC160" i="14"/>
  <c r="AA160" i="14"/>
  <c r="AA102" i="14"/>
  <c r="AC245" i="14"/>
  <c r="AA190" i="14"/>
  <c r="R10" i="14"/>
  <c r="W205" i="14"/>
  <c r="W13" i="14"/>
  <c r="W114" i="14"/>
  <c r="W147" i="14"/>
  <c r="AC236" i="14"/>
  <c r="W227" i="14"/>
  <c r="W216" i="14"/>
  <c r="W204" i="14"/>
  <c r="W198" i="14"/>
  <c r="AA195" i="14"/>
  <c r="W190" i="14"/>
  <c r="AA183" i="14"/>
  <c r="W155" i="14"/>
  <c r="W141" i="14"/>
  <c r="W103" i="14"/>
  <c r="W70" i="14"/>
  <c r="W62" i="14"/>
  <c r="W52" i="14"/>
  <c r="W29" i="14"/>
  <c r="W14" i="14"/>
  <c r="W253" i="14"/>
  <c r="W251" i="14"/>
  <c r="Y248" i="14"/>
  <c r="AA248" i="14" s="1"/>
  <c r="W241" i="14"/>
  <c r="Y239" i="14"/>
  <c r="W235" i="14"/>
  <c r="Y227" i="14"/>
  <c r="Y221" i="14"/>
  <c r="Y219" i="14"/>
  <c r="Y206" i="14"/>
  <c r="Y201" i="14"/>
  <c r="W186" i="14"/>
  <c r="W182" i="14"/>
  <c r="W179" i="14"/>
  <c r="W171" i="14"/>
  <c r="W168" i="14"/>
  <c r="W165" i="14"/>
  <c r="W162" i="14"/>
  <c r="W148" i="14"/>
  <c r="Y135" i="14"/>
  <c r="Y132" i="14"/>
  <c r="AA132" i="14" s="1"/>
  <c r="Y128" i="14"/>
  <c r="AA128" i="14" s="1"/>
  <c r="Y118" i="14"/>
  <c r="Y107" i="14"/>
  <c r="W99" i="14"/>
  <c r="Y88" i="14"/>
  <c r="AC88" i="14" s="1"/>
  <c r="Y85" i="14"/>
  <c r="AC85" i="14" s="1"/>
  <c r="W77" i="14"/>
  <c r="W73" i="14"/>
  <c r="Y62" i="14"/>
  <c r="W55" i="14"/>
  <c r="Y52" i="14"/>
  <c r="Y43" i="14"/>
  <c r="AA43" i="14" s="1"/>
  <c r="W32" i="14"/>
  <c r="W24" i="14"/>
  <c r="Y21" i="14"/>
  <c r="W18" i="14"/>
  <c r="Y14" i="14"/>
  <c r="AC14" i="14" s="1"/>
  <c r="W10" i="14"/>
  <c r="W7" i="14"/>
  <c r="W5" i="14"/>
  <c r="Y241" i="14"/>
  <c r="Y235" i="14"/>
  <c r="AC235" i="14" s="1"/>
  <c r="W226" i="14"/>
  <c r="W223" i="14"/>
  <c r="W221" i="14"/>
  <c r="W215" i="14"/>
  <c r="W211" i="14"/>
  <c r="W195" i="14"/>
  <c r="Y186" i="14"/>
  <c r="AC186" i="14" s="1"/>
  <c r="Y182" i="14"/>
  <c r="AC182" i="14" s="1"/>
  <c r="W158" i="14"/>
  <c r="Y155" i="14"/>
  <c r="AC155" i="14" s="1"/>
  <c r="Y148" i="14"/>
  <c r="W135" i="14"/>
  <c r="Y113" i="14"/>
  <c r="W106" i="14"/>
  <c r="Y99" i="14"/>
  <c r="W69" i="14"/>
  <c r="W61" i="14"/>
  <c r="Y47" i="14"/>
  <c r="Y7" i="14"/>
  <c r="AA7" i="14" s="1"/>
  <c r="W244" i="14"/>
  <c r="W206" i="14"/>
  <c r="W189" i="14"/>
  <c r="W154" i="14"/>
  <c r="W121" i="14"/>
  <c r="W113" i="14"/>
  <c r="W88" i="14"/>
  <c r="R8" i="14"/>
  <c r="Y244" i="14"/>
  <c r="W238" i="14"/>
  <c r="W234" i="14"/>
  <c r="AA203" i="14"/>
  <c r="W200" i="14"/>
  <c r="Y178" i="14"/>
  <c r="AC178" i="14" s="1"/>
  <c r="Y158" i="14"/>
  <c r="Y147" i="14"/>
  <c r="AA147" i="14" s="1"/>
  <c r="W131" i="14"/>
  <c r="W95" i="14"/>
  <c r="W76" i="14"/>
  <c r="Y69" i="14"/>
  <c r="W39" i="14"/>
  <c r="W35" i="14"/>
  <c r="Y20" i="14"/>
  <c r="AC20" i="14" s="1"/>
  <c r="Q8" i="14"/>
  <c r="Y154" i="14"/>
  <c r="AC154" i="14" s="1"/>
  <c r="Y144" i="14"/>
  <c r="Y141" i="14"/>
  <c r="W110" i="14"/>
  <c r="W101" i="14"/>
  <c r="W94" i="14"/>
  <c r="Y80" i="14"/>
  <c r="Y77" i="14"/>
  <c r="Y71" i="14"/>
  <c r="AC71" i="14" s="1"/>
  <c r="Y61" i="14"/>
  <c r="W40" i="14"/>
  <c r="Y33" i="14"/>
  <c r="AC33" i="14" s="1"/>
  <c r="W20" i="14"/>
  <c r="W17" i="14"/>
  <c r="Y68" i="14"/>
  <c r="Y49" i="14"/>
  <c r="AC49" i="14" s="1"/>
  <c r="Y40" i="14"/>
  <c r="AA40" i="14" s="1"/>
  <c r="W30" i="14"/>
  <c r="S1" i="14"/>
  <c r="W248" i="14"/>
  <c r="Y234" i="14"/>
  <c r="AA234" i="14" s="1"/>
  <c r="Y192" i="14"/>
  <c r="Y179" i="14"/>
  <c r="AA179" i="14" s="1"/>
  <c r="W172" i="14"/>
  <c r="Y166" i="14"/>
  <c r="W224" i="14"/>
  <c r="Y215" i="14"/>
  <c r="W199" i="14"/>
  <c r="W192" i="14"/>
  <c r="W188" i="14"/>
  <c r="W185" i="14"/>
  <c r="Y172" i="14"/>
  <c r="W144" i="14"/>
  <c r="Y121" i="14"/>
  <c r="AA121" i="14" s="1"/>
  <c r="W97" i="14"/>
  <c r="W87" i="14"/>
  <c r="W80" i="14"/>
  <c r="Y65" i="14"/>
  <c r="Y53" i="14"/>
  <c r="AA53" i="14" s="1"/>
  <c r="W48" i="14"/>
  <c r="Y17" i="14"/>
  <c r="AC17" i="14" s="1"/>
  <c r="AG4" i="14"/>
  <c r="Y84" i="14"/>
  <c r="AA84" i="14" s="1"/>
  <c r="Y81" i="14"/>
  <c r="AC81" i="14" s="1"/>
  <c r="Y74" i="14"/>
  <c r="AA74" i="14" s="1"/>
  <c r="W58" i="14"/>
  <c r="W53" i="14"/>
  <c r="Y27" i="14"/>
  <c r="Y18" i="14"/>
  <c r="Y10" i="14"/>
  <c r="AA10" i="14" s="1"/>
  <c r="W245" i="14"/>
  <c r="W230" i="14"/>
  <c r="Y211" i="14"/>
  <c r="Y189" i="14"/>
  <c r="W169" i="14"/>
  <c r="Y188" i="14"/>
  <c r="Y185" i="14"/>
  <c r="W175" i="14"/>
  <c r="W163" i="14"/>
  <c r="W151" i="14"/>
  <c r="W140" i="14"/>
  <c r="Y114" i="14"/>
  <c r="AC114" i="14" s="1"/>
  <c r="Y110" i="14"/>
  <c r="W107" i="14"/>
  <c r="Y87" i="14"/>
  <c r="W36" i="14"/>
  <c r="Y26" i="14"/>
  <c r="AC26" i="14" s="1"/>
  <c r="Y13" i="14"/>
  <c r="AA13" i="14" s="1"/>
  <c r="AG3" i="14"/>
  <c r="AC250" i="14"/>
  <c r="AA250" i="14"/>
  <c r="AA254" i="14"/>
  <c r="AC254" i="14"/>
  <c r="AC223" i="14"/>
  <c r="AA223" i="14"/>
  <c r="AC197" i="14"/>
  <c r="AA197" i="14"/>
  <c r="AA244" i="14"/>
  <c r="AC244" i="14"/>
  <c r="AA214" i="14"/>
  <c r="AC214" i="14"/>
  <c r="AC238" i="14"/>
  <c r="AA238" i="14"/>
  <c r="AA232" i="14"/>
  <c r="AC232" i="14"/>
  <c r="AA237" i="14"/>
  <c r="AC237" i="14"/>
  <c r="AA221" i="14"/>
  <c r="AC221" i="14"/>
  <c r="AA202" i="14"/>
  <c r="AC202" i="14"/>
  <c r="AA199" i="14"/>
  <c r="AC199" i="14"/>
  <c r="AA242" i="14"/>
  <c r="AC242" i="14"/>
  <c r="AA255" i="14"/>
  <c r="AC255" i="14"/>
  <c r="AA247" i="14"/>
  <c r="AA243" i="14"/>
  <c r="AC243" i="14"/>
  <c r="AA22" i="14"/>
  <c r="AC22" i="14"/>
  <c r="AA252" i="14"/>
  <c r="AC252" i="14"/>
  <c r="AA240" i="14"/>
  <c r="AC240" i="14"/>
  <c r="AA235" i="14"/>
  <c r="AA228" i="14"/>
  <c r="AC228" i="14"/>
  <c r="AA225" i="14"/>
  <c r="AC209" i="14"/>
  <c r="AC148" i="14"/>
  <c r="AA148" i="14"/>
  <c r="AA136" i="14"/>
  <c r="AC136" i="14"/>
  <c r="AA253" i="14"/>
  <c r="AC253" i="14"/>
  <c r="AA241" i="14"/>
  <c r="AC241" i="14"/>
  <c r="AA224" i="14"/>
  <c r="AC224" i="14"/>
  <c r="AA16" i="14"/>
  <c r="AC16" i="14"/>
  <c r="AA218" i="14"/>
  <c r="AA191" i="14"/>
  <c r="AA171" i="14"/>
  <c r="AC171" i="14"/>
  <c r="AC193" i="14"/>
  <c r="AA193" i="14"/>
  <c r="AC222" i="14"/>
  <c r="AA222" i="14"/>
  <c r="AC117" i="14"/>
  <c r="AC94" i="14"/>
  <c r="AA94" i="14"/>
  <c r="AA231" i="14"/>
  <c r="AC231" i="14"/>
  <c r="AA215" i="14"/>
  <c r="AC215" i="14"/>
  <c r="AC69" i="14"/>
  <c r="AA69" i="14"/>
  <c r="AA220" i="14"/>
  <c r="AC220" i="14"/>
  <c r="AA200" i="14"/>
  <c r="AC200" i="14"/>
  <c r="AC168" i="14"/>
  <c r="AA168" i="14"/>
  <c r="AA151" i="14"/>
  <c r="AC151" i="14"/>
  <c r="AA156" i="14"/>
  <c r="AC156" i="14"/>
  <c r="AA88" i="14"/>
  <c r="AC39" i="14"/>
  <c r="AA39" i="14"/>
  <c r="AA181" i="14"/>
  <c r="AC181" i="14"/>
  <c r="AA201" i="14"/>
  <c r="AC201" i="14"/>
  <c r="AC134" i="14"/>
  <c r="AA134" i="14"/>
  <c r="AA230" i="14"/>
  <c r="AC230" i="14"/>
  <c r="AA216" i="14"/>
  <c r="AC216" i="14"/>
  <c r="AA213" i="14"/>
  <c r="AC213" i="14"/>
  <c r="AA204" i="14"/>
  <c r="AC195" i="14"/>
  <c r="AA177" i="14"/>
  <c r="AC177" i="14"/>
  <c r="AA109" i="14"/>
  <c r="AC109" i="14"/>
  <c r="AA153" i="14"/>
  <c r="AC153" i="14"/>
  <c r="AA229" i="14"/>
  <c r="AC229" i="14"/>
  <c r="AA212" i="14"/>
  <c r="AC212" i="14"/>
  <c r="AA198" i="14"/>
  <c r="AC198" i="14"/>
  <c r="AC173" i="14"/>
  <c r="AA173" i="14"/>
  <c r="AC169" i="14"/>
  <c r="AA169" i="14"/>
  <c r="U5" i="14"/>
  <c r="X5" i="14" s="1"/>
  <c r="Y5" i="14" s="1"/>
  <c r="AC246" i="14"/>
  <c r="AA188" i="14"/>
  <c r="AC188" i="14"/>
  <c r="AC112" i="14"/>
  <c r="AA112" i="14"/>
  <c r="AA175" i="14"/>
  <c r="AC175" i="14"/>
  <c r="AC162" i="14"/>
  <c r="AA162" i="14"/>
  <c r="AA138" i="14"/>
  <c r="AC138" i="14"/>
  <c r="AA186" i="14"/>
  <c r="AA182" i="14"/>
  <c r="AC158" i="14"/>
  <c r="AA127" i="14"/>
  <c r="AC127" i="14"/>
  <c r="AA120" i="14"/>
  <c r="AC120" i="14"/>
  <c r="AA108" i="14"/>
  <c r="AC108" i="14"/>
  <c r="AA105" i="14"/>
  <c r="AA91" i="14"/>
  <c r="AA82" i="14"/>
  <c r="AC82" i="14"/>
  <c r="AC196" i="14"/>
  <c r="AC170" i="14"/>
  <c r="AC159" i="14"/>
  <c r="AA159" i="14"/>
  <c r="AA155" i="14"/>
  <c r="AA139" i="14"/>
  <c r="AC139" i="14"/>
  <c r="AC113" i="14"/>
  <c r="AC97" i="14"/>
  <c r="AA93" i="14"/>
  <c r="AC55" i="14"/>
  <c r="AA28" i="14"/>
  <c r="AC28" i="14"/>
  <c r="AA50" i="14"/>
  <c r="AC50" i="14"/>
  <c r="AA180" i="14"/>
  <c r="AA178" i="14"/>
  <c r="AC152" i="14"/>
  <c r="AA152" i="14"/>
  <c r="AC150" i="14"/>
  <c r="AA150" i="14"/>
  <c r="AA144" i="14"/>
  <c r="AC144" i="14"/>
  <c r="AC116" i="14"/>
  <c r="AA116" i="14"/>
  <c r="AA81" i="14"/>
  <c r="AA174" i="14"/>
  <c r="AA172" i="14"/>
  <c r="AC172" i="14"/>
  <c r="AC165" i="14"/>
  <c r="AA165" i="14"/>
  <c r="AA133" i="14"/>
  <c r="AA113" i="14"/>
  <c r="AA107" i="14"/>
  <c r="AC107" i="14"/>
  <c r="AA64" i="14"/>
  <c r="AC64" i="14"/>
  <c r="AC37" i="14"/>
  <c r="AC31" i="14"/>
  <c r="AA31" i="14"/>
  <c r="AA176" i="14"/>
  <c r="AC137" i="14"/>
  <c r="AA137" i="14"/>
  <c r="AC99" i="14"/>
  <c r="AA99" i="14"/>
  <c r="AA80" i="14"/>
  <c r="AC30" i="14"/>
  <c r="AA30" i="14"/>
  <c r="AC61" i="14"/>
  <c r="AC86" i="14"/>
  <c r="AC83" i="14"/>
  <c r="AC89" i="14"/>
  <c r="AC129" i="14"/>
  <c r="AC119" i="14"/>
  <c r="AA163" i="14"/>
  <c r="AC163" i="14"/>
  <c r="AA146" i="14"/>
  <c r="AC146" i="14"/>
  <c r="AC130" i="14"/>
  <c r="AA130" i="14"/>
  <c r="AC118" i="14"/>
  <c r="AA118" i="14"/>
  <c r="AC102" i="14"/>
  <c r="AC122" i="14"/>
  <c r="AA122" i="14"/>
  <c r="AA61" i="14"/>
  <c r="AA49" i="14"/>
  <c r="AA89" i="14"/>
  <c r="AA86" i="14"/>
  <c r="AA52" i="14"/>
  <c r="AA92" i="14"/>
  <c r="AA129" i="14"/>
  <c r="AA124" i="14"/>
  <c r="AC183" i="14"/>
  <c r="AC167" i="14"/>
  <c r="AA158" i="14"/>
  <c r="AC149" i="14"/>
  <c r="AA141" i="14"/>
  <c r="AC125" i="14"/>
  <c r="AC123" i="14"/>
  <c r="AA106" i="14"/>
  <c r="AC36" i="14"/>
  <c r="AA142" i="14"/>
  <c r="AC111" i="14"/>
  <c r="AA104" i="14"/>
  <c r="AC104" i="14"/>
  <c r="AA58" i="14"/>
  <c r="AC58" i="14"/>
  <c r="AA25" i="14"/>
  <c r="AC25" i="14"/>
  <c r="AC135" i="14"/>
  <c r="AA135" i="14"/>
  <c r="AA131" i="14"/>
  <c r="AC131" i="14"/>
  <c r="AA119" i="14"/>
  <c r="AA101" i="14"/>
  <c r="AC101" i="14"/>
  <c r="AC96" i="14"/>
  <c r="AA96" i="14"/>
  <c r="AA73" i="14"/>
  <c r="AC73" i="14"/>
  <c r="AA41" i="14"/>
  <c r="AC41" i="14"/>
  <c r="AA15" i="14"/>
  <c r="AC15" i="14"/>
  <c r="AA12" i="14"/>
  <c r="AC12" i="14"/>
  <c r="AC141" i="14"/>
  <c r="AA115" i="14"/>
  <c r="AC115" i="14"/>
  <c r="AA68" i="14"/>
  <c r="AC68" i="14"/>
  <c r="AC59" i="14"/>
  <c r="AC57" i="14"/>
  <c r="AA57" i="14"/>
  <c r="AC8" i="14"/>
  <c r="AA8" i="14"/>
  <c r="AC164" i="14"/>
  <c r="AC161" i="14"/>
  <c r="AA145" i="14"/>
  <c r="AC145" i="14"/>
  <c r="AC133" i="14"/>
  <c r="AC105" i="14"/>
  <c r="AC90" i="14"/>
  <c r="AA90" i="14"/>
  <c r="AC84" i="14"/>
  <c r="AA70" i="14"/>
  <c r="AA67" i="14"/>
  <c r="AC67" i="14"/>
  <c r="AC43" i="14"/>
  <c r="AA35" i="14"/>
  <c r="AC35" i="14"/>
  <c r="AA11" i="14"/>
  <c r="AC11" i="14"/>
  <c r="AA143" i="14"/>
  <c r="AA126" i="14"/>
  <c r="AC124" i="14"/>
  <c r="AC98" i="14"/>
  <c r="AA98" i="14"/>
  <c r="AA75" i="14"/>
  <c r="AC75" i="14"/>
  <c r="AA54" i="14"/>
  <c r="AC54" i="14"/>
  <c r="AC48" i="14"/>
  <c r="AA48" i="14"/>
  <c r="AA100" i="14"/>
  <c r="AC100" i="14"/>
  <c r="AA87" i="14"/>
  <c r="AC87" i="14"/>
  <c r="AC56" i="14"/>
  <c r="AA56" i="14"/>
  <c r="AC45" i="14"/>
  <c r="AA45" i="14"/>
  <c r="AA34" i="14"/>
  <c r="AC34" i="14"/>
  <c r="AA114" i="14"/>
  <c r="AA78" i="14"/>
  <c r="AC78" i="14"/>
  <c r="AA72" i="14"/>
  <c r="AC72" i="14"/>
  <c r="AC18" i="14"/>
  <c r="AA76" i="14"/>
  <c r="AC76" i="14"/>
  <c r="AA63" i="14"/>
  <c r="AC63" i="14"/>
  <c r="AC110" i="14"/>
  <c r="AC92" i="14"/>
  <c r="AC53" i="14"/>
  <c r="AC29" i="14"/>
  <c r="AA65" i="14"/>
  <c r="AC65" i="14"/>
  <c r="AC52" i="14"/>
  <c r="AA18" i="14"/>
  <c r="AA71" i="14"/>
  <c r="AA66" i="14"/>
  <c r="AC66" i="14"/>
  <c r="AA60" i="14"/>
  <c r="AC60" i="14"/>
  <c r="AA19" i="14"/>
  <c r="AC19" i="14"/>
  <c r="AA110" i="14"/>
  <c r="AC62" i="14"/>
  <c r="AA62" i="14"/>
  <c r="AA27" i="14"/>
  <c r="AC27" i="14"/>
  <c r="AA95" i="14"/>
  <c r="AC95" i="14"/>
  <c r="AC93" i="14"/>
  <c r="AC79" i="14"/>
  <c r="AA79" i="14"/>
  <c r="AA77" i="14"/>
  <c r="AC77" i="14"/>
  <c r="AC42" i="14"/>
  <c r="AA42" i="14"/>
  <c r="AC38" i="14"/>
  <c r="AA38" i="14"/>
  <c r="AA29" i="14"/>
  <c r="Z19" i="14"/>
  <c r="AC70" i="14"/>
  <c r="AA59" i="14"/>
  <c r="AA55" i="14"/>
  <c r="AA46" i="14"/>
  <c r="AC44" i="14"/>
  <c r="AA44" i="14"/>
  <c r="AA36" i="14"/>
  <c r="AC21" i="14"/>
  <c r="AA21" i="14"/>
  <c r="AA23" i="14"/>
  <c r="AC23" i="14"/>
  <c r="AA83" i="14"/>
  <c r="AC80" i="14"/>
  <c r="AA37" i="14"/>
  <c r="AC10" i="14"/>
  <c r="AA6" i="14"/>
  <c r="AC6" i="14"/>
  <c r="Y15" i="4"/>
  <c r="AF15" i="4"/>
  <c r="X17" i="4"/>
  <c r="X24" i="5" s="1"/>
  <c r="X44" i="5" s="1"/>
  <c r="AA33" i="3"/>
  <c r="AD36" i="3"/>
  <c r="AE22" i="4"/>
  <c r="AE26" i="6"/>
  <c r="AD40" i="6"/>
  <c r="E25" i="2" s="1"/>
  <c r="R41" i="6"/>
  <c r="AG31" i="4"/>
  <c r="AD38" i="6"/>
  <c r="AA32" i="3"/>
  <c r="AD32" i="3"/>
  <c r="AC33" i="3"/>
  <c r="AA35" i="3"/>
  <c r="AD35" i="3"/>
  <c r="AC36" i="3"/>
  <c r="AG48" i="4"/>
  <c r="V41" i="6"/>
  <c r="AC18" i="3"/>
  <c r="S17" i="4"/>
  <c r="S24" i="5" s="1"/>
  <c r="S44" i="5" s="1"/>
  <c r="AA18" i="3"/>
  <c r="Q17" i="4"/>
  <c r="AG22" i="4"/>
  <c r="AF27" i="6"/>
  <c r="AB35" i="3"/>
  <c r="S41" i="6"/>
  <c r="AB40" i="5"/>
  <c r="H46" i="5"/>
  <c r="P33" i="6"/>
  <c r="AE40" i="5"/>
  <c r="F44" i="5"/>
  <c r="AB44" i="5" s="1"/>
  <c r="P42" i="5"/>
  <c r="O26" i="3" s="1"/>
  <c r="P41" i="5"/>
  <c r="T44" i="5"/>
  <c r="AB26" i="5"/>
  <c r="F41" i="5"/>
  <c r="F46" i="5"/>
  <c r="AB46" i="5" s="1"/>
  <c r="M26" i="3"/>
  <c r="H41" i="5"/>
  <c r="M44" i="5"/>
  <c r="J42" i="5"/>
  <c r="AC42" i="5" s="1"/>
  <c r="J44" i="5"/>
  <c r="AC44" i="5" s="1"/>
  <c r="O41" i="5"/>
  <c r="N41" i="5"/>
  <c r="G28" i="3"/>
  <c r="S31" i="6"/>
  <c r="S33" i="6" s="1"/>
  <c r="T31" i="6"/>
  <c r="T33" i="6" s="1"/>
  <c r="P46" i="5"/>
  <c r="P36" i="5"/>
  <c r="AC13" i="5"/>
  <c r="K20" i="5"/>
  <c r="G36" i="5"/>
  <c r="I46" i="5"/>
  <c r="H36" i="5"/>
  <c r="AE15" i="5"/>
  <c r="S15" i="5"/>
  <c r="T15" i="5" s="1"/>
  <c r="U15" i="5" s="1"/>
  <c r="V15" i="5" s="1"/>
  <c r="AF15" i="5" s="1"/>
  <c r="AE31" i="5"/>
  <c r="S31" i="5"/>
  <c r="T31" i="5" s="1"/>
  <c r="U31" i="5" s="1"/>
  <c r="V31" i="5" s="1"/>
  <c r="S33" i="5"/>
  <c r="T33" i="5" s="1"/>
  <c r="U33" i="5" s="1"/>
  <c r="V33" i="5" s="1"/>
  <c r="AE33" i="5"/>
  <c r="AE30" i="5"/>
  <c r="S30" i="5"/>
  <c r="T30" i="5" s="1"/>
  <c r="X18" i="6"/>
  <c r="Q31" i="6"/>
  <c r="Q33" i="6" s="1"/>
  <c r="R31" i="6"/>
  <c r="R33" i="6" s="1"/>
  <c r="H20" i="5"/>
  <c r="H37" i="5" s="1"/>
  <c r="G11" i="9" s="1"/>
  <c r="W18" i="6"/>
  <c r="Y18" i="6"/>
  <c r="F20" i="5"/>
  <c r="AB20" i="5" s="1"/>
  <c r="M36" i="5"/>
  <c r="J46" i="5"/>
  <c r="AC46" i="5" s="1"/>
  <c r="O37" i="5"/>
  <c r="N11" i="9" s="1"/>
  <c r="I20" i="5"/>
  <c r="W31" i="6"/>
  <c r="W33" i="6" s="1"/>
  <c r="S16" i="5"/>
  <c r="T16" i="5" s="1"/>
  <c r="U16" i="5" s="1"/>
  <c r="V16" i="5" s="1"/>
  <c r="W16" i="5" s="1"/>
  <c r="X16" i="5" s="1"/>
  <c r="Y16" i="5" s="1"/>
  <c r="Z16" i="5" s="1"/>
  <c r="AG16" i="5" s="1"/>
  <c r="X31" i="6"/>
  <c r="X33" i="6" s="1"/>
  <c r="AC17" i="4"/>
  <c r="M24" i="4"/>
  <c r="M19" i="4"/>
  <c r="D24" i="4"/>
  <c r="D19" i="4"/>
  <c r="D10" i="2"/>
  <c r="M11" i="3"/>
  <c r="I42" i="3"/>
  <c r="O37" i="4"/>
  <c r="O18" i="4"/>
  <c r="AD14" i="4"/>
  <c r="N17" i="4"/>
  <c r="N44" i="5" s="1"/>
  <c r="AD44" i="5" s="1"/>
  <c r="J17" i="4"/>
  <c r="AE31" i="4"/>
  <c r="L12" i="4"/>
  <c r="L37" i="4"/>
  <c r="D6" i="11"/>
  <c r="AC34" i="9"/>
  <c r="P27" i="4"/>
  <c r="P37" i="4"/>
  <c r="J23" i="4"/>
  <c r="J49" i="4"/>
  <c r="AC21" i="4"/>
  <c r="AF31" i="4"/>
  <c r="U31" i="6"/>
  <c r="U33" i="6" s="1"/>
  <c r="AF10" i="5"/>
  <c r="W17" i="5"/>
  <c r="X17" i="5" s="1"/>
  <c r="Y17" i="5" s="1"/>
  <c r="Z17" i="5" s="1"/>
  <c r="AG17" i="5" s="1"/>
  <c r="AF17" i="5"/>
  <c r="C24" i="4"/>
  <c r="C19" i="4"/>
  <c r="C12" i="4"/>
  <c r="R14" i="4"/>
  <c r="K28" i="3"/>
  <c r="L42" i="4"/>
  <c r="AC20" i="3"/>
  <c r="D12" i="4"/>
  <c r="AE15" i="4"/>
  <c r="AD12" i="3" s="1"/>
  <c r="M42" i="4"/>
  <c r="L28" i="3"/>
  <c r="P19" i="4"/>
  <c r="M42" i="3"/>
  <c r="P42" i="3" s="1"/>
  <c r="E12" i="4"/>
  <c r="E18" i="4"/>
  <c r="AF22" i="4"/>
  <c r="Q23" i="4"/>
  <c r="X30" i="4"/>
  <c r="AG30" i="4" s="1"/>
  <c r="J35" i="4"/>
  <c r="F38" i="4"/>
  <c r="H42" i="4"/>
  <c r="N50" i="6"/>
  <c r="N51" i="6" s="1"/>
  <c r="B6" i="11"/>
  <c r="AA34" i="9"/>
  <c r="E51" i="6"/>
  <c r="F11" i="4"/>
  <c r="F18" i="4" s="1"/>
  <c r="F42" i="4"/>
  <c r="F40" i="4"/>
  <c r="F39" i="4"/>
  <c r="AB9" i="4"/>
  <c r="AB33" i="9"/>
  <c r="C5" i="11"/>
  <c r="AC42" i="4"/>
  <c r="AC41" i="4"/>
  <c r="AC35" i="4"/>
  <c r="AC39" i="4"/>
  <c r="G12" i="4"/>
  <c r="U17" i="4"/>
  <c r="U24" i="5" s="1"/>
  <c r="U44" i="5" s="1"/>
  <c r="Y14" i="4"/>
  <c r="N50" i="4"/>
  <c r="AD25" i="4"/>
  <c r="AD50" i="4" s="1"/>
  <c r="G46" i="5"/>
  <c r="G20" i="5"/>
  <c r="F36" i="4"/>
  <c r="P42" i="4"/>
  <c r="P47" i="4"/>
  <c r="K17" i="3"/>
  <c r="L46" i="4"/>
  <c r="AB32" i="3"/>
  <c r="N42" i="4"/>
  <c r="N36" i="4"/>
  <c r="N38" i="4"/>
  <c r="N11" i="4"/>
  <c r="N41" i="4"/>
  <c r="O36" i="4"/>
  <c r="N40" i="4"/>
  <c r="N35" i="4"/>
  <c r="I37" i="4"/>
  <c r="I18" i="4"/>
  <c r="W15" i="4"/>
  <c r="AG15" i="4" s="1"/>
  <c r="AF12" i="3" s="1"/>
  <c r="G36" i="4"/>
  <c r="M37" i="4"/>
  <c r="U18" i="6"/>
  <c r="AF12" i="5"/>
  <c r="W28" i="5"/>
  <c r="X28" i="5" s="1"/>
  <c r="Y28" i="5" s="1"/>
  <c r="Z28" i="5" s="1"/>
  <c r="AG28" i="5" s="1"/>
  <c r="U30" i="5"/>
  <c r="B25" i="12"/>
  <c r="C25" i="12" s="1"/>
  <c r="B24" i="12"/>
  <c r="AC33" i="9"/>
  <c r="D5" i="11"/>
  <c r="F5" i="11" s="1"/>
  <c r="AD41" i="4"/>
  <c r="AD35" i="4"/>
  <c r="AD40" i="4"/>
  <c r="AD12" i="4"/>
  <c r="D11" i="2" s="1"/>
  <c r="H12" i="4"/>
  <c r="H37" i="4"/>
  <c r="H18" i="4"/>
  <c r="G24" i="4"/>
  <c r="I11" i="3"/>
  <c r="AB13" i="3"/>
  <c r="AB36" i="3"/>
  <c r="M41" i="3"/>
  <c r="P41" i="3" s="1"/>
  <c r="J11" i="4"/>
  <c r="AB14" i="4"/>
  <c r="AB17" i="4" s="1"/>
  <c r="L18" i="4"/>
  <c r="AB49" i="4"/>
  <c r="AB23" i="4"/>
  <c r="B31" i="12"/>
  <c r="D8" i="11"/>
  <c r="AC10" i="4"/>
  <c r="AC38" i="4" s="1"/>
  <c r="K37" i="4"/>
  <c r="M12" i="4"/>
  <c r="F28" i="3"/>
  <c r="G42" i="4"/>
  <c r="AD55" i="4"/>
  <c r="N59" i="4"/>
  <c r="AD59" i="4" s="1"/>
  <c r="AD20" i="5"/>
  <c r="K42" i="4"/>
  <c r="J36" i="4"/>
  <c r="V31" i="6"/>
  <c r="S18" i="5"/>
  <c r="T18" i="5" s="1"/>
  <c r="U18" i="5" s="1"/>
  <c r="V18" i="5" s="1"/>
  <c r="AE18" i="5"/>
  <c r="C23" i="6"/>
  <c r="O23" i="6"/>
  <c r="K23" i="6"/>
  <c r="J41" i="4"/>
  <c r="O42" i="4"/>
  <c r="S27" i="5"/>
  <c r="T27" i="5" s="1"/>
  <c r="U27" i="5" s="1"/>
  <c r="V27" i="5" s="1"/>
  <c r="AE27" i="5"/>
  <c r="AC62" i="4"/>
  <c r="G47" i="4"/>
  <c r="L20" i="5"/>
  <c r="L46" i="5"/>
  <c r="E50" i="6"/>
  <c r="L33" i="6"/>
  <c r="J33" i="6"/>
  <c r="F23" i="4"/>
  <c r="M46" i="5"/>
  <c r="M20" i="5"/>
  <c r="H28" i="9"/>
  <c r="H30" i="9" s="1"/>
  <c r="G46" i="4"/>
  <c r="N46" i="5"/>
  <c r="AD46" i="5" s="1"/>
  <c r="AD13" i="5"/>
  <c r="F36" i="5"/>
  <c r="G23" i="6"/>
  <c r="S25" i="5"/>
  <c r="T25" i="5" s="1"/>
  <c r="U25" i="5" s="1"/>
  <c r="V25" i="5" s="1"/>
  <c r="AE25" i="5"/>
  <c r="H23" i="6"/>
  <c r="AB9" i="6"/>
  <c r="K18" i="4"/>
  <c r="J38" i="4"/>
  <c r="I37" i="5"/>
  <c r="H11" i="9" s="1"/>
  <c r="N29" i="5"/>
  <c r="AD26" i="5"/>
  <c r="AC59" i="4"/>
  <c r="L28" i="9"/>
  <c r="L30" i="9" s="1"/>
  <c r="K46" i="4"/>
  <c r="J39" i="4"/>
  <c r="I42" i="4"/>
  <c r="AB62" i="4"/>
  <c r="Q18" i="6"/>
  <c r="AD18" i="6" s="1"/>
  <c r="AE12" i="5"/>
  <c r="AE17" i="5"/>
  <c r="D23" i="6"/>
  <c r="AB19" i="6"/>
  <c r="M33" i="6"/>
  <c r="K31" i="6"/>
  <c r="AB29" i="6"/>
  <c r="Y31" i="6"/>
  <c r="Y33" i="6" s="1"/>
  <c r="R18" i="6"/>
  <c r="J36" i="5"/>
  <c r="AC36" i="5" s="1"/>
  <c r="AB10" i="6"/>
  <c r="AC12" i="6"/>
  <c r="AB15" i="6"/>
  <c r="AA16" i="6"/>
  <c r="AA22" i="6"/>
  <c r="C10" i="11"/>
  <c r="L31" i="6"/>
  <c r="AC31" i="6" s="1"/>
  <c r="D28" i="9"/>
  <c r="D30" i="9" s="1"/>
  <c r="S18" i="6"/>
  <c r="K36" i="5"/>
  <c r="O46" i="5"/>
  <c r="F23" i="6"/>
  <c r="C33" i="6"/>
  <c r="O33" i="6"/>
  <c r="AD26" i="6"/>
  <c r="AA32" i="6"/>
  <c r="N41" i="6"/>
  <c r="L36" i="5"/>
  <c r="AA14" i="6"/>
  <c r="AA28" i="6"/>
  <c r="B31" i="6"/>
  <c r="AA31" i="6" s="1"/>
  <c r="N31" i="6"/>
  <c r="AD28" i="6"/>
  <c r="C41" i="6"/>
  <c r="AA36" i="6"/>
  <c r="AA41" i="6" s="1"/>
  <c r="O41" i="6"/>
  <c r="AD36" i="6"/>
  <c r="AC36" i="6"/>
  <c r="AB55" i="4"/>
  <c r="AE10" i="5"/>
  <c r="V18" i="6"/>
  <c r="P20" i="5"/>
  <c r="P37" i="5" s="1"/>
  <c r="O11" i="9" s="1"/>
  <c r="I23" i="6"/>
  <c r="AC10" i="6"/>
  <c r="AC23" i="6" s="1"/>
  <c r="E41" i="6"/>
  <c r="E44" i="6" s="1"/>
  <c r="AE38" i="6"/>
  <c r="AE41" i="6" s="1"/>
  <c r="K43" i="7"/>
  <c r="K46" i="7" s="1"/>
  <c r="K53" i="7" s="1"/>
  <c r="K19" i="9" s="1"/>
  <c r="AE28" i="5"/>
  <c r="AA11" i="6"/>
  <c r="AA23" i="6" s="1"/>
  <c r="AG10" i="5"/>
  <c r="S19" i="5"/>
  <c r="T19" i="5" s="1"/>
  <c r="U19" i="5" s="1"/>
  <c r="V19" i="5" s="1"/>
  <c r="AA17" i="6"/>
  <c r="AB27" i="6"/>
  <c r="AB33" i="6" s="1"/>
  <c r="AE27" i="6"/>
  <c r="AB31" i="6"/>
  <c r="AA37" i="6"/>
  <c r="L23" i="6"/>
  <c r="G31" i="6"/>
  <c r="G33" i="6" s="1"/>
  <c r="AC45" i="6"/>
  <c r="B93" i="10"/>
  <c r="B87" i="10"/>
  <c r="B91" i="10"/>
  <c r="M23" i="6"/>
  <c r="AA13" i="6"/>
  <c r="AD13" i="6"/>
  <c r="K33" i="6"/>
  <c r="F41" i="6"/>
  <c r="AC28" i="6"/>
  <c r="I43" i="7"/>
  <c r="I46" i="7" s="1"/>
  <c r="I53" i="7" s="1"/>
  <c r="I19" i="9" s="1"/>
  <c r="E89" i="10"/>
  <c r="E84" i="10"/>
  <c r="E90" i="10" s="1"/>
  <c r="F78" i="11"/>
  <c r="D78" i="11"/>
  <c r="F103" i="11"/>
  <c r="D103" i="11"/>
  <c r="H31" i="6"/>
  <c r="H33" i="6" s="1"/>
  <c r="J43" i="7"/>
  <c r="J46" i="7" s="1"/>
  <c r="J53" i="7" s="1"/>
  <c r="J19" i="9" s="1"/>
  <c r="F43" i="7"/>
  <c r="F46" i="7" s="1"/>
  <c r="F53" i="7" s="1"/>
  <c r="F19" i="9" s="1"/>
  <c r="B73" i="10"/>
  <c r="B92" i="10" s="1"/>
  <c r="F91" i="11"/>
  <c r="C91" i="11"/>
  <c r="C73" i="10"/>
  <c r="C92" i="10" s="1"/>
  <c r="C94" i="10"/>
  <c r="F79" i="11"/>
  <c r="C79" i="11"/>
  <c r="G41" i="6"/>
  <c r="H43" i="7"/>
  <c r="H46" i="7" s="1"/>
  <c r="H53" i="7" s="1"/>
  <c r="H19" i="9" s="1"/>
  <c r="D104" i="11"/>
  <c r="F104" i="11"/>
  <c r="T18" i="6"/>
  <c r="J23" i="6"/>
  <c r="H41" i="6"/>
  <c r="F94" i="10"/>
  <c r="F101" i="11"/>
  <c r="D101" i="11"/>
  <c r="AA19" i="6"/>
  <c r="AF41" i="6"/>
  <c r="AD45" i="6"/>
  <c r="B43" i="7"/>
  <c r="B46" i="7" s="1"/>
  <c r="B53" i="7"/>
  <c r="B19" i="9" s="1"/>
  <c r="N43" i="7"/>
  <c r="N46" i="7" s="1"/>
  <c r="N53" i="7"/>
  <c r="N19" i="9" s="1"/>
  <c r="F68" i="10"/>
  <c r="F96" i="10" s="1"/>
  <c r="F88" i="10"/>
  <c r="E88" i="10"/>
  <c r="B23" i="6"/>
  <c r="AC26" i="6"/>
  <c r="AB38" i="6"/>
  <c r="AB41" i="6" s="1"/>
  <c r="E12" i="11"/>
  <c r="E15" i="11" s="1"/>
  <c r="E16" i="11" s="1"/>
  <c r="E100" i="11" s="1"/>
  <c r="C90" i="11"/>
  <c r="F90" i="11"/>
  <c r="AC22" i="6"/>
  <c r="B41" i="6"/>
  <c r="C95" i="10"/>
  <c r="C97" i="10"/>
  <c r="C62" i="10"/>
  <c r="D95" i="10"/>
  <c r="D97" i="10"/>
  <c r="F102" i="11"/>
  <c r="D102" i="11"/>
  <c r="F92" i="11"/>
  <c r="D87" i="10"/>
  <c r="D89" i="10"/>
  <c r="D91" i="10"/>
  <c r="E97" i="10"/>
  <c r="E96" i="10"/>
  <c r="E95" i="10"/>
  <c r="F80" i="11"/>
  <c r="D80" i="11"/>
  <c r="B33" i="6"/>
  <c r="N33" i="6"/>
  <c r="N44" i="6" s="1"/>
  <c r="N47" i="6" s="1"/>
  <c r="AA26" i="6"/>
  <c r="AC38" i="6"/>
  <c r="G53" i="7"/>
  <c r="G19" i="9" s="1"/>
  <c r="E53" i="7"/>
  <c r="E19" i="9" s="1"/>
  <c r="F89" i="10"/>
  <c r="F91" i="10"/>
  <c r="F93" i="10"/>
  <c r="D73" i="10"/>
  <c r="D92" i="10" s="1"/>
  <c r="D94" i="10"/>
  <c r="D93" i="10"/>
  <c r="C41" i="12"/>
  <c r="C42" i="12" s="1"/>
  <c r="D40" i="12"/>
  <c r="E93" i="10"/>
  <c r="B96" i="10"/>
  <c r="D25" i="11"/>
  <c r="E29" i="11"/>
  <c r="E30" i="11" s="1"/>
  <c r="E101" i="11" s="1"/>
  <c r="E57" i="11"/>
  <c r="E58" i="11" s="1"/>
  <c r="E103" i="11" s="1"/>
  <c r="E25" i="11"/>
  <c r="E89" i="11" s="1"/>
  <c r="E43" i="11"/>
  <c r="E44" i="11" s="1"/>
  <c r="E102" i="11" s="1"/>
  <c r="E71" i="11"/>
  <c r="E72" i="11" s="1"/>
  <c r="E104" i="11" s="1"/>
  <c r="D77" i="11"/>
  <c r="D83" i="11"/>
  <c r="E94" i="10"/>
  <c r="B97" i="10"/>
  <c r="D86" i="11"/>
  <c r="D92" i="11"/>
  <c r="D84" i="11"/>
  <c r="D98" i="11"/>
  <c r="Z140" i="14" l="1"/>
  <c r="Z126" i="14"/>
  <c r="N25" i="3"/>
  <c r="O43" i="5"/>
  <c r="AD131" i="14"/>
  <c r="Z210" i="14"/>
  <c r="AD210" i="14" s="1"/>
  <c r="Z209" i="14"/>
  <c r="Z229" i="14"/>
  <c r="AI229" i="14" s="1"/>
  <c r="Z161" i="14"/>
  <c r="AD161" i="14" s="1"/>
  <c r="Z72" i="14"/>
  <c r="Z139" i="14"/>
  <c r="Z9" i="14"/>
  <c r="Z104" i="14"/>
  <c r="E26" i="3"/>
  <c r="AB42" i="5"/>
  <c r="E28" i="3"/>
  <c r="Z14" i="14"/>
  <c r="Z142" i="14"/>
  <c r="Z253" i="14"/>
  <c r="Z90" i="14"/>
  <c r="AD247" i="14"/>
  <c r="Z207" i="14"/>
  <c r="AD207" i="14" s="1"/>
  <c r="Z249" i="14"/>
  <c r="AD249" i="14" s="1"/>
  <c r="Z184" i="14"/>
  <c r="AD184" i="14" s="1"/>
  <c r="Z222" i="14"/>
  <c r="Z145" i="14"/>
  <c r="AD145" i="14" s="1"/>
  <c r="Z236" i="14"/>
  <c r="AD236" i="14" s="1"/>
  <c r="Z202" i="14"/>
  <c r="Z27" i="14"/>
  <c r="Z118" i="14"/>
  <c r="Z195" i="14"/>
  <c r="AD195" i="14" s="1"/>
  <c r="Z211" i="14"/>
  <c r="Z254" i="14"/>
  <c r="AD254" i="14" s="1"/>
  <c r="Z225" i="14"/>
  <c r="AD225" i="14" s="1"/>
  <c r="Z160" i="14"/>
  <c r="AD160" i="14" s="1"/>
  <c r="Z176" i="14"/>
  <c r="AD176" i="14" s="1"/>
  <c r="Z82" i="14"/>
  <c r="Z42" i="14"/>
  <c r="Z133" i="14"/>
  <c r="Z114" i="14"/>
  <c r="Z100" i="14"/>
  <c r="Z87" i="14"/>
  <c r="Z113" i="14"/>
  <c r="Z50" i="14"/>
  <c r="Z233" i="14"/>
  <c r="AD233" i="14" s="1"/>
  <c r="Z17" i="14"/>
  <c r="AD17" i="14" s="1"/>
  <c r="Z62" i="14"/>
  <c r="AD62" i="14" s="1"/>
  <c r="Z147" i="14"/>
  <c r="AD147" i="14" s="1"/>
  <c r="Z151" i="14"/>
  <c r="Z191" i="14"/>
  <c r="Z134" i="14"/>
  <c r="Z169" i="14"/>
  <c r="Z46" i="14"/>
  <c r="Z57" i="14"/>
  <c r="Z93" i="14"/>
  <c r="Z96" i="14"/>
  <c r="AD96" i="14" s="1"/>
  <c r="Z232" i="14"/>
  <c r="Z255" i="14"/>
  <c r="R9" i="14" s="1"/>
  <c r="R11" i="14" s="1"/>
  <c r="Z218" i="14"/>
  <c r="AD218" i="14" s="1"/>
  <c r="Z150" i="14"/>
  <c r="AD150" i="14" s="1"/>
  <c r="Z12" i="14"/>
  <c r="Z198" i="14"/>
  <c r="AD198" i="14" s="1"/>
  <c r="Z215" i="14"/>
  <c r="Z146" i="14"/>
  <c r="Z152" i="14"/>
  <c r="Z31" i="14"/>
  <c r="Z23" i="14"/>
  <c r="Z250" i="14"/>
  <c r="Z228" i="14"/>
  <c r="Z32" i="14"/>
  <c r="AD32" i="14" s="1"/>
  <c r="Z123" i="14"/>
  <c r="AD123" i="14" s="1"/>
  <c r="Z170" i="14"/>
  <c r="AD170" i="14" s="1"/>
  <c r="Z60" i="14"/>
  <c r="Z159" i="14"/>
  <c r="Z45" i="14"/>
  <c r="AI45" i="14" s="1"/>
  <c r="Z156" i="14"/>
  <c r="AI156" i="14" s="1"/>
  <c r="Z132" i="14"/>
  <c r="Z131" i="14"/>
  <c r="Z63" i="14"/>
  <c r="Z81" i="14"/>
  <c r="AD81" i="14" s="1"/>
  <c r="Z64" i="14"/>
  <c r="Z8" i="14"/>
  <c r="AD8" i="14" s="1"/>
  <c r="Z162" i="14"/>
  <c r="AD162" i="14" s="1"/>
  <c r="Z120" i="14"/>
  <c r="AD120" i="14" s="1"/>
  <c r="Z239" i="14"/>
  <c r="Z125" i="14"/>
  <c r="AD125" i="14" s="1"/>
  <c r="Z214" i="14"/>
  <c r="Z137" i="14"/>
  <c r="Z76" i="14"/>
  <c r="Z33" i="14"/>
  <c r="Z65" i="14"/>
  <c r="Z217" i="14"/>
  <c r="AD217" i="14" s="1"/>
  <c r="Z252" i="14"/>
  <c r="Z240" i="14"/>
  <c r="AD240" i="14" s="1"/>
  <c r="Z221" i="14"/>
  <c r="AD221" i="14" s="1"/>
  <c r="Z79" i="14"/>
  <c r="AD79" i="14" s="1"/>
  <c r="Z171" i="14"/>
  <c r="Z247" i="14"/>
  <c r="Z149" i="14"/>
  <c r="AD149" i="14" s="1"/>
  <c r="Z242" i="14"/>
  <c r="Z136" i="14"/>
  <c r="Z111" i="14"/>
  <c r="AD111" i="14" s="1"/>
  <c r="Z197" i="14"/>
  <c r="Z173" i="14"/>
  <c r="AD173" i="14" s="1"/>
  <c r="Z181" i="14"/>
  <c r="AD181" i="14" s="1"/>
  <c r="Z130" i="14"/>
  <c r="AD130" i="14" s="1"/>
  <c r="Z110" i="14"/>
  <c r="AD110" i="14" s="1"/>
  <c r="Z21" i="14"/>
  <c r="AD21" i="14" s="1"/>
  <c r="Z51" i="14"/>
  <c r="Z85" i="14"/>
  <c r="Z189" i="14"/>
  <c r="Z91" i="14"/>
  <c r="Z223" i="14"/>
  <c r="Z243" i="14"/>
  <c r="Z182" i="14"/>
  <c r="Z213" i="14"/>
  <c r="AD213" i="14" s="1"/>
  <c r="Z237" i="14"/>
  <c r="AD237" i="14" s="1"/>
  <c r="Z115" i="14"/>
  <c r="AD115" i="14" s="1"/>
  <c r="Z203" i="14"/>
  <c r="AD203" i="14" s="1"/>
  <c r="Z83" i="14"/>
  <c r="AD83" i="14" s="1"/>
  <c r="Z183" i="14"/>
  <c r="Z154" i="14"/>
  <c r="Z193" i="14"/>
  <c r="Z119" i="14"/>
  <c r="Z5" i="14"/>
  <c r="Q9" i="14" s="1"/>
  <c r="Z36" i="14"/>
  <c r="Z177" i="14"/>
  <c r="Z55" i="14"/>
  <c r="Z108" i="14"/>
  <c r="AD108" i="14" s="1"/>
  <c r="Z103" i="14"/>
  <c r="AD103" i="14" s="1"/>
  <c r="Z11" i="14"/>
  <c r="AD11" i="14" s="1"/>
  <c r="Z78" i="14"/>
  <c r="AD78" i="14" s="1"/>
  <c r="Z129" i="14"/>
  <c r="Z52" i="14"/>
  <c r="Z48" i="14"/>
  <c r="Z75" i="14"/>
  <c r="Z44" i="14"/>
  <c r="Z22" i="14"/>
  <c r="Z74" i="14"/>
  <c r="Z41" i="14"/>
  <c r="Z101" i="14"/>
  <c r="AD101" i="14" s="1"/>
  <c r="Z18" i="14"/>
  <c r="Z89" i="14"/>
  <c r="AD89" i="14" s="1"/>
  <c r="Z105" i="14"/>
  <c r="Z194" i="14"/>
  <c r="AD194" i="14" s="1"/>
  <c r="Z220" i="14"/>
  <c r="Z34" i="14"/>
  <c r="Z99" i="14"/>
  <c r="Z235" i="14"/>
  <c r="Z188" i="14"/>
  <c r="Z28" i="14"/>
  <c r="Z164" i="14"/>
  <c r="AD164" i="14" s="1"/>
  <c r="Z66" i="14"/>
  <c r="AD66" i="14" s="1"/>
  <c r="Z71" i="14"/>
  <c r="AD71" i="14" s="1"/>
  <c r="Z157" i="14"/>
  <c r="AD157" i="14" s="1"/>
  <c r="Z68" i="14"/>
  <c r="AD68" i="14" s="1"/>
  <c r="Z174" i="14"/>
  <c r="Z10" i="14"/>
  <c r="AD60" i="14"/>
  <c r="Z70" i="14"/>
  <c r="Z148" i="14"/>
  <c r="Z227" i="14"/>
  <c r="Z122" i="14"/>
  <c r="Z26" i="14"/>
  <c r="AD26" i="14" s="1"/>
  <c r="Z29" i="14"/>
  <c r="AD29" i="14" s="1"/>
  <c r="Z216" i="14"/>
  <c r="AD216" i="14" s="1"/>
  <c r="Z84" i="14"/>
  <c r="Z201" i="14"/>
  <c r="Z56" i="14"/>
  <c r="Z86" i="14"/>
  <c r="Z25" i="14"/>
  <c r="AD25" i="14" s="1"/>
  <c r="Z212" i="14"/>
  <c r="AD212" i="14" s="1"/>
  <c r="Z127" i="14"/>
  <c r="AD127" i="14" s="1"/>
  <c r="Z186" i="14"/>
  <c r="AD186" i="14" s="1"/>
  <c r="AD9" i="14"/>
  <c r="Z98" i="14"/>
  <c r="AE16" i="4"/>
  <c r="AD13" i="3" s="1"/>
  <c r="V16" i="4"/>
  <c r="AF16" i="4" s="1"/>
  <c r="AE13" i="3" s="1"/>
  <c r="Z38" i="14"/>
  <c r="Z59" i="14"/>
  <c r="AD59" i="14" s="1"/>
  <c r="Z143" i="14"/>
  <c r="AD143" i="14" s="1"/>
  <c r="Z196" i="14"/>
  <c r="AD196" i="14" s="1"/>
  <c r="Z116" i="14"/>
  <c r="Z153" i="14"/>
  <c r="Z231" i="14"/>
  <c r="Z185" i="14"/>
  <c r="Z6" i="14"/>
  <c r="AD6" i="14" s="1"/>
  <c r="Z30" i="14"/>
  <c r="Z67" i="14"/>
  <c r="AD67" i="14" s="1"/>
  <c r="Z180" i="14"/>
  <c r="AD100" i="14"/>
  <c r="Z187" i="14"/>
  <c r="AD187" i="14" s="1"/>
  <c r="AD197" i="14"/>
  <c r="AD19" i="14"/>
  <c r="AD118" i="14"/>
  <c r="Z47" i="14"/>
  <c r="Z166" i="14"/>
  <c r="Z121" i="14"/>
  <c r="Z37" i="14"/>
  <c r="AD37" i="14" s="1"/>
  <c r="Z219" i="14"/>
  <c r="Z69" i="14"/>
  <c r="AD69" i="14" s="1"/>
  <c r="Z16" i="14"/>
  <c r="AD16" i="14" s="1"/>
  <c r="Z167" i="14"/>
  <c r="AD167" i="14" s="1"/>
  <c r="O25" i="3"/>
  <c r="P43" i="5"/>
  <c r="Z49" i="14"/>
  <c r="Z80" i="14"/>
  <c r="Z138" i="14"/>
  <c r="AD138" i="14" s="1"/>
  <c r="Z135" i="14"/>
  <c r="AD135" i="14" s="1"/>
  <c r="Z112" i="14"/>
  <c r="AD112" i="14" s="1"/>
  <c r="Q10" i="4"/>
  <c r="Q42" i="3"/>
  <c r="Q41" i="3"/>
  <c r="Q9" i="4"/>
  <c r="Z15" i="14"/>
  <c r="AD15" i="14" s="1"/>
  <c r="Z54" i="14"/>
  <c r="AD54" i="14" s="1"/>
  <c r="Z102" i="14"/>
  <c r="AD102" i="14" s="1"/>
  <c r="Z24" i="14"/>
  <c r="Z199" i="14"/>
  <c r="AD23" i="14"/>
  <c r="AD42" i="14"/>
  <c r="AD105" i="14"/>
  <c r="AD49" i="14"/>
  <c r="AD250" i="14"/>
  <c r="Z158" i="14"/>
  <c r="AD158" i="14" s="1"/>
  <c r="Z165" i="14"/>
  <c r="AD165" i="14" s="1"/>
  <c r="AD153" i="14"/>
  <c r="AD72" i="14"/>
  <c r="AD152" i="14"/>
  <c r="AD222" i="14"/>
  <c r="Z20" i="14"/>
  <c r="Z244" i="14"/>
  <c r="Z7" i="14"/>
  <c r="Z77" i="14"/>
  <c r="Z168" i="14"/>
  <c r="Z241" i="14"/>
  <c r="AD241" i="14" s="1"/>
  <c r="AD183" i="14"/>
  <c r="Z208" i="14"/>
  <c r="Z128" i="14"/>
  <c r="AD128" i="14" s="1"/>
  <c r="AD209" i="14"/>
  <c r="AD38" i="4"/>
  <c r="H38" i="13"/>
  <c r="D8" i="2"/>
  <c r="Z109" i="14"/>
  <c r="H25" i="9"/>
  <c r="H27" i="9" s="1"/>
  <c r="AD122" i="14"/>
  <c r="AD182" i="14"/>
  <c r="AD7" i="14"/>
  <c r="AD228" i="14"/>
  <c r="Z107" i="14"/>
  <c r="AI107" i="14" s="1"/>
  <c r="AB41" i="5"/>
  <c r="F43" i="5"/>
  <c r="Z163" i="14"/>
  <c r="Z97" i="14"/>
  <c r="AD97" i="14" s="1"/>
  <c r="Z230" i="14"/>
  <c r="AD230" i="14" s="1"/>
  <c r="G25" i="3"/>
  <c r="H43" i="5"/>
  <c r="AD12" i="14"/>
  <c r="AD235" i="14"/>
  <c r="E17" i="3"/>
  <c r="F46" i="4"/>
  <c r="AD55" i="14"/>
  <c r="AD63" i="14"/>
  <c r="AD142" i="14"/>
  <c r="AD80" i="14"/>
  <c r="AD204" i="14"/>
  <c r="AD252" i="14"/>
  <c r="Z58" i="14"/>
  <c r="AD58" i="14" s="1"/>
  <c r="Z35" i="14"/>
  <c r="Z238" i="14"/>
  <c r="AD238" i="14" s="1"/>
  <c r="Z92" i="14"/>
  <c r="J43" i="5"/>
  <c r="AC41" i="5"/>
  <c r="Z13" i="14"/>
  <c r="AD13" i="14" s="1"/>
  <c r="C11" i="11"/>
  <c r="C88" i="11" s="1"/>
  <c r="AD41" i="5"/>
  <c r="N43" i="5"/>
  <c r="AD27" i="14"/>
  <c r="AD99" i="14"/>
  <c r="AD253" i="14"/>
  <c r="Z144" i="14"/>
  <c r="AD144" i="14" s="1"/>
  <c r="Z39" i="14"/>
  <c r="AD39" i="14" s="1"/>
  <c r="Z204" i="14"/>
  <c r="Z43" i="14"/>
  <c r="AD43" i="14" s="1"/>
  <c r="AD77" i="14"/>
  <c r="Z206" i="14"/>
  <c r="AA185" i="14"/>
  <c r="AD185" i="14" s="1"/>
  <c r="AC185" i="14"/>
  <c r="AC192" i="14"/>
  <c r="AA192" i="14"/>
  <c r="Z234" i="14"/>
  <c r="AD234" i="14" s="1"/>
  <c r="Z94" i="14"/>
  <c r="AD94" i="14" s="1"/>
  <c r="AD172" i="14"/>
  <c r="AD243" i="14"/>
  <c r="AA32" i="14"/>
  <c r="Z190" i="14"/>
  <c r="AD190" i="14" s="1"/>
  <c r="AD109" i="14"/>
  <c r="AC121" i="14"/>
  <c r="Z245" i="14"/>
  <c r="AD245" i="14" s="1"/>
  <c r="AD202" i="14"/>
  <c r="AA24" i="14"/>
  <c r="AD24" i="14" s="1"/>
  <c r="Z95" i="14"/>
  <c r="Z178" i="14"/>
  <c r="AD178" i="14" s="1"/>
  <c r="Z172" i="14"/>
  <c r="Z53" i="14"/>
  <c r="AD53" i="14" s="1"/>
  <c r="AC147" i="14"/>
  <c r="AA26" i="14"/>
  <c r="AD171" i="14"/>
  <c r="Z124" i="14"/>
  <c r="Z40" i="14"/>
  <c r="AD223" i="14"/>
  <c r="AA189" i="14"/>
  <c r="AD189" i="14" s="1"/>
  <c r="AC189" i="14"/>
  <c r="AA226" i="14"/>
  <c r="AC226" i="14"/>
  <c r="Z73" i="14"/>
  <c r="AD73" i="14" s="1"/>
  <c r="AD201" i="14"/>
  <c r="Z117" i="14"/>
  <c r="AD117" i="14" s="1"/>
  <c r="AA103" i="14"/>
  <c r="AA47" i="14"/>
  <c r="AD47" i="14" s="1"/>
  <c r="AC47" i="14"/>
  <c r="Z251" i="14"/>
  <c r="AD251" i="14" s="1"/>
  <c r="AC7" i="14"/>
  <c r="Z141" i="14"/>
  <c r="AD139" i="14"/>
  <c r="AC248" i="14"/>
  <c r="Z88" i="14"/>
  <c r="AD88" i="14" s="1"/>
  <c r="Z155" i="14"/>
  <c r="AD155" i="14" s="1"/>
  <c r="AC128" i="14"/>
  <c r="AD82" i="14"/>
  <c r="AA211" i="14"/>
  <c r="AC211" i="14"/>
  <c r="AD244" i="14"/>
  <c r="Z205" i="14"/>
  <c r="AD205" i="14" s="1"/>
  <c r="AD91" i="14"/>
  <c r="AC179" i="14"/>
  <c r="AC206" i="14"/>
  <c r="AA206" i="14"/>
  <c r="AD104" i="14"/>
  <c r="AC234" i="14"/>
  <c r="Z106" i="14"/>
  <c r="AD106" i="14" s="1"/>
  <c r="AD191" i="14"/>
  <c r="AD30" i="14"/>
  <c r="AA140" i="14"/>
  <c r="AD140" i="14" s="1"/>
  <c r="AC132" i="14"/>
  <c r="AC74" i="14"/>
  <c r="AA17" i="14"/>
  <c r="AC13" i="14"/>
  <c r="AD95" i="14"/>
  <c r="AC40" i="14"/>
  <c r="AD48" i="14"/>
  <c r="AD90" i="14"/>
  <c r="AA85" i="14"/>
  <c r="AD85" i="14" s="1"/>
  <c r="AA14" i="14"/>
  <c r="AD163" i="14"/>
  <c r="Z248" i="14"/>
  <c r="AD248" i="14" s="1"/>
  <c r="AC51" i="14"/>
  <c r="Z200" i="14"/>
  <c r="AD200" i="14" s="1"/>
  <c r="Z61" i="14"/>
  <c r="AD61" i="14" s="1"/>
  <c r="Z224" i="14"/>
  <c r="AD224" i="14" s="1"/>
  <c r="AA227" i="14"/>
  <c r="AD227" i="14" s="1"/>
  <c r="AC227" i="14"/>
  <c r="AC239" i="14"/>
  <c r="AA239" i="14"/>
  <c r="AD239" i="14" s="1"/>
  <c r="AD215" i="14"/>
  <c r="AD36" i="14"/>
  <c r="AA33" i="14"/>
  <c r="AA20" i="14"/>
  <c r="AD20" i="14" s="1"/>
  <c r="AD220" i="14"/>
  <c r="Z175" i="14"/>
  <c r="AD175" i="14" s="1"/>
  <c r="Z226" i="14"/>
  <c r="AC219" i="14"/>
  <c r="AA219" i="14"/>
  <c r="Z192" i="14"/>
  <c r="AD46" i="14"/>
  <c r="AD18" i="14"/>
  <c r="AD34" i="14"/>
  <c r="AA154" i="14"/>
  <c r="AD154" i="14" s="1"/>
  <c r="AD50" i="14"/>
  <c r="Z179" i="14"/>
  <c r="AD179" i="14" s="1"/>
  <c r="AD156" i="14"/>
  <c r="AD193" i="14"/>
  <c r="AC166" i="14"/>
  <c r="AA166" i="14"/>
  <c r="AD166" i="14" s="1"/>
  <c r="AD208" i="14"/>
  <c r="AD188" i="14"/>
  <c r="AA5" i="14"/>
  <c r="AC5" i="14"/>
  <c r="AD132" i="14"/>
  <c r="AD74" i="14"/>
  <c r="AD10" i="14"/>
  <c r="AD76" i="14"/>
  <c r="AD56" i="14"/>
  <c r="AD57" i="14"/>
  <c r="AD41" i="14"/>
  <c r="AD124" i="14"/>
  <c r="AD31" i="14"/>
  <c r="AD169" i="14"/>
  <c r="AD134" i="14"/>
  <c r="AD121" i="14"/>
  <c r="AD151" i="14"/>
  <c r="AD231" i="14"/>
  <c r="AD255" i="14"/>
  <c r="AD242" i="14"/>
  <c r="AD232" i="14"/>
  <c r="AD64" i="14"/>
  <c r="AD38" i="14"/>
  <c r="AD129" i="14"/>
  <c r="AD146" i="14"/>
  <c r="AD45" i="14"/>
  <c r="AD28" i="14"/>
  <c r="AD75" i="14"/>
  <c r="AD70" i="14"/>
  <c r="AD92" i="14"/>
  <c r="AD33" i="14"/>
  <c r="AD136" i="14"/>
  <c r="AD40" i="14"/>
  <c r="AD114" i="14"/>
  <c r="AD87" i="14"/>
  <c r="AD52" i="14"/>
  <c r="AD113" i="14"/>
  <c r="AD180" i="14"/>
  <c r="AD177" i="14"/>
  <c r="AD168" i="14"/>
  <c r="AD22" i="14"/>
  <c r="AD126" i="14"/>
  <c r="AD116" i="14"/>
  <c r="AD44" i="14"/>
  <c r="AD84" i="14"/>
  <c r="AD119" i="14"/>
  <c r="AD141" i="14"/>
  <c r="AD86" i="14"/>
  <c r="AD137" i="14"/>
  <c r="AD133" i="14"/>
  <c r="AD51" i="14"/>
  <c r="AD148" i="14"/>
  <c r="AD199" i="14"/>
  <c r="AD214" i="14"/>
  <c r="AD65" i="14"/>
  <c r="AD174" i="14"/>
  <c r="AD98" i="14"/>
  <c r="AD35" i="14"/>
  <c r="AD93" i="14"/>
  <c r="AD159" i="14"/>
  <c r="Q24" i="5"/>
  <c r="AD41" i="6"/>
  <c r="Z16" i="4"/>
  <c r="AG16" i="4" s="1"/>
  <c r="AF13" i="3" s="1"/>
  <c r="J37" i="5"/>
  <c r="W15" i="5"/>
  <c r="X15" i="5" s="1"/>
  <c r="Y15" i="5" s="1"/>
  <c r="Z15" i="5" s="1"/>
  <c r="AG15" i="5" s="1"/>
  <c r="M37" i="5"/>
  <c r="L11" i="9" s="1"/>
  <c r="I26" i="3"/>
  <c r="AF16" i="5"/>
  <c r="G37" i="5"/>
  <c r="F11" i="9" s="1"/>
  <c r="K37" i="5"/>
  <c r="J11" i="9" s="1"/>
  <c r="AF18" i="6"/>
  <c r="AF33" i="5"/>
  <c r="W33" i="5"/>
  <c r="X33" i="5" s="1"/>
  <c r="Y33" i="5" s="1"/>
  <c r="Z33" i="5" s="1"/>
  <c r="AG33" i="5" s="1"/>
  <c r="AE31" i="6"/>
  <c r="AE33" i="6" s="1"/>
  <c r="W31" i="5"/>
  <c r="X31" i="5" s="1"/>
  <c r="Y31" i="5" s="1"/>
  <c r="Z31" i="5" s="1"/>
  <c r="AG31" i="5" s="1"/>
  <c r="AF31" i="5"/>
  <c r="AE18" i="6"/>
  <c r="AD31" i="6"/>
  <c r="AC39" i="9"/>
  <c r="AC50" i="6"/>
  <c r="D22" i="2"/>
  <c r="O46" i="6"/>
  <c r="N12" i="9"/>
  <c r="AA50" i="6"/>
  <c r="B23" i="2" s="1"/>
  <c r="AA39" i="9"/>
  <c r="B22" i="2"/>
  <c r="J50" i="6"/>
  <c r="J51" i="6" s="1"/>
  <c r="J44" i="6"/>
  <c r="J47" i="6" s="1"/>
  <c r="L50" i="6"/>
  <c r="L51" i="6" s="1"/>
  <c r="L44" i="6"/>
  <c r="AC47" i="4"/>
  <c r="C8" i="11" s="1"/>
  <c r="C9" i="11" s="1"/>
  <c r="C82" i="11" s="1"/>
  <c r="AB16" i="3"/>
  <c r="C21" i="2"/>
  <c r="AC10" i="3"/>
  <c r="B35" i="12"/>
  <c r="B34" i="12" s="1"/>
  <c r="D10" i="11"/>
  <c r="AC33" i="6"/>
  <c r="AC44" i="6" s="1"/>
  <c r="AC47" i="6" s="1"/>
  <c r="AC40" i="9" s="1"/>
  <c r="F84" i="10"/>
  <c r="F90" i="10" s="1"/>
  <c r="AD33" i="6"/>
  <c r="AC46" i="4"/>
  <c r="AB17" i="3"/>
  <c r="C20" i="2"/>
  <c r="W25" i="5"/>
  <c r="X25" i="5" s="1"/>
  <c r="Y25" i="5" s="1"/>
  <c r="Z25" i="5" s="1"/>
  <c r="AG25" i="5" s="1"/>
  <c r="AF25" i="5"/>
  <c r="W18" i="5"/>
  <c r="X18" i="5" s="1"/>
  <c r="Y18" i="5" s="1"/>
  <c r="Z18" i="5" s="1"/>
  <c r="AG18" i="5" s="1"/>
  <c r="AF18" i="5"/>
  <c r="D9" i="11"/>
  <c r="I19" i="4"/>
  <c r="I24" i="4"/>
  <c r="O24" i="4"/>
  <c r="O19" i="4"/>
  <c r="F89" i="11"/>
  <c r="D89" i="11"/>
  <c r="F24" i="4"/>
  <c r="AD17" i="4"/>
  <c r="AC11" i="3"/>
  <c r="D27" i="4"/>
  <c r="D26" i="4"/>
  <c r="C21" i="3" s="1"/>
  <c r="B50" i="6"/>
  <c r="B51" i="6" s="1"/>
  <c r="B44" i="6"/>
  <c r="B47" i="6" s="1"/>
  <c r="C46" i="6" s="1"/>
  <c r="G50" i="6"/>
  <c r="G51" i="6" s="1"/>
  <c r="G44" i="6"/>
  <c r="AF31" i="6"/>
  <c r="AF33" i="6" s="1"/>
  <c r="N46" i="4"/>
  <c r="M17" i="3"/>
  <c r="B30" i="12"/>
  <c r="V30" i="5"/>
  <c r="E25" i="3"/>
  <c r="M27" i="4"/>
  <c r="M26" i="4"/>
  <c r="L21" i="3" s="1"/>
  <c r="I11" i="9"/>
  <c r="AC37" i="5"/>
  <c r="C6" i="11"/>
  <c r="C7" i="11" s="1"/>
  <c r="C76" i="11" s="1"/>
  <c r="AB34" i="9"/>
  <c r="AC11" i="4"/>
  <c r="AB10" i="3"/>
  <c r="C87" i="10"/>
  <c r="C91" i="10"/>
  <c r="C93" i="10"/>
  <c r="C89" i="10"/>
  <c r="D44" i="6"/>
  <c r="D50" i="6"/>
  <c r="D51" i="6" s="1"/>
  <c r="I25" i="3"/>
  <c r="Y17" i="4"/>
  <c r="O13" i="9"/>
  <c r="O15" i="9" s="1"/>
  <c r="P32" i="4"/>
  <c r="P28" i="4"/>
  <c r="P45" i="4"/>
  <c r="P51" i="4" s="1"/>
  <c r="N4" i="14" s="1"/>
  <c r="AE12" i="3"/>
  <c r="B79" i="10"/>
  <c r="B83" i="10" s="1"/>
  <c r="D7" i="11"/>
  <c r="S20" i="6"/>
  <c r="AF19" i="5"/>
  <c r="W19" i="5"/>
  <c r="X19" i="5" s="1"/>
  <c r="Y19" i="5" s="1"/>
  <c r="Z19" i="5" s="1"/>
  <c r="AG19" i="5" s="1"/>
  <c r="F50" i="6"/>
  <c r="F51" i="6" s="1"/>
  <c r="F44" i="6"/>
  <c r="F47" i="6" s="1"/>
  <c r="N36" i="5"/>
  <c r="AD29" i="5"/>
  <c r="F37" i="5"/>
  <c r="AB36" i="5"/>
  <c r="W27" i="5"/>
  <c r="X27" i="5" s="1"/>
  <c r="Y27" i="5" s="1"/>
  <c r="Z27" i="5" s="1"/>
  <c r="AG27" i="5" s="1"/>
  <c r="AF27" i="5"/>
  <c r="T20" i="6"/>
  <c r="F73" i="10"/>
  <c r="F92" i="10" s="1"/>
  <c r="D9" i="2"/>
  <c r="AC9" i="3"/>
  <c r="G27" i="4"/>
  <c r="G26" i="4"/>
  <c r="F21" i="3" s="1"/>
  <c r="AD39" i="4"/>
  <c r="E19" i="4"/>
  <c r="E24" i="4"/>
  <c r="V14" i="4"/>
  <c r="AE14" i="4"/>
  <c r="R17" i="4"/>
  <c r="R24" i="5" s="1"/>
  <c r="R44" i="5" s="1"/>
  <c r="AE44" i="5" s="1"/>
  <c r="F12" i="4"/>
  <c r="I50" i="6"/>
  <c r="I51" i="6" s="1"/>
  <c r="I44" i="6"/>
  <c r="V33" i="6"/>
  <c r="F87" i="10"/>
  <c r="AB47" i="4"/>
  <c r="B8" i="11" s="1"/>
  <c r="AA16" i="3"/>
  <c r="B21" i="2"/>
  <c r="L25" i="9"/>
  <c r="L27" i="9" s="1"/>
  <c r="K19" i="4"/>
  <c r="K24" i="4"/>
  <c r="K50" i="6"/>
  <c r="K51" i="6" s="1"/>
  <c r="K44" i="6"/>
  <c r="L24" i="4"/>
  <c r="L19" i="4"/>
  <c r="B5" i="11"/>
  <c r="B7" i="11" s="1"/>
  <c r="B76" i="11" s="1"/>
  <c r="AA51" i="6"/>
  <c r="B24" i="2" s="1"/>
  <c r="AA33" i="9"/>
  <c r="AB40" i="4"/>
  <c r="AB39" i="4"/>
  <c r="AB11" i="4"/>
  <c r="AB42" i="4"/>
  <c r="AB12" i="4"/>
  <c r="B11" i="2" s="1"/>
  <c r="B8" i="2"/>
  <c r="AB41" i="4"/>
  <c r="AB38" i="4"/>
  <c r="W17" i="4"/>
  <c r="W24" i="5" s="1"/>
  <c r="W44" i="5" s="1"/>
  <c r="AC49" i="4"/>
  <c r="AC23" i="4"/>
  <c r="B29" i="12"/>
  <c r="B28" i="12" s="1"/>
  <c r="AC17" i="3"/>
  <c r="AD46" i="4"/>
  <c r="D20" i="2"/>
  <c r="O44" i="6"/>
  <c r="O50" i="6"/>
  <c r="O51" i="6" s="1"/>
  <c r="C9" i="2"/>
  <c r="AB9" i="3"/>
  <c r="F19" i="4"/>
  <c r="C26" i="4"/>
  <c r="B21" i="3" s="1"/>
  <c r="C27" i="4"/>
  <c r="AA17" i="3"/>
  <c r="B20" i="2"/>
  <c r="AB46" i="4"/>
  <c r="AA35" i="9"/>
  <c r="B12" i="2"/>
  <c r="H19" i="4"/>
  <c r="H24" i="4"/>
  <c r="N18" i="4"/>
  <c r="N12" i="4"/>
  <c r="N37" i="4"/>
  <c r="AC41" i="6"/>
  <c r="AB23" i="6"/>
  <c r="L37" i="5"/>
  <c r="K11" i="9" s="1"/>
  <c r="C44" i="6"/>
  <c r="C50" i="6"/>
  <c r="C51" i="6" s="1"/>
  <c r="J18" i="4"/>
  <c r="J12" i="4"/>
  <c r="J37" i="4"/>
  <c r="D25" i="9"/>
  <c r="D27" i="9" s="1"/>
  <c r="J42" i="4"/>
  <c r="AB35" i="9"/>
  <c r="C12" i="2"/>
  <c r="D41" i="12"/>
  <c r="D42" i="12" s="1"/>
  <c r="E40" i="12"/>
  <c r="B10" i="11"/>
  <c r="AA33" i="6"/>
  <c r="AA44" i="6" s="1"/>
  <c r="AA47" i="6" s="1"/>
  <c r="AA40" i="9" s="1"/>
  <c r="M44" i="6"/>
  <c r="M50" i="6"/>
  <c r="M51" i="6" s="1"/>
  <c r="H50" i="6"/>
  <c r="H51" i="6" s="1"/>
  <c r="H44" i="6"/>
  <c r="C35" i="12"/>
  <c r="C29" i="12"/>
  <c r="D25" i="12"/>
  <c r="C31" i="12"/>
  <c r="C37" i="12"/>
  <c r="C27" i="12"/>
  <c r="M25" i="3"/>
  <c r="M28" i="3"/>
  <c r="AB11" i="3"/>
  <c r="AD219" i="14" l="1"/>
  <c r="R9" i="4"/>
  <c r="R41" i="3"/>
  <c r="AD211" i="14"/>
  <c r="R10" i="4"/>
  <c r="AE10" i="4" s="1"/>
  <c r="AD10" i="3" s="1"/>
  <c r="R42" i="3"/>
  <c r="AD14" i="14"/>
  <c r="Q11" i="4"/>
  <c r="Q40" i="4"/>
  <c r="Q36" i="4"/>
  <c r="Q38" i="4"/>
  <c r="Q35" i="4"/>
  <c r="Q12" i="4"/>
  <c r="Q23" i="5"/>
  <c r="Q42" i="5" s="1"/>
  <c r="Q59" i="4"/>
  <c r="Q62" i="4"/>
  <c r="Q11" i="5"/>
  <c r="Q41" i="4"/>
  <c r="Q39" i="4"/>
  <c r="Q42" i="4"/>
  <c r="AD206" i="14"/>
  <c r="AD107" i="14"/>
  <c r="B11" i="11"/>
  <c r="B88" i="11" s="1"/>
  <c r="AD229" i="14"/>
  <c r="AD192" i="14"/>
  <c r="Q13" i="14"/>
  <c r="AD5" i="14"/>
  <c r="Q10" i="14"/>
  <c r="Q11" i="14" s="1"/>
  <c r="AD226" i="14"/>
  <c r="Q44" i="5"/>
  <c r="P20" i="6"/>
  <c r="Y24" i="5"/>
  <c r="X20" i="6" s="1"/>
  <c r="Y44" i="5"/>
  <c r="D11" i="11"/>
  <c r="F10" i="11"/>
  <c r="AD11" i="3"/>
  <c r="AE17" i="4"/>
  <c r="E12" i="2" s="1"/>
  <c r="J12" i="9"/>
  <c r="K46" i="6"/>
  <c r="K47" i="6" s="1"/>
  <c r="V17" i="4"/>
  <c r="V24" i="5" s="1"/>
  <c r="V44" i="5" s="1"/>
  <c r="AF44" i="5" s="1"/>
  <c r="Z14" i="4"/>
  <c r="AF14" i="4"/>
  <c r="J24" i="4"/>
  <c r="J19" i="4"/>
  <c r="AB39" i="9"/>
  <c r="AB50" i="6"/>
  <c r="AB44" i="6"/>
  <c r="AB47" i="6" s="1"/>
  <c r="AB40" i="9" s="1"/>
  <c r="C22" i="2"/>
  <c r="B13" i="9"/>
  <c r="B15" i="9" s="1"/>
  <c r="C28" i="4"/>
  <c r="C45" i="4"/>
  <c r="C51" i="4" s="1"/>
  <c r="C32" i="4"/>
  <c r="AC35" i="9"/>
  <c r="D12" i="2"/>
  <c r="AD18" i="4"/>
  <c r="AD42" i="4"/>
  <c r="D76" i="11"/>
  <c r="F76" i="11"/>
  <c r="F26" i="4"/>
  <c r="E21" i="3" s="1"/>
  <c r="F27" i="4"/>
  <c r="C13" i="9"/>
  <c r="C15" i="9" s="1"/>
  <c r="D45" i="4"/>
  <c r="D51" i="4" s="1"/>
  <c r="D28" i="4"/>
  <c r="D32" i="4"/>
  <c r="B84" i="10"/>
  <c r="B90" i="10" s="1"/>
  <c r="B89" i="10"/>
  <c r="I28" i="3"/>
  <c r="B9" i="11"/>
  <c r="B82" i="11" s="1"/>
  <c r="F6" i="11"/>
  <c r="AC37" i="4"/>
  <c r="AC18" i="4"/>
  <c r="C10" i="2"/>
  <c r="AD37" i="4"/>
  <c r="AC12" i="4"/>
  <c r="C11" i="2" s="1"/>
  <c r="P19" i="6"/>
  <c r="E27" i="4"/>
  <c r="E26" i="4"/>
  <c r="D21" i="3" s="1"/>
  <c r="C32" i="12"/>
  <c r="C33" i="12" s="1"/>
  <c r="C38" i="12" s="1"/>
  <c r="O16" i="9"/>
  <c r="O18" i="9" s="1"/>
  <c r="O52" i="6"/>
  <c r="P52" i="4"/>
  <c r="O26" i="4"/>
  <c r="N21" i="3" s="1"/>
  <c r="O27" i="4"/>
  <c r="O47" i="6"/>
  <c r="H27" i="4"/>
  <c r="H26" i="4"/>
  <c r="G21" i="3" s="1"/>
  <c r="AD36" i="5"/>
  <c r="N37" i="5"/>
  <c r="I27" i="4"/>
  <c r="I26" i="4"/>
  <c r="H21" i="3" s="1"/>
  <c r="K26" i="4"/>
  <c r="J21" i="3" s="1"/>
  <c r="K27" i="4"/>
  <c r="N24" i="4"/>
  <c r="N19" i="4"/>
  <c r="L27" i="4"/>
  <c r="L26" i="4"/>
  <c r="K21" i="3" s="1"/>
  <c r="F12" i="9"/>
  <c r="G46" i="6"/>
  <c r="G47" i="6" s="1"/>
  <c r="C47" i="6"/>
  <c r="D46" i="6" s="1"/>
  <c r="D47" i="6" s="1"/>
  <c r="E46" i="6" s="1"/>
  <c r="E47" i="6" s="1"/>
  <c r="E12" i="9" s="1"/>
  <c r="AB18" i="4"/>
  <c r="B10" i="2"/>
  <c r="AF30" i="5"/>
  <c r="W30" i="5"/>
  <c r="F8" i="11"/>
  <c r="D23" i="2"/>
  <c r="AC51" i="6"/>
  <c r="D24" i="2" s="1"/>
  <c r="F13" i="9"/>
  <c r="F15" i="9" s="1"/>
  <c r="G45" i="4"/>
  <c r="G51" i="4" s="1"/>
  <c r="G28" i="4"/>
  <c r="G32" i="4"/>
  <c r="E11" i="9"/>
  <c r="AB37" i="5"/>
  <c r="D35" i="12"/>
  <c r="D29" i="12"/>
  <c r="E25" i="12"/>
  <c r="D31" i="12"/>
  <c r="D37" i="12"/>
  <c r="D27" i="12"/>
  <c r="E41" i="12"/>
  <c r="E42" i="12" s="1"/>
  <c r="F40" i="12"/>
  <c r="L13" i="9"/>
  <c r="L15" i="9" s="1"/>
  <c r="M28" i="4"/>
  <c r="M45" i="4"/>
  <c r="M51" i="4" s="1"/>
  <c r="K4" i="14" s="1"/>
  <c r="M32" i="4"/>
  <c r="D82" i="11"/>
  <c r="F82" i="11"/>
  <c r="Q41" i="5" l="1"/>
  <c r="Q43" i="5" s="1"/>
  <c r="P17" i="6"/>
  <c r="P10" i="6"/>
  <c r="Q47" i="4"/>
  <c r="Q14" i="5"/>
  <c r="R14" i="5" s="1"/>
  <c r="S9" i="4"/>
  <c r="S41" i="3"/>
  <c r="R11" i="5"/>
  <c r="R23" i="5"/>
  <c r="R42" i="5" s="1"/>
  <c r="AE42" i="5" s="1"/>
  <c r="R40" i="4"/>
  <c r="R36" i="4"/>
  <c r="R11" i="4"/>
  <c r="R62" i="4"/>
  <c r="R35" i="4"/>
  <c r="R41" i="4"/>
  <c r="AE9" i="4"/>
  <c r="R59" i="4"/>
  <c r="R39" i="4"/>
  <c r="R38" i="4"/>
  <c r="S42" i="3"/>
  <c r="S10" i="4"/>
  <c r="P11" i="6"/>
  <c r="Q32" i="5"/>
  <c r="R32" i="5" s="1"/>
  <c r="AE32" i="5" s="1"/>
  <c r="Q46" i="4"/>
  <c r="AE62" i="4"/>
  <c r="Q37" i="4"/>
  <c r="Q18" i="4"/>
  <c r="Q26" i="5"/>
  <c r="Q29" i="5" s="1"/>
  <c r="R42" i="4"/>
  <c r="AE42" i="4"/>
  <c r="C43" i="12"/>
  <c r="F41" i="12"/>
  <c r="F42" i="12" s="1"/>
  <c r="G40" i="12"/>
  <c r="G41" i="12" s="1"/>
  <c r="G42" i="12" s="1"/>
  <c r="F52" i="6"/>
  <c r="F16" i="9"/>
  <c r="F18" i="9" s="1"/>
  <c r="G52" i="4"/>
  <c r="Q19" i="6"/>
  <c r="AD19" i="6" s="1"/>
  <c r="AE23" i="5"/>
  <c r="E29" i="2" s="1"/>
  <c r="R26" i="5"/>
  <c r="C23" i="2"/>
  <c r="AB51" i="6"/>
  <c r="C24" i="2" s="1"/>
  <c r="D13" i="9"/>
  <c r="D15" i="9" s="1"/>
  <c r="E45" i="4"/>
  <c r="E51" i="4" s="1"/>
  <c r="E32" i="4"/>
  <c r="E28" i="4"/>
  <c r="F88" i="11"/>
  <c r="D88" i="11"/>
  <c r="L52" i="6"/>
  <c r="L16" i="9"/>
  <c r="L18" i="9" s="1"/>
  <c r="M52" i="4"/>
  <c r="D32" i="12"/>
  <c r="D33" i="12" s="1"/>
  <c r="D38" i="12" s="1"/>
  <c r="D43" i="12" s="1"/>
  <c r="AC36" i="9"/>
  <c r="D13" i="2"/>
  <c r="AD24" i="4"/>
  <c r="AD19" i="4"/>
  <c r="D14" i="2" s="1"/>
  <c r="J27" i="4"/>
  <c r="J26" i="4"/>
  <c r="I21" i="3" s="1"/>
  <c r="N26" i="4"/>
  <c r="M21" i="3" s="1"/>
  <c r="N27" i="4"/>
  <c r="AE47" i="4"/>
  <c r="AD16" i="3"/>
  <c r="E21" i="2"/>
  <c r="AA36" i="9"/>
  <c r="AB24" i="4"/>
  <c r="B13" i="2"/>
  <c r="AB19" i="4"/>
  <c r="B14" i="2" s="1"/>
  <c r="J13" i="9"/>
  <c r="J15" i="9" s="1"/>
  <c r="K45" i="4"/>
  <c r="K51" i="4" s="1"/>
  <c r="K28" i="4"/>
  <c r="K32" i="4"/>
  <c r="AE11" i="3"/>
  <c r="AF17" i="4"/>
  <c r="F12" i="2" s="1"/>
  <c r="Q20" i="6"/>
  <c r="AD20" i="6" s="1"/>
  <c r="AE24" i="5"/>
  <c r="R20" i="6"/>
  <c r="E29" i="12"/>
  <c r="F25" i="12"/>
  <c r="E31" i="12"/>
  <c r="E37" i="12"/>
  <c r="E27" i="12"/>
  <c r="E35" i="12"/>
  <c r="Z17" i="4"/>
  <c r="AG14" i="4"/>
  <c r="G13" i="9"/>
  <c r="G15" i="9" s="1"/>
  <c r="H45" i="4"/>
  <c r="H51" i="4" s="1"/>
  <c r="H32" i="4"/>
  <c r="H28" i="4"/>
  <c r="AB36" i="9"/>
  <c r="AC24" i="4"/>
  <c r="C13" i="2"/>
  <c r="AC19" i="4"/>
  <c r="C14" i="2" s="1"/>
  <c r="G12" i="9"/>
  <c r="H46" i="6"/>
  <c r="H47" i="6" s="1"/>
  <c r="C16" i="9"/>
  <c r="C18" i="9" s="1"/>
  <c r="C52" i="6"/>
  <c r="D52" i="4"/>
  <c r="B52" i="6"/>
  <c r="B16" i="9"/>
  <c r="B18" i="9" s="1"/>
  <c r="C52" i="4"/>
  <c r="K12" i="9"/>
  <c r="L46" i="6"/>
  <c r="L47" i="6" s="1"/>
  <c r="H13" i="9"/>
  <c r="H15" i="9" s="1"/>
  <c r="I45" i="4"/>
  <c r="I51" i="4" s="1"/>
  <c r="I32" i="4"/>
  <c r="I28" i="4"/>
  <c r="F32" i="4"/>
  <c r="F45" i="4"/>
  <c r="F51" i="4" s="1"/>
  <c r="F28" i="4"/>
  <c r="P46" i="6"/>
  <c r="O12" i="9"/>
  <c r="X30" i="5"/>
  <c r="K13" i="9"/>
  <c r="K15" i="9" s="1"/>
  <c r="L45" i="4"/>
  <c r="L51" i="4" s="1"/>
  <c r="L28" i="4"/>
  <c r="L32" i="4"/>
  <c r="W20" i="6"/>
  <c r="M11" i="9"/>
  <c r="AD37" i="5"/>
  <c r="N13" i="9"/>
  <c r="N15" i="9" s="1"/>
  <c r="O45" i="4"/>
  <c r="O51" i="4" s="1"/>
  <c r="M4" i="14" s="1"/>
  <c r="O32" i="4"/>
  <c r="O28" i="4"/>
  <c r="S11" i="4" l="1"/>
  <c r="R46" i="4"/>
  <c r="AE59" i="4"/>
  <c r="Q11" i="6"/>
  <c r="AD11" i="6" s="1"/>
  <c r="S62" i="4"/>
  <c r="S12" i="4"/>
  <c r="S59" i="4"/>
  <c r="S38" i="4"/>
  <c r="S41" i="4"/>
  <c r="S23" i="5"/>
  <c r="S42" i="5" s="1"/>
  <c r="S39" i="4"/>
  <c r="S11" i="5"/>
  <c r="S42" i="4"/>
  <c r="S40" i="4"/>
  <c r="S35" i="4"/>
  <c r="S36" i="4"/>
  <c r="I38" i="13"/>
  <c r="K8" i="13" s="1"/>
  <c r="AE40" i="4"/>
  <c r="AE35" i="4"/>
  <c r="AE38" i="4"/>
  <c r="AE39" i="4"/>
  <c r="E8" i="2"/>
  <c r="AE11" i="4"/>
  <c r="AE41" i="4"/>
  <c r="S14" i="5"/>
  <c r="AE14" i="5"/>
  <c r="Q19" i="4"/>
  <c r="Q24" i="4"/>
  <c r="T42" i="3"/>
  <c r="T10" i="4"/>
  <c r="R41" i="5"/>
  <c r="Q17" i="6"/>
  <c r="AD17" i="6" s="1"/>
  <c r="AE11" i="5"/>
  <c r="E28" i="2" s="1"/>
  <c r="R47" i="4"/>
  <c r="Q10" i="6"/>
  <c r="AD10" i="6" s="1"/>
  <c r="T9" i="4"/>
  <c r="T41" i="3"/>
  <c r="R12" i="4"/>
  <c r="R18" i="4"/>
  <c r="R19" i="4" s="1"/>
  <c r="R37" i="4"/>
  <c r="Z24" i="5"/>
  <c r="Z44" i="5" s="1"/>
  <c r="AG44" i="5" s="1"/>
  <c r="U20" i="6"/>
  <c r="AE20" i="6" s="1"/>
  <c r="AF24" i="5"/>
  <c r="G16" i="9"/>
  <c r="G18" i="9" s="1"/>
  <c r="G52" i="6"/>
  <c r="H52" i="4"/>
  <c r="K52" i="6"/>
  <c r="K16" i="9"/>
  <c r="K18" i="9" s="1"/>
  <c r="L52" i="4"/>
  <c r="H52" i="6"/>
  <c r="H16" i="9"/>
  <c r="H18" i="9" s="1"/>
  <c r="I52" i="4"/>
  <c r="N45" i="4"/>
  <c r="N51" i="4" s="1"/>
  <c r="L4" i="14" s="1"/>
  <c r="Q4" i="14" s="1"/>
  <c r="N32" i="4"/>
  <c r="N28" i="4"/>
  <c r="L12" i="9"/>
  <c r="M46" i="6"/>
  <c r="M47" i="6" s="1"/>
  <c r="M12" i="9" s="1"/>
  <c r="H12" i="9"/>
  <c r="I46" i="6"/>
  <c r="I47" i="6" s="1"/>
  <c r="I12" i="9" s="1"/>
  <c r="D52" i="6"/>
  <c r="D16" i="9"/>
  <c r="D18" i="9" s="1"/>
  <c r="E52" i="4"/>
  <c r="E52" i="6"/>
  <c r="E16" i="9"/>
  <c r="E18" i="9" s="1"/>
  <c r="F52" i="4"/>
  <c r="N52" i="6"/>
  <c r="N16" i="9"/>
  <c r="N18" i="9" s="1"/>
  <c r="O52" i="4"/>
  <c r="AF11" i="3"/>
  <c r="AG17" i="4"/>
  <c r="G12" i="2" s="1"/>
  <c r="Y30" i="5"/>
  <c r="AC27" i="4"/>
  <c r="AC26" i="4"/>
  <c r="AB21" i="3" s="1"/>
  <c r="E32" i="12"/>
  <c r="E33" i="12" s="1"/>
  <c r="E38" i="12" s="1"/>
  <c r="E43" i="12" s="1"/>
  <c r="J52" i="6"/>
  <c r="J16" i="9"/>
  <c r="J18" i="9" s="1"/>
  <c r="K52" i="4"/>
  <c r="J45" i="4"/>
  <c r="J51" i="4" s="1"/>
  <c r="J32" i="4"/>
  <c r="J28" i="4"/>
  <c r="G25" i="12"/>
  <c r="F31" i="12"/>
  <c r="F37" i="12"/>
  <c r="F27" i="12"/>
  <c r="F29" i="12"/>
  <c r="F35" i="12"/>
  <c r="AD27" i="4"/>
  <c r="AD26" i="4"/>
  <c r="AC21" i="3" s="1"/>
  <c r="AB26" i="4"/>
  <c r="AA21" i="3" s="1"/>
  <c r="AB27" i="4"/>
  <c r="V20" i="6"/>
  <c r="R29" i="5"/>
  <c r="AE26" i="5"/>
  <c r="U9" i="4" l="1"/>
  <c r="U41" i="3"/>
  <c r="S47" i="4"/>
  <c r="R10" i="6"/>
  <c r="Q25" i="4"/>
  <c r="Q26" i="4"/>
  <c r="R11" i="6"/>
  <c r="S46" i="4"/>
  <c r="S32" i="5"/>
  <c r="T32" i="5" s="1"/>
  <c r="T23" i="5"/>
  <c r="T40" i="4"/>
  <c r="T35" i="4"/>
  <c r="T39" i="4"/>
  <c r="T42" i="4"/>
  <c r="T62" i="4"/>
  <c r="T36" i="4"/>
  <c r="T11" i="5"/>
  <c r="T41" i="4"/>
  <c r="T59" i="4"/>
  <c r="T42" i="5"/>
  <c r="T38" i="4"/>
  <c r="T11" i="4"/>
  <c r="T12" i="4" s="1"/>
  <c r="AE46" i="4"/>
  <c r="AD17" i="3"/>
  <c r="E20" i="2"/>
  <c r="AB126" i="14"/>
  <c r="AE126" i="14" s="1"/>
  <c r="AB62" i="14"/>
  <c r="AE62" i="14" s="1"/>
  <c r="AB74" i="14"/>
  <c r="AE74" i="14" s="1"/>
  <c r="AB233" i="14"/>
  <c r="AE233" i="14" s="1"/>
  <c r="AB204" i="14"/>
  <c r="AE204" i="14" s="1"/>
  <c r="AB212" i="14"/>
  <c r="AE212" i="14" s="1"/>
  <c r="AB209" i="14"/>
  <c r="AE209" i="14" s="1"/>
  <c r="AB147" i="14"/>
  <c r="AE147" i="14" s="1"/>
  <c r="AB69" i="14"/>
  <c r="AE69" i="14" s="1"/>
  <c r="AB46" i="14"/>
  <c r="AE46" i="14" s="1"/>
  <c r="AB57" i="14"/>
  <c r="AE57" i="14" s="1"/>
  <c r="AB72" i="14"/>
  <c r="AE72" i="14" s="1"/>
  <c r="AB93" i="14"/>
  <c r="AE93" i="14" s="1"/>
  <c r="AB6" i="14"/>
  <c r="AE6" i="14" s="1"/>
  <c r="AB47" i="14"/>
  <c r="AE47" i="14" s="1"/>
  <c r="AB198" i="14"/>
  <c r="AE198" i="14" s="1"/>
  <c r="AB222" i="14"/>
  <c r="AE222" i="14" s="1"/>
  <c r="AB202" i="14"/>
  <c r="AE202" i="14" s="1"/>
  <c r="AB65" i="14"/>
  <c r="AE65" i="14" s="1"/>
  <c r="AB130" i="14"/>
  <c r="AE130" i="14" s="1"/>
  <c r="AB254" i="14"/>
  <c r="AE254" i="14" s="1"/>
  <c r="AB170" i="14"/>
  <c r="AE170" i="14" s="1"/>
  <c r="AB225" i="14"/>
  <c r="AE225" i="14" s="1"/>
  <c r="AB176" i="14"/>
  <c r="AE176" i="14" s="1"/>
  <c r="AB159" i="14"/>
  <c r="AE159" i="14" s="1"/>
  <c r="AB104" i="14"/>
  <c r="AE104" i="14" s="1"/>
  <c r="AB123" i="14"/>
  <c r="AE123" i="14" s="1"/>
  <c r="AB133" i="14"/>
  <c r="AE133" i="14" s="1"/>
  <c r="AB35" i="14"/>
  <c r="AE35" i="14" s="1"/>
  <c r="AB131" i="14"/>
  <c r="AE131" i="14" s="1"/>
  <c r="AB114" i="14"/>
  <c r="AE114" i="14" s="1"/>
  <c r="AB100" i="14"/>
  <c r="AE100" i="14" s="1"/>
  <c r="AB41" i="14"/>
  <c r="AE41" i="14" s="1"/>
  <c r="AB17" i="14"/>
  <c r="AE17" i="14" s="1"/>
  <c r="AB230" i="14"/>
  <c r="AE230" i="14" s="1"/>
  <c r="AB188" i="14"/>
  <c r="AE188" i="14" s="1"/>
  <c r="AB169" i="14"/>
  <c r="AE169" i="14" s="1"/>
  <c r="AB31" i="14"/>
  <c r="AE31" i="14" s="1"/>
  <c r="AB232" i="14"/>
  <c r="AE232" i="14" s="1"/>
  <c r="AB217" i="14"/>
  <c r="AE217" i="14" s="1"/>
  <c r="AB252" i="14"/>
  <c r="AE252" i="14" s="1"/>
  <c r="AB240" i="14"/>
  <c r="AE240" i="14" s="1"/>
  <c r="AB221" i="14"/>
  <c r="AE221" i="14" s="1"/>
  <c r="AB112" i="14"/>
  <c r="AE112" i="14" s="1"/>
  <c r="AB167" i="14"/>
  <c r="AE167" i="14" s="1"/>
  <c r="AB149" i="14"/>
  <c r="AE149" i="14" s="1"/>
  <c r="AB250" i="14"/>
  <c r="AE250" i="14" s="1"/>
  <c r="AB136" i="14"/>
  <c r="AE136" i="14" s="1"/>
  <c r="AB111" i="14"/>
  <c r="AE111" i="14" s="1"/>
  <c r="AB197" i="14"/>
  <c r="AE197" i="14" s="1"/>
  <c r="AB151" i="14"/>
  <c r="AE151" i="14" s="1"/>
  <c r="AB173" i="14"/>
  <c r="AE173" i="14" s="1"/>
  <c r="AB21" i="14"/>
  <c r="AE21" i="14" s="1"/>
  <c r="AB91" i="14"/>
  <c r="AE91" i="14" s="1"/>
  <c r="AB121" i="14"/>
  <c r="AE121" i="14" s="1"/>
  <c r="AB30" i="14"/>
  <c r="AE30" i="14" s="1"/>
  <c r="AB246" i="14"/>
  <c r="AE246" i="14" s="1"/>
  <c r="AB161" i="14"/>
  <c r="AE161" i="14" s="1"/>
  <c r="AB45" i="14"/>
  <c r="AB90" i="14"/>
  <c r="AE90" i="14" s="1"/>
  <c r="AB236" i="14"/>
  <c r="AE236" i="14" s="1"/>
  <c r="AB184" i="14"/>
  <c r="AE184" i="14" s="1"/>
  <c r="AB125" i="14"/>
  <c r="AE125" i="14" s="1"/>
  <c r="AB142" i="14"/>
  <c r="AE142" i="14" s="1"/>
  <c r="AB228" i="14"/>
  <c r="AE228" i="14" s="1"/>
  <c r="AB157" i="14"/>
  <c r="AE157" i="14" s="1"/>
  <c r="AB194" i="14"/>
  <c r="AE194" i="14" s="1"/>
  <c r="AB138" i="14"/>
  <c r="AE138" i="14" s="1"/>
  <c r="AB60" i="14"/>
  <c r="AE60" i="14" s="1"/>
  <c r="AB55" i="14"/>
  <c r="AE55" i="14" s="1"/>
  <c r="AB156" i="14"/>
  <c r="AB63" i="14"/>
  <c r="AE63" i="14" s="1"/>
  <c r="AB81" i="14"/>
  <c r="AE81" i="14" s="1"/>
  <c r="AB119" i="14"/>
  <c r="AE119" i="14" s="1"/>
  <c r="AB44" i="14"/>
  <c r="AE44" i="14" s="1"/>
  <c r="AB22" i="14"/>
  <c r="AE22" i="14" s="1"/>
  <c r="AB8" i="14"/>
  <c r="AE8" i="14" s="1"/>
  <c r="AB239" i="14"/>
  <c r="AE239" i="14" s="1"/>
  <c r="AB19" i="14"/>
  <c r="AE19" i="14" s="1"/>
  <c r="AB249" i="14"/>
  <c r="AE249" i="14" s="1"/>
  <c r="AB189" i="14"/>
  <c r="AE189" i="14" s="1"/>
  <c r="AB12" i="14"/>
  <c r="AE12" i="14" s="1"/>
  <c r="AB247" i="14"/>
  <c r="AE247" i="14" s="1"/>
  <c r="AB237" i="14"/>
  <c r="AE237" i="14" s="1"/>
  <c r="AB196" i="14"/>
  <c r="AE196" i="14" s="1"/>
  <c r="AB220" i="14"/>
  <c r="AE220" i="14" s="1"/>
  <c r="AB127" i="14"/>
  <c r="AE127" i="14" s="1"/>
  <c r="AB152" i="14"/>
  <c r="AE152" i="14" s="1"/>
  <c r="AB242" i="14"/>
  <c r="AE242" i="14" s="1"/>
  <c r="AB85" i="14"/>
  <c r="AE85" i="14" s="1"/>
  <c r="AB28" i="14"/>
  <c r="AE28" i="14" s="1"/>
  <c r="AB66" i="14"/>
  <c r="AE66" i="14" s="1"/>
  <c r="AB50" i="14"/>
  <c r="AE50" i="14" s="1"/>
  <c r="AB255" i="14"/>
  <c r="AB102" i="14"/>
  <c r="AE102" i="14" s="1"/>
  <c r="AB120" i="14"/>
  <c r="AE120" i="14" s="1"/>
  <c r="AB43" i="14"/>
  <c r="AE43" i="14" s="1"/>
  <c r="AB187" i="14"/>
  <c r="AE187" i="14" s="1"/>
  <c r="AB210" i="14"/>
  <c r="AE210" i="14" s="1"/>
  <c r="AB98" i="14"/>
  <c r="AE98" i="14" s="1"/>
  <c r="AB183" i="14"/>
  <c r="AE183" i="14" s="1"/>
  <c r="AB203" i="14"/>
  <c r="AE203" i="14" s="1"/>
  <c r="AB154" i="14"/>
  <c r="AE154" i="14" s="1"/>
  <c r="AB193" i="14"/>
  <c r="AE193" i="14" s="1"/>
  <c r="AB76" i="14"/>
  <c r="AE76" i="14" s="1"/>
  <c r="AB5" i="14"/>
  <c r="AB36" i="14"/>
  <c r="AE36" i="14" s="1"/>
  <c r="AB162" i="14"/>
  <c r="AE162" i="14" s="1"/>
  <c r="AB150" i="14"/>
  <c r="AE150" i="14" s="1"/>
  <c r="AB174" i="14"/>
  <c r="AE174" i="14" s="1"/>
  <c r="AB108" i="14"/>
  <c r="AE108" i="14" s="1"/>
  <c r="AB103" i="14"/>
  <c r="AE103" i="14" s="1"/>
  <c r="AB11" i="14"/>
  <c r="AE11" i="14" s="1"/>
  <c r="AB18" i="14"/>
  <c r="AE18" i="14" s="1"/>
  <c r="AB78" i="14"/>
  <c r="AE78" i="14" s="1"/>
  <c r="AB129" i="14"/>
  <c r="AE129" i="14" s="1"/>
  <c r="AB48" i="14"/>
  <c r="AE48" i="14" s="1"/>
  <c r="AB75" i="14"/>
  <c r="AE75" i="14" s="1"/>
  <c r="AB99" i="14"/>
  <c r="AE99" i="14" s="1"/>
  <c r="AB27" i="14"/>
  <c r="AE27" i="14" s="1"/>
  <c r="AB164" i="14"/>
  <c r="AE164" i="14" s="1"/>
  <c r="AB118" i="14"/>
  <c r="AE118" i="14" s="1"/>
  <c r="AB137" i="14"/>
  <c r="AE137" i="14" s="1"/>
  <c r="AB165" i="14"/>
  <c r="AE165" i="14" s="1"/>
  <c r="AB33" i="14"/>
  <c r="AE33" i="14" s="1"/>
  <c r="AB49" i="14"/>
  <c r="AE49" i="14" s="1"/>
  <c r="AB207" i="14"/>
  <c r="AE207" i="14" s="1"/>
  <c r="AB68" i="14"/>
  <c r="AE68" i="14" s="1"/>
  <c r="AB229" i="14"/>
  <c r="AB180" i="14"/>
  <c r="AE180" i="14" s="1"/>
  <c r="AB195" i="14"/>
  <c r="AE195" i="14" s="1"/>
  <c r="AB122" i="14"/>
  <c r="AE122" i="14" s="1"/>
  <c r="AB67" i="14"/>
  <c r="AE67" i="14" s="1"/>
  <c r="AB42" i="14"/>
  <c r="AE42" i="14" s="1"/>
  <c r="AB24" i="14"/>
  <c r="AE24" i="14" s="1"/>
  <c r="AB105" i="14"/>
  <c r="AE105" i="14" s="1"/>
  <c r="AB146" i="14"/>
  <c r="AE146" i="14" s="1"/>
  <c r="AB26" i="14"/>
  <c r="AE26" i="14" s="1"/>
  <c r="AB15" i="14"/>
  <c r="AE15" i="14" s="1"/>
  <c r="AB80" i="14"/>
  <c r="AE80" i="14" s="1"/>
  <c r="AB38" i="14"/>
  <c r="AE38" i="14" s="1"/>
  <c r="AB71" i="14"/>
  <c r="AE71" i="14" s="1"/>
  <c r="AB39" i="14"/>
  <c r="AE39" i="14" s="1"/>
  <c r="AB231" i="14"/>
  <c r="AE231" i="14" s="1"/>
  <c r="AB56" i="14"/>
  <c r="AE56" i="14" s="1"/>
  <c r="AB218" i="14"/>
  <c r="AE218" i="14" s="1"/>
  <c r="AB166" i="14"/>
  <c r="AE166" i="14" s="1"/>
  <c r="AB79" i="14"/>
  <c r="AE79" i="14" s="1"/>
  <c r="AB64" i="14"/>
  <c r="AE64" i="14" s="1"/>
  <c r="AB185" i="14"/>
  <c r="AE185" i="14" s="1"/>
  <c r="AB243" i="14"/>
  <c r="AE243" i="14" s="1"/>
  <c r="AB116" i="14"/>
  <c r="AE116" i="14" s="1"/>
  <c r="AB96" i="14"/>
  <c r="AE96" i="14" s="1"/>
  <c r="AB134" i="14"/>
  <c r="AE134" i="14" s="1"/>
  <c r="AB153" i="14"/>
  <c r="AE153" i="14" s="1"/>
  <c r="AB23" i="14"/>
  <c r="AE23" i="14" s="1"/>
  <c r="AB219" i="14"/>
  <c r="AE219" i="14" s="1"/>
  <c r="AB143" i="14"/>
  <c r="AE143" i="14" s="1"/>
  <c r="AB160" i="14"/>
  <c r="AE160" i="14" s="1"/>
  <c r="AB115" i="14"/>
  <c r="AE115" i="14" s="1"/>
  <c r="AB16" i="14"/>
  <c r="AE16" i="14" s="1"/>
  <c r="AB59" i="14"/>
  <c r="AE59" i="14" s="1"/>
  <c r="AB101" i="14"/>
  <c r="AE101" i="14" s="1"/>
  <c r="AB214" i="14"/>
  <c r="AE214" i="14" s="1"/>
  <c r="AB148" i="14"/>
  <c r="AE148" i="14" s="1"/>
  <c r="AB139" i="14"/>
  <c r="AE139" i="14" s="1"/>
  <c r="AB70" i="14"/>
  <c r="AE70" i="14" s="1"/>
  <c r="AB186" i="14"/>
  <c r="AE186" i="14" s="1"/>
  <c r="AB191" i="14"/>
  <c r="AE191" i="14" s="1"/>
  <c r="AB25" i="14"/>
  <c r="AE25" i="14" s="1"/>
  <c r="AB128" i="14"/>
  <c r="AE128" i="14" s="1"/>
  <c r="AB86" i="14"/>
  <c r="AE86" i="14" s="1"/>
  <c r="AB227" i="14"/>
  <c r="AE227" i="14" s="1"/>
  <c r="AB211" i="14"/>
  <c r="AE211" i="14" s="1"/>
  <c r="AB135" i="14"/>
  <c r="AE135" i="14" s="1"/>
  <c r="AB9" i="14"/>
  <c r="AE9" i="14" s="1"/>
  <c r="AB140" i="14"/>
  <c r="AE140" i="14" s="1"/>
  <c r="AB89" i="14"/>
  <c r="AE89" i="14" s="1"/>
  <c r="AB253" i="14"/>
  <c r="AE253" i="14" s="1"/>
  <c r="AB213" i="14"/>
  <c r="AE213" i="14" s="1"/>
  <c r="AB83" i="14"/>
  <c r="AE83" i="14" s="1"/>
  <c r="AB37" i="14"/>
  <c r="AE37" i="14" s="1"/>
  <c r="AB14" i="14"/>
  <c r="AE14" i="14" s="1"/>
  <c r="AB32" i="14"/>
  <c r="AE32" i="14" s="1"/>
  <c r="AB177" i="14"/>
  <c r="AE177" i="14" s="1"/>
  <c r="AB82" i="14"/>
  <c r="AE82" i="14" s="1"/>
  <c r="AB113" i="14"/>
  <c r="AE113" i="14" s="1"/>
  <c r="AB181" i="14"/>
  <c r="AE181" i="14" s="1"/>
  <c r="AB54" i="14"/>
  <c r="AE54" i="14" s="1"/>
  <c r="AB34" i="14"/>
  <c r="AE34" i="14" s="1"/>
  <c r="AB145" i="14"/>
  <c r="AE145" i="14" s="1"/>
  <c r="AB117" i="14"/>
  <c r="AE117" i="14" s="1"/>
  <c r="AB248" i="14"/>
  <c r="AE248" i="14" s="1"/>
  <c r="AB245" i="14"/>
  <c r="AE245" i="14" s="1"/>
  <c r="AB155" i="14"/>
  <c r="AE155" i="14" s="1"/>
  <c r="AB179" i="14"/>
  <c r="AE179" i="14" s="1"/>
  <c r="AB199" i="14"/>
  <c r="AE199" i="14" s="1"/>
  <c r="AB168" i="14"/>
  <c r="AE168" i="14" s="1"/>
  <c r="AB175" i="14"/>
  <c r="AE175" i="14" s="1"/>
  <c r="AB84" i="14"/>
  <c r="AE84" i="14" s="1"/>
  <c r="AB88" i="14"/>
  <c r="AE88" i="14" s="1"/>
  <c r="AB178" i="14"/>
  <c r="AE178" i="14" s="1"/>
  <c r="AB87" i="14"/>
  <c r="AE87" i="14" s="1"/>
  <c r="AB61" i="14"/>
  <c r="AE61" i="14" s="1"/>
  <c r="AB215" i="14"/>
  <c r="AE215" i="14" s="1"/>
  <c r="AB77" i="14"/>
  <c r="AE77" i="14" s="1"/>
  <c r="AB58" i="14"/>
  <c r="AE58" i="14" s="1"/>
  <c r="AB216" i="14"/>
  <c r="AE216" i="14" s="1"/>
  <c r="AB94" i="14"/>
  <c r="AE94" i="14" s="1"/>
  <c r="AB53" i="14"/>
  <c r="AE53" i="14" s="1"/>
  <c r="AB95" i="14"/>
  <c r="AE95" i="14" s="1"/>
  <c r="AB40" i="14"/>
  <c r="AE40" i="14" s="1"/>
  <c r="AB52" i="14"/>
  <c r="AE52" i="14" s="1"/>
  <c r="AB200" i="14"/>
  <c r="AE200" i="14" s="1"/>
  <c r="AB172" i="14"/>
  <c r="AE172" i="14" s="1"/>
  <c r="AB182" i="14"/>
  <c r="AE182" i="14" s="1"/>
  <c r="AB92" i="14"/>
  <c r="AE92" i="14" s="1"/>
  <c r="AB51" i="14"/>
  <c r="AE51" i="14" s="1"/>
  <c r="AB13" i="14"/>
  <c r="AE13" i="14" s="1"/>
  <c r="AB205" i="14"/>
  <c r="AE205" i="14" s="1"/>
  <c r="AB158" i="14"/>
  <c r="AE158" i="14" s="1"/>
  <c r="AB29" i="14"/>
  <c r="AE29" i="14" s="1"/>
  <c r="AB244" i="14"/>
  <c r="AE244" i="14" s="1"/>
  <c r="AB73" i="14"/>
  <c r="AE73" i="14" s="1"/>
  <c r="AB97" i="14"/>
  <c r="AE97" i="14" s="1"/>
  <c r="AB163" i="14"/>
  <c r="AE163" i="14" s="1"/>
  <c r="AB109" i="14"/>
  <c r="AE109" i="14" s="1"/>
  <c r="AB238" i="14"/>
  <c r="AE238" i="14" s="1"/>
  <c r="AB226" i="14"/>
  <c r="AE226" i="14" s="1"/>
  <c r="AB201" i="14"/>
  <c r="AE201" i="14" s="1"/>
  <c r="AB206" i="14"/>
  <c r="AE206" i="14" s="1"/>
  <c r="AB235" i="14"/>
  <c r="AE235" i="14" s="1"/>
  <c r="AB192" i="14"/>
  <c r="AE192" i="14" s="1"/>
  <c r="AB106" i="14"/>
  <c r="AE106" i="14" s="1"/>
  <c r="AB110" i="14"/>
  <c r="AE110" i="14" s="1"/>
  <c r="AB141" i="14"/>
  <c r="AE141" i="14" s="1"/>
  <c r="AB10" i="14"/>
  <c r="AE10" i="14" s="1"/>
  <c r="AB132" i="14"/>
  <c r="AE132" i="14" s="1"/>
  <c r="AB107" i="14"/>
  <c r="AB241" i="14"/>
  <c r="AE241" i="14" s="1"/>
  <c r="AB208" i="14"/>
  <c r="AE208" i="14" s="1"/>
  <c r="AB190" i="14"/>
  <c r="AE190" i="14" s="1"/>
  <c r="AB223" i="14"/>
  <c r="AE223" i="14" s="1"/>
  <c r="AB144" i="14"/>
  <c r="AE144" i="14" s="1"/>
  <c r="AB251" i="14"/>
  <c r="AE251" i="14" s="1"/>
  <c r="AB7" i="14"/>
  <c r="AE7" i="14" s="1"/>
  <c r="AB124" i="14"/>
  <c r="AE124" i="14" s="1"/>
  <c r="AB171" i="14"/>
  <c r="AE171" i="14" s="1"/>
  <c r="AB234" i="14"/>
  <c r="AE234" i="14" s="1"/>
  <c r="AB224" i="14"/>
  <c r="AE224" i="14" s="1"/>
  <c r="AB20" i="14"/>
  <c r="AE20" i="14" s="1"/>
  <c r="U42" i="3"/>
  <c r="U10" i="4"/>
  <c r="AE12" i="4"/>
  <c r="E11" i="2" s="1"/>
  <c r="K38" i="13"/>
  <c r="AE18" i="4"/>
  <c r="AE37" i="4"/>
  <c r="E10" i="2"/>
  <c r="AE41" i="5"/>
  <c r="R43" i="5"/>
  <c r="E9" i="2"/>
  <c r="AD9" i="3"/>
  <c r="S26" i="5"/>
  <c r="S29" i="5" s="1"/>
  <c r="R19" i="6"/>
  <c r="S41" i="5"/>
  <c r="S43" i="5" s="1"/>
  <c r="R17" i="6"/>
  <c r="S37" i="4"/>
  <c r="S18" i="4"/>
  <c r="S19" i="4" s="1"/>
  <c r="Y20" i="6"/>
  <c r="AF20" i="6" s="1"/>
  <c r="AG24" i="5"/>
  <c r="F32" i="12"/>
  <c r="F33" i="12" s="1"/>
  <c r="F38" i="12" s="1"/>
  <c r="F43" i="12" s="1"/>
  <c r="M16" i="9"/>
  <c r="M18" i="9" s="1"/>
  <c r="M52" i="6"/>
  <c r="N52" i="4"/>
  <c r="G31" i="12"/>
  <c r="G37" i="12"/>
  <c r="G27" i="12"/>
  <c r="G35" i="12"/>
  <c r="G29" i="12"/>
  <c r="AB37" i="9"/>
  <c r="AC45" i="4"/>
  <c r="AC51" i="4" s="1"/>
  <c r="C15" i="2"/>
  <c r="AC32" i="4"/>
  <c r="C16" i="2" s="1"/>
  <c r="AC28" i="4"/>
  <c r="I52" i="6"/>
  <c r="I16" i="9"/>
  <c r="I18" i="9" s="1"/>
  <c r="J52" i="4"/>
  <c r="AA37" i="9"/>
  <c r="AB32" i="4"/>
  <c r="B16" i="2" s="1"/>
  <c r="AB45" i="4"/>
  <c r="AB51" i="4" s="1"/>
  <c r="B15" i="2"/>
  <c r="AB28" i="4"/>
  <c r="AE29" i="5"/>
  <c r="AC37" i="9"/>
  <c r="AD45" i="4"/>
  <c r="AD51" i="4" s="1"/>
  <c r="AD32" i="4"/>
  <c r="D16" i="2" s="1"/>
  <c r="D15" i="2"/>
  <c r="AD28" i="4"/>
  <c r="Z30" i="5"/>
  <c r="T43" i="5" l="1"/>
  <c r="AE19" i="4"/>
  <c r="E14" i="2" s="1"/>
  <c r="E13" i="2"/>
  <c r="T46" i="4"/>
  <c r="S11" i="6"/>
  <c r="Q27" i="4"/>
  <c r="Q50" i="4"/>
  <c r="T47" i="4"/>
  <c r="S10" i="6"/>
  <c r="T41" i="5"/>
  <c r="S17" i="6"/>
  <c r="V42" i="3"/>
  <c r="V10" i="4"/>
  <c r="AK107" i="14"/>
  <c r="AE107" i="14"/>
  <c r="AK156" i="14"/>
  <c r="AE156" i="14"/>
  <c r="AK45" i="14"/>
  <c r="AE45" i="14"/>
  <c r="O38" i="13"/>
  <c r="M8" i="13"/>
  <c r="Q12" i="14"/>
  <c r="Q14" i="14" s="1"/>
  <c r="AE5" i="14"/>
  <c r="R12" i="14"/>
  <c r="R14" i="14" s="1"/>
  <c r="AE255" i="14"/>
  <c r="AK229" i="14"/>
  <c r="AE229" i="14"/>
  <c r="T14" i="5"/>
  <c r="U14" i="5" s="1"/>
  <c r="V9" i="4"/>
  <c r="V41" i="3"/>
  <c r="U35" i="4"/>
  <c r="U41" i="4"/>
  <c r="U36" i="4"/>
  <c r="U40" i="4"/>
  <c r="U62" i="4"/>
  <c r="U23" i="5"/>
  <c r="U59" i="4"/>
  <c r="U39" i="4"/>
  <c r="U11" i="5"/>
  <c r="U42" i="4"/>
  <c r="U42" i="5"/>
  <c r="U11" i="4"/>
  <c r="U12" i="4" s="1"/>
  <c r="U38" i="4"/>
  <c r="AF9" i="4"/>
  <c r="T37" i="4"/>
  <c r="T18" i="4"/>
  <c r="T19" i="4" s="1"/>
  <c r="S19" i="6"/>
  <c r="T26" i="5"/>
  <c r="T29" i="5" s="1"/>
  <c r="AC38" i="9"/>
  <c r="D13" i="11"/>
  <c r="B27" i="12"/>
  <c r="AC52" i="6"/>
  <c r="D18" i="2"/>
  <c r="AD52" i="4"/>
  <c r="D19" i="2" s="1"/>
  <c r="AA52" i="6"/>
  <c r="AA38" i="9"/>
  <c r="B13" i="11"/>
  <c r="B18" i="2"/>
  <c r="AB52" i="4"/>
  <c r="B19" i="2" s="1"/>
  <c r="G32" i="12"/>
  <c r="G33" i="12" s="1"/>
  <c r="G38" i="12" s="1"/>
  <c r="AG30" i="5"/>
  <c r="AB38" i="9"/>
  <c r="C13" i="11"/>
  <c r="AB52" i="6"/>
  <c r="C18" i="2"/>
  <c r="AC52" i="4"/>
  <c r="C19" i="2" s="1"/>
  <c r="G75" i="12" l="1"/>
  <c r="G73" i="12"/>
  <c r="C73" i="12"/>
  <c r="D74" i="12"/>
  <c r="D71" i="12"/>
  <c r="G71" i="12"/>
  <c r="E73" i="12"/>
  <c r="C74" i="12"/>
  <c r="G74" i="12"/>
  <c r="E72" i="12"/>
  <c r="F75" i="12"/>
  <c r="D73" i="12"/>
  <c r="F73" i="12"/>
  <c r="E75" i="12"/>
  <c r="C75" i="12"/>
  <c r="F72" i="12"/>
  <c r="E74" i="12"/>
  <c r="E71" i="12"/>
  <c r="J38" i="13"/>
  <c r="AF41" i="4"/>
  <c r="AF39" i="4"/>
  <c r="AF35" i="4"/>
  <c r="AF40" i="4"/>
  <c r="AF38" i="4"/>
  <c r="F8" i="2"/>
  <c r="AF42" i="4"/>
  <c r="U37" i="4"/>
  <c r="U18" i="4"/>
  <c r="U19" i="4" s="1"/>
  <c r="W9" i="4"/>
  <c r="W41" i="3"/>
  <c r="U43" i="5"/>
  <c r="V36" i="4"/>
  <c r="V62" i="4"/>
  <c r="V14" i="5" s="1"/>
  <c r="V35" i="4"/>
  <c r="V59" i="4"/>
  <c r="V38" i="4"/>
  <c r="V11" i="5"/>
  <c r="V41" i="4"/>
  <c r="V39" i="4"/>
  <c r="V23" i="5"/>
  <c r="V40" i="4"/>
  <c r="V42" i="4"/>
  <c r="V42" i="5"/>
  <c r="AF42" i="5" s="1"/>
  <c r="Q32" i="4"/>
  <c r="Q28" i="4"/>
  <c r="P9" i="6"/>
  <c r="P23" i="6" s="1"/>
  <c r="Q34" i="5"/>
  <c r="Q35" i="5" s="1"/>
  <c r="Q36" i="5" s="1"/>
  <c r="Q45" i="4"/>
  <c r="Q51" i="4" s="1"/>
  <c r="U41" i="5"/>
  <c r="T17" i="6"/>
  <c r="T11" i="6"/>
  <c r="U46" i="4"/>
  <c r="AF59" i="4"/>
  <c r="V11" i="4"/>
  <c r="U26" i="5"/>
  <c r="U29" i="5" s="1"/>
  <c r="T19" i="6"/>
  <c r="W42" i="3"/>
  <c r="W10" i="4"/>
  <c r="U47" i="4"/>
  <c r="T10" i="6"/>
  <c r="AF10" i="4"/>
  <c r="AE10" i="3" s="1"/>
  <c r="U32" i="5"/>
  <c r="V32" i="5" s="1"/>
  <c r="C15" i="11"/>
  <c r="C16" i="11" s="1"/>
  <c r="C100" i="11" s="1"/>
  <c r="C14" i="11"/>
  <c r="C94" i="11" s="1"/>
  <c r="F74" i="12"/>
  <c r="D75" i="12"/>
  <c r="B15" i="11"/>
  <c r="B16" i="11" s="1"/>
  <c r="B100" i="11" s="1"/>
  <c r="B14" i="11"/>
  <c r="B94" i="11" s="1"/>
  <c r="C71" i="12"/>
  <c r="D72" i="12"/>
  <c r="B47" i="12"/>
  <c r="G43" i="12"/>
  <c r="B46" i="12" s="1"/>
  <c r="F66" i="12"/>
  <c r="C66" i="12"/>
  <c r="E63" i="12"/>
  <c r="D64" i="12"/>
  <c r="F63" i="12"/>
  <c r="E65" i="12"/>
  <c r="G64" i="12"/>
  <c r="C63" i="12"/>
  <c r="E62" i="12"/>
  <c r="D66" i="12"/>
  <c r="F64" i="12"/>
  <c r="D62" i="12"/>
  <c r="C64" i="12"/>
  <c r="G62" i="12"/>
  <c r="G66" i="12"/>
  <c r="E64" i="12"/>
  <c r="C62" i="12"/>
  <c r="G63" i="12"/>
  <c r="F65" i="12"/>
  <c r="C65" i="12"/>
  <c r="E66" i="12"/>
  <c r="D63" i="12"/>
  <c r="F62" i="12"/>
  <c r="G65" i="12"/>
  <c r="D65" i="12"/>
  <c r="B32" i="12"/>
  <c r="B26" i="12"/>
  <c r="G72" i="12"/>
  <c r="D14" i="11"/>
  <c r="F13" i="11"/>
  <c r="D15" i="11"/>
  <c r="D16" i="11" s="1"/>
  <c r="C72" i="12"/>
  <c r="F71" i="12"/>
  <c r="AF32" i="5"/>
  <c r="AF14" i="5" l="1"/>
  <c r="W35" i="4"/>
  <c r="W23" i="5"/>
  <c r="W39" i="4"/>
  <c r="W62" i="4"/>
  <c r="W41" i="4"/>
  <c r="W59" i="4"/>
  <c r="W11" i="5"/>
  <c r="W40" i="4"/>
  <c r="W42" i="5"/>
  <c r="W36" i="4"/>
  <c r="W42" i="4"/>
  <c r="W11" i="4"/>
  <c r="W12" i="4" s="1"/>
  <c r="W38" i="4"/>
  <c r="L8" i="13"/>
  <c r="V37" i="4"/>
  <c r="V18" i="4"/>
  <c r="V19" i="4" s="1"/>
  <c r="U10" i="6"/>
  <c r="AE10" i="6" s="1"/>
  <c r="V47" i="4"/>
  <c r="AF62" i="4"/>
  <c r="Q52" i="4"/>
  <c r="U17" i="6"/>
  <c r="AE17" i="6" s="1"/>
  <c r="AF11" i="5"/>
  <c r="F28" i="2" s="1"/>
  <c r="F9" i="2"/>
  <c r="AE9" i="3"/>
  <c r="X9" i="4"/>
  <c r="X41" i="3"/>
  <c r="P50" i="6"/>
  <c r="P51" i="6" s="1"/>
  <c r="P44" i="6"/>
  <c r="P47" i="6" s="1"/>
  <c r="V41" i="5"/>
  <c r="V12" i="4"/>
  <c r="X42" i="3"/>
  <c r="X10" i="4"/>
  <c r="V46" i="4"/>
  <c r="U11" i="6"/>
  <c r="AE11" i="6" s="1"/>
  <c r="AF46" i="4"/>
  <c r="AE17" i="3"/>
  <c r="F20" i="2"/>
  <c r="V26" i="5"/>
  <c r="AF23" i="5"/>
  <c r="F29" i="2" s="1"/>
  <c r="U19" i="6"/>
  <c r="AE19" i="6" s="1"/>
  <c r="AF11" i="4"/>
  <c r="F94" i="11"/>
  <c r="D94" i="11"/>
  <c r="F100" i="11"/>
  <c r="D100" i="11"/>
  <c r="B57" i="12"/>
  <c r="B56" i="12"/>
  <c r="B48" i="12"/>
  <c r="AF12" i="4" l="1"/>
  <c r="F11" i="2" s="1"/>
  <c r="L38" i="13"/>
  <c r="AF37" i="4"/>
  <c r="AF18" i="4"/>
  <c r="F10" i="2"/>
  <c r="AF47" i="4"/>
  <c r="AE16" i="3"/>
  <c r="F21" i="2"/>
  <c r="Q46" i="6"/>
  <c r="Q9" i="5"/>
  <c r="P12" i="9"/>
  <c r="W43" i="5"/>
  <c r="V11" i="6"/>
  <c r="W46" i="4"/>
  <c r="W32" i="5"/>
  <c r="X11" i="5"/>
  <c r="X42" i="4"/>
  <c r="X36" i="4"/>
  <c r="X23" i="5"/>
  <c r="X59" i="4"/>
  <c r="X41" i="4"/>
  <c r="X39" i="4"/>
  <c r="X35" i="4"/>
  <c r="X40" i="4"/>
  <c r="X62" i="4"/>
  <c r="X11" i="4"/>
  <c r="X12" i="4" s="1"/>
  <c r="X38" i="4"/>
  <c r="W47" i="4"/>
  <c r="V10" i="6"/>
  <c r="W41" i="5"/>
  <c r="V17" i="6"/>
  <c r="AF26" i="5"/>
  <c r="V29" i="5"/>
  <c r="AF29" i="5" s="1"/>
  <c r="Y9" i="4"/>
  <c r="Y41" i="3"/>
  <c r="Z9" i="4" s="1"/>
  <c r="W26" i="5"/>
  <c r="W29" i="5" s="1"/>
  <c r="V19" i="6"/>
  <c r="W37" i="4"/>
  <c r="W18" i="4"/>
  <c r="W19" i="4" s="1"/>
  <c r="AF41" i="5"/>
  <c r="V43" i="5"/>
  <c r="Y42" i="3"/>
  <c r="Z10" i="4" s="1"/>
  <c r="Y10" i="4"/>
  <c r="AG10" i="4" s="1"/>
  <c r="AF10" i="3" s="1"/>
  <c r="P52" i="6"/>
  <c r="W14" i="5"/>
  <c r="B49" i="12"/>
  <c r="D8" i="13" s="1"/>
  <c r="Q45" i="5" l="1"/>
  <c r="R21" i="4"/>
  <c r="Q13" i="5"/>
  <c r="W19" i="6"/>
  <c r="X26" i="5"/>
  <c r="X29" i="5" s="1"/>
  <c r="E8" i="13"/>
  <c r="F8" i="13"/>
  <c r="G8" i="13"/>
  <c r="X46" i="4"/>
  <c r="W11" i="6"/>
  <c r="X41" i="5"/>
  <c r="W17" i="6"/>
  <c r="X32" i="5"/>
  <c r="F13" i="2"/>
  <c r="AF19" i="4"/>
  <c r="F14" i="2" s="1"/>
  <c r="Z59" i="4"/>
  <c r="Z41" i="4"/>
  <c r="Z11" i="5"/>
  <c r="Z41" i="5"/>
  <c r="Z62" i="4"/>
  <c r="Z39" i="4"/>
  <c r="Z35" i="4"/>
  <c r="Z23" i="5"/>
  <c r="Z42" i="5" s="1"/>
  <c r="AG42" i="5" s="1"/>
  <c r="Z36" i="4"/>
  <c r="Z40" i="4"/>
  <c r="Z42" i="4"/>
  <c r="Z38" i="4"/>
  <c r="Z11" i="4"/>
  <c r="Z12" i="4"/>
  <c r="AG59" i="4"/>
  <c r="N8" i="13"/>
  <c r="P38" i="13"/>
  <c r="H8" i="13" s="1"/>
  <c r="X37" i="4"/>
  <c r="X18" i="4"/>
  <c r="X19" i="4" s="1"/>
  <c r="X42" i="5"/>
  <c r="AG9" i="4"/>
  <c r="Y41" i="4"/>
  <c r="Y62" i="4"/>
  <c r="Y40" i="4"/>
  <c r="Y39" i="4"/>
  <c r="Y59" i="4"/>
  <c r="Y11" i="5"/>
  <c r="Y23" i="5"/>
  <c r="Y36" i="4"/>
  <c r="Y35" i="4"/>
  <c r="Y42" i="4"/>
  <c r="Y11" i="4"/>
  <c r="Y38" i="4"/>
  <c r="Y12" i="4"/>
  <c r="X47" i="4"/>
  <c r="W10" i="6"/>
  <c r="X14" i="5"/>
  <c r="Y14" i="5" s="1"/>
  <c r="B55" i="12"/>
  <c r="B51" i="12"/>
  <c r="B54" i="12"/>
  <c r="Z14" i="5" l="1"/>
  <c r="AG14" i="5" s="1"/>
  <c r="Y17" i="6"/>
  <c r="AG11" i="5"/>
  <c r="G28" i="2" s="1"/>
  <c r="Y41" i="5"/>
  <c r="X17" i="6"/>
  <c r="G20" i="2"/>
  <c r="AF17" i="3"/>
  <c r="AG46" i="4"/>
  <c r="AG41" i="5"/>
  <c r="Z43" i="5"/>
  <c r="Y46" i="4"/>
  <c r="X11" i="6"/>
  <c r="Z37" i="4"/>
  <c r="Z18" i="4"/>
  <c r="Z19" i="4" s="1"/>
  <c r="Z46" i="4"/>
  <c r="Y11" i="6"/>
  <c r="Y47" i="4"/>
  <c r="X10" i="6"/>
  <c r="AG62" i="4"/>
  <c r="Y26" i="5"/>
  <c r="Y29" i="5" s="1"/>
  <c r="X19" i="6"/>
  <c r="Q46" i="5"/>
  <c r="Q20" i="5"/>
  <c r="Q37" i="5" s="1"/>
  <c r="P11" i="9" s="1"/>
  <c r="Y10" i="6"/>
  <c r="AF10" i="6" s="1"/>
  <c r="Z47" i="4"/>
  <c r="Y18" i="4"/>
  <c r="Y19" i="4" s="1"/>
  <c r="Y37" i="4"/>
  <c r="AG41" i="4"/>
  <c r="G8" i="2"/>
  <c r="AG35" i="4"/>
  <c r="AG40" i="4"/>
  <c r="AG39" i="4"/>
  <c r="AG42" i="4"/>
  <c r="AG11" i="4"/>
  <c r="AG38" i="4"/>
  <c r="AG12" i="4"/>
  <c r="G11" i="2" s="1"/>
  <c r="Y32" i="5"/>
  <c r="Z32" i="5" s="1"/>
  <c r="AE21" i="4"/>
  <c r="R23" i="4"/>
  <c r="R24" i="4" s="1"/>
  <c r="R49" i="4"/>
  <c r="AG23" i="5"/>
  <c r="G29" i="2" s="1"/>
  <c r="Z26" i="5"/>
  <c r="Y19" i="6"/>
  <c r="B52" i="12"/>
  <c r="B53" i="12" s="1"/>
  <c r="C8" i="13"/>
  <c r="Y42" i="5"/>
  <c r="Y43" i="5" s="1"/>
  <c r="X43" i="5"/>
  <c r="AG32" i="5"/>
  <c r="AG26" i="5" l="1"/>
  <c r="Z29" i="5"/>
  <c r="AG29" i="5" s="1"/>
  <c r="AG47" i="4"/>
  <c r="AF16" i="3"/>
  <c r="G21" i="2"/>
  <c r="G9" i="2"/>
  <c r="AF9" i="3"/>
  <c r="AF19" i="6"/>
  <c r="G10" i="2"/>
  <c r="AG18" i="4"/>
  <c r="AG37" i="4"/>
  <c r="AF11" i="6"/>
  <c r="R25" i="4"/>
  <c r="R26" i="4"/>
  <c r="AE49" i="4"/>
  <c r="AE23" i="4"/>
  <c r="AE24" i="4" s="1"/>
  <c r="AF17" i="6"/>
  <c r="G13" i="2" l="1"/>
  <c r="AG19" i="4"/>
  <c r="G14" i="2" s="1"/>
  <c r="R27" i="4"/>
  <c r="R50" i="4"/>
  <c r="AE25" i="4"/>
  <c r="AE50" i="4" s="1"/>
  <c r="AE26" i="4" l="1"/>
  <c r="AD21" i="3" s="1"/>
  <c r="R45" i="4"/>
  <c r="R51" i="4" s="1"/>
  <c r="R32" i="4"/>
  <c r="Q9" i="6"/>
  <c r="R28" i="4"/>
  <c r="R34" i="5"/>
  <c r="AE27" i="4"/>
  <c r="AE32" i="4" l="1"/>
  <c r="E16" i="2" s="1"/>
  <c r="AE45" i="4"/>
  <c r="AE51" i="4" s="1"/>
  <c r="E15" i="2"/>
  <c r="AE28" i="4"/>
  <c r="AE34" i="5"/>
  <c r="R35" i="5"/>
  <c r="AD9" i="6"/>
  <c r="AD23" i="6" s="1"/>
  <c r="Q23" i="6"/>
  <c r="R52" i="4"/>
  <c r="E22" i="2" l="1"/>
  <c r="AD44" i="6"/>
  <c r="AD47" i="6" s="1"/>
  <c r="AD50" i="6"/>
  <c r="R36" i="5"/>
  <c r="AE36" i="5" s="1"/>
  <c r="AE35" i="5"/>
  <c r="E30" i="2" s="1"/>
  <c r="M38" i="13"/>
  <c r="E18" i="2"/>
  <c r="AE52" i="4"/>
  <c r="E19" i="2" s="1"/>
  <c r="AD52" i="6"/>
  <c r="Q44" i="6"/>
  <c r="Q47" i="6" s="1"/>
  <c r="Q50" i="6"/>
  <c r="Q51" i="6" l="1"/>
  <c r="Q52" i="6"/>
  <c r="R46" i="6"/>
  <c r="AE46" i="6" s="1"/>
  <c r="R9" i="5"/>
  <c r="Q38" i="13"/>
  <c r="I8" i="13" s="1"/>
  <c r="O8" i="13"/>
  <c r="E23" i="2"/>
  <c r="AD51" i="6"/>
  <c r="E24" i="2" s="1"/>
  <c r="Q12" i="9" l="1"/>
  <c r="R13" i="5"/>
  <c r="R45" i="5"/>
  <c r="AE45" i="5" s="1"/>
  <c r="E27" i="2" s="1"/>
  <c r="S21" i="4"/>
  <c r="AE9" i="5"/>
  <c r="S23" i="4" l="1"/>
  <c r="S24" i="4" s="1"/>
  <c r="S49" i="4"/>
  <c r="R46" i="5"/>
  <c r="AE46" i="5" s="1"/>
  <c r="AE13" i="5"/>
  <c r="R20" i="5"/>
  <c r="AE20" i="5" l="1"/>
  <c r="R37" i="5"/>
  <c r="S25" i="4"/>
  <c r="S27" i="4" l="1"/>
  <c r="S50" i="4"/>
  <c r="S26" i="4"/>
  <c r="AE37" i="5"/>
  <c r="Q11" i="9"/>
  <c r="S45" i="4" l="1"/>
  <c r="S51" i="4" s="1"/>
  <c r="S34" i="5"/>
  <c r="S35" i="5" s="1"/>
  <c r="S36" i="5" s="1"/>
  <c r="S32" i="4"/>
  <c r="S28" i="4"/>
  <c r="R9" i="6"/>
  <c r="R23" i="6" s="1"/>
  <c r="R50" i="6" l="1"/>
  <c r="R51" i="6" s="1"/>
  <c r="R44" i="6"/>
  <c r="R47" i="6" s="1"/>
  <c r="S52" i="4"/>
  <c r="R52" i="6"/>
  <c r="S9" i="5" l="1"/>
  <c r="S46" i="6"/>
  <c r="R12" i="9"/>
  <c r="T21" i="4" l="1"/>
  <c r="S13" i="5"/>
  <c r="S45" i="5"/>
  <c r="S20" i="5" l="1"/>
  <c r="S37" i="5" s="1"/>
  <c r="R11" i="9" s="1"/>
  <c r="S46" i="5"/>
  <c r="T23" i="4"/>
  <c r="T24" i="4" s="1"/>
  <c r="T49" i="4"/>
  <c r="T25" i="4" l="1"/>
  <c r="T27" i="4"/>
  <c r="T45" i="4" l="1"/>
  <c r="T32" i="4"/>
  <c r="S9" i="6"/>
  <c r="S23" i="6" s="1"/>
  <c r="T28" i="4"/>
  <c r="T34" i="5"/>
  <c r="T35" i="5" s="1"/>
  <c r="T36" i="5" s="1"/>
  <c r="T26" i="4"/>
  <c r="T50" i="4"/>
  <c r="S44" i="6" l="1"/>
  <c r="S47" i="6" s="1"/>
  <c r="S50" i="6"/>
  <c r="S51" i="6" s="1"/>
  <c r="T51" i="4"/>
  <c r="T52" i="4" l="1"/>
  <c r="S52" i="6"/>
  <c r="T46" i="6"/>
  <c r="T9" i="5"/>
  <c r="S12" i="9" l="1"/>
  <c r="T13" i="5"/>
  <c r="T45" i="5"/>
  <c r="U21" i="4"/>
  <c r="U23" i="4" l="1"/>
  <c r="U24" i="4" s="1"/>
  <c r="U49" i="4"/>
  <c r="T20" i="5"/>
  <c r="T37" i="5" s="1"/>
  <c r="S11" i="9" s="1"/>
  <c r="T46" i="5"/>
  <c r="U25" i="4" l="1"/>
  <c r="U27" i="4"/>
  <c r="U32" i="4" l="1"/>
  <c r="U28" i="4"/>
  <c r="T9" i="6"/>
  <c r="T23" i="6" s="1"/>
  <c r="U45" i="4"/>
  <c r="U34" i="5"/>
  <c r="U35" i="5" s="1"/>
  <c r="U36" i="5" s="1"/>
  <c r="U26" i="4"/>
  <c r="U50" i="4"/>
  <c r="T44" i="6"/>
  <c r="T47" i="6" s="1"/>
  <c r="T50" i="6"/>
  <c r="U51" i="4" l="1"/>
  <c r="U52" i="4" s="1"/>
  <c r="T51" i="6"/>
  <c r="T52" i="6"/>
  <c r="U46" i="6"/>
  <c r="U9" i="5"/>
  <c r="U45" i="5" l="1"/>
  <c r="U13" i="5"/>
  <c r="V21" i="4"/>
  <c r="T12" i="9"/>
  <c r="V23" i="4" l="1"/>
  <c r="V24" i="4" s="1"/>
  <c r="V49" i="4"/>
  <c r="AF21" i="4"/>
  <c r="U46" i="5"/>
  <c r="U20" i="5"/>
  <c r="U37" i="5" s="1"/>
  <c r="T11" i="9" s="1"/>
  <c r="AF49" i="4" l="1"/>
  <c r="AF23" i="4"/>
  <c r="AF24" i="4" s="1"/>
  <c r="V25" i="4"/>
  <c r="V26" i="4"/>
  <c r="V27" i="4"/>
  <c r="U9" i="6" l="1"/>
  <c r="V45" i="4"/>
  <c r="V32" i="4"/>
  <c r="V28" i="4"/>
  <c r="V34" i="5"/>
  <c r="V50" i="4"/>
  <c r="AF25" i="4"/>
  <c r="AF50" i="4" s="1"/>
  <c r="AF34" i="5" l="1"/>
  <c r="V35" i="5"/>
  <c r="AF26" i="4"/>
  <c r="AE21" i="3" s="1"/>
  <c r="V51" i="4"/>
  <c r="U23" i="6"/>
  <c r="AE9" i="6"/>
  <c r="AE23" i="6" s="1"/>
  <c r="AF27" i="4"/>
  <c r="AF45" i="4" l="1"/>
  <c r="AF51" i="4" s="1"/>
  <c r="N38" i="13" s="1"/>
  <c r="AF32" i="4"/>
  <c r="F16" i="2" s="1"/>
  <c r="F15" i="2"/>
  <c r="AF28" i="4"/>
  <c r="V52" i="4"/>
  <c r="AE50" i="6"/>
  <c r="AE44" i="6"/>
  <c r="AE47" i="6" s="1"/>
  <c r="F22" i="2"/>
  <c r="U50" i="6"/>
  <c r="U51" i="6" s="1"/>
  <c r="U44" i="6"/>
  <c r="U47" i="6" s="1"/>
  <c r="AF35" i="5"/>
  <c r="F30" i="2" s="1"/>
  <c r="V36" i="5"/>
  <c r="AF36" i="5" s="1"/>
  <c r="R38" i="13" l="1"/>
  <c r="J8" i="13" s="1"/>
  <c r="P8" i="13"/>
  <c r="V9" i="5"/>
  <c r="V46" i="6"/>
  <c r="F23" i="2"/>
  <c r="AE51" i="6"/>
  <c r="F24" i="2" s="1"/>
  <c r="U52" i="6"/>
  <c r="AE52" i="6"/>
  <c r="F18" i="2"/>
  <c r="AF52" i="4"/>
  <c r="F19" i="2" s="1"/>
  <c r="V13" i="5" l="1"/>
  <c r="V45" i="5"/>
  <c r="AF45" i="5" s="1"/>
  <c r="F27" i="2" s="1"/>
  <c r="AF9" i="5"/>
  <c r="W21" i="4"/>
  <c r="AF46" i="6"/>
  <c r="U12" i="9"/>
  <c r="W49" i="4" l="1"/>
  <c r="W23" i="4"/>
  <c r="W24" i="4" s="1"/>
  <c r="AF13" i="5"/>
  <c r="V46" i="5"/>
  <c r="AF46" i="5" s="1"/>
  <c r="V20" i="5"/>
  <c r="W25" i="4" l="1"/>
  <c r="W27" i="4" s="1"/>
  <c r="AF20" i="5"/>
  <c r="V37" i="5"/>
  <c r="V9" i="6" l="1"/>
  <c r="W45" i="4"/>
  <c r="W32" i="4"/>
  <c r="W28" i="4"/>
  <c r="W34" i="5"/>
  <c r="U11" i="9"/>
  <c r="AF37" i="5"/>
  <c r="W50" i="4"/>
  <c r="W26" i="4"/>
  <c r="W35" i="5" l="1"/>
  <c r="W36" i="5" s="1"/>
  <c r="W51" i="4"/>
  <c r="V23" i="6"/>
  <c r="W52" i="4" l="1"/>
  <c r="V44" i="6"/>
  <c r="V47" i="6" s="1"/>
  <c r="V50" i="6"/>
  <c r="V51" i="6" s="1"/>
  <c r="W46" i="6" l="1"/>
  <c r="W9" i="5"/>
  <c r="V52" i="6"/>
  <c r="W45" i="5" l="1"/>
  <c r="W13" i="5"/>
  <c r="X21" i="4"/>
  <c r="V12" i="9"/>
  <c r="X49" i="4" l="1"/>
  <c r="X23" i="4"/>
  <c r="X24" i="4" s="1"/>
  <c r="W46" i="5"/>
  <c r="W20" i="5"/>
  <c r="W37" i="5" s="1"/>
  <c r="V11" i="9" s="1"/>
  <c r="X25" i="4" l="1"/>
  <c r="X26" i="4" s="1"/>
  <c r="X50" i="4" l="1"/>
  <c r="X27" i="4"/>
  <c r="W9" i="6" l="1"/>
  <c r="X32" i="4"/>
  <c r="X45" i="4"/>
  <c r="X51" i="4" s="1"/>
  <c r="X28" i="4"/>
  <c r="X34" i="5"/>
  <c r="X35" i="5" l="1"/>
  <c r="X36" i="5" s="1"/>
  <c r="X52" i="4"/>
  <c r="W23" i="6"/>
  <c r="W50" i="6" l="1"/>
  <c r="W44" i="6"/>
  <c r="W47" i="6" s="1"/>
  <c r="X46" i="6" l="1"/>
  <c r="X9" i="5"/>
  <c r="W51" i="6"/>
  <c r="W52" i="6"/>
  <c r="X45" i="5" l="1"/>
  <c r="X13" i="5"/>
  <c r="Y21" i="4"/>
  <c r="W12" i="9"/>
  <c r="X46" i="5" l="1"/>
  <c r="X20" i="5"/>
  <c r="X37" i="5" s="1"/>
  <c r="W11" i="9" s="1"/>
  <c r="Y23" i="4"/>
  <c r="Y24" i="4" s="1"/>
  <c r="Y49" i="4"/>
  <c r="Y25" i="4" l="1"/>
  <c r="Y26" i="4" s="1"/>
  <c r="Y27" i="4" l="1"/>
  <c r="X9" i="6" s="1"/>
  <c r="Y45" i="4"/>
  <c r="Y32" i="4"/>
  <c r="Y28" i="4"/>
  <c r="Y34" i="5"/>
  <c r="Y50" i="4"/>
  <c r="Y35" i="5" l="1"/>
  <c r="Y36" i="5" s="1"/>
  <c r="X23" i="6"/>
  <c r="Y51" i="4"/>
  <c r="Y52" i="4" l="1"/>
  <c r="X50" i="6"/>
  <c r="X51" i="6" s="1"/>
  <c r="X44" i="6"/>
  <c r="X47" i="6" s="1"/>
  <c r="Y46" i="6" l="1"/>
  <c r="Y9" i="5"/>
  <c r="X52" i="6"/>
  <c r="Z21" i="4" l="1"/>
  <c r="Y45" i="5"/>
  <c r="Y13" i="5"/>
  <c r="X12" i="9"/>
  <c r="Y46" i="5" l="1"/>
  <c r="Y20" i="5"/>
  <c r="Y37" i="5" s="1"/>
  <c r="X11" i="9" s="1"/>
  <c r="Z49" i="4"/>
  <c r="Z23" i="4"/>
  <c r="Z24" i="4" s="1"/>
  <c r="AG21" i="4"/>
  <c r="Z25" i="4" l="1"/>
  <c r="Z27" i="4" s="1"/>
  <c r="AG49" i="4"/>
  <c r="AG23" i="4"/>
  <c r="AG24" i="4" s="1"/>
  <c r="Y9" i="6" l="1"/>
  <c r="Z45" i="4"/>
  <c r="Z32" i="4"/>
  <c r="Z28" i="4"/>
  <c r="Z34" i="5"/>
  <c r="Z50" i="4"/>
  <c r="AG25" i="4"/>
  <c r="AG50" i="4" s="1"/>
  <c r="Z26" i="4"/>
  <c r="AG26" i="4" l="1"/>
  <c r="AF21" i="3" s="1"/>
  <c r="AG27" i="4"/>
  <c r="AG34" i="5"/>
  <c r="Z35" i="5"/>
  <c r="Z51" i="4"/>
  <c r="Y23" i="6"/>
  <c r="AF9" i="6"/>
  <c r="AF23" i="6" s="1"/>
  <c r="AF50" i="6" l="1"/>
  <c r="AF44" i="6"/>
  <c r="AF47" i="6" s="1"/>
  <c r="G22" i="2"/>
  <c r="AG35" i="5"/>
  <c r="G30" i="2" s="1"/>
  <c r="Z36" i="5"/>
  <c r="AG36" i="5" s="1"/>
  <c r="Y44" i="6"/>
  <c r="Y47" i="6" s="1"/>
  <c r="Y50" i="6"/>
  <c r="Y51" i="6" s="1"/>
  <c r="Z52" i="4"/>
  <c r="AG45" i="4"/>
  <c r="AG51" i="4" s="1"/>
  <c r="AG32" i="4"/>
  <c r="G16" i="2" s="1"/>
  <c r="G15" i="2"/>
  <c r="AG28" i="4"/>
  <c r="Y52" i="6" l="1"/>
  <c r="AF52" i="6"/>
  <c r="G18" i="2"/>
  <c r="AG52" i="4"/>
  <c r="G19" i="2" s="1"/>
  <c r="Z9" i="5"/>
  <c r="G23" i="2"/>
  <c r="AF51" i="6"/>
  <c r="G24" i="2" s="1"/>
  <c r="Z45" i="5" l="1"/>
  <c r="AG45" i="5" s="1"/>
  <c r="G27" i="2" s="1"/>
  <c r="Z13" i="5"/>
  <c r="AG9" i="5"/>
  <c r="Y12" i="9"/>
  <c r="Z46" i="5" l="1"/>
  <c r="AG46" i="5" s="1"/>
  <c r="Z20" i="5"/>
  <c r="AG13" i="5"/>
  <c r="AG20" i="5" l="1"/>
  <c r="Z37" i="5"/>
  <c r="Y11" i="9" l="1"/>
  <c r="B8" i="9" s="1"/>
  <c r="AG3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30" authorId="0" shapeId="0" xr:uid="{00000000-0006-0000-0300-000001000000}">
      <text>
        <r>
          <rPr>
            <sz val="10"/>
            <rFont val="Arial"/>
            <family val="2"/>
          </rPr>
          <t>Approximation: 4 x FY weighted average less Q1 to Q3.</t>
        </r>
      </text>
    </comment>
    <comment ref="J30" authorId="0" shapeId="0" xr:uid="{00000000-0006-0000-0300-000003000000}">
      <text>
        <r>
          <rPr>
            <sz val="10"/>
            <rFont val="Arial"/>
            <family val="2"/>
          </rPr>
          <t>Approximation: 4 x FY weighted average less Q1 to Q3.</t>
        </r>
      </text>
    </comment>
    <comment ref="N30" authorId="0" shapeId="0" xr:uid="{00000000-0006-0000-0300-000005000000}">
      <text>
        <r>
          <rPr>
            <sz val="10"/>
            <rFont val="Arial"/>
            <family val="2"/>
          </rPr>
          <t>Q4 basic shares are approximated as 4 x FY weighted average less Q1 to Q3 (quarterly figures are not reported separately in the 10-K).</t>
        </r>
      </text>
    </comment>
    <comment ref="F31" authorId="0" shapeId="0" xr:uid="{00000000-0006-0000-0300-000002000000}">
      <text>
        <r>
          <rPr>
            <sz val="10"/>
            <rFont val="Arial"/>
            <family val="2"/>
          </rPr>
          <t>Third-party figure, see note on Q4 25.</t>
        </r>
      </text>
    </comment>
    <comment ref="J31" authorId="0" shapeId="0" xr:uid="{00000000-0006-0000-0300-000004000000}">
      <text>
        <r>
          <rPr>
            <sz val="10"/>
            <rFont val="Arial"/>
            <family val="2"/>
          </rPr>
          <t>Third-party figure, see note on Q4 25.</t>
        </r>
      </text>
    </comment>
    <comment ref="N31" authorId="0" shapeId="0" xr:uid="{00000000-0006-0000-0300-000006000000}">
      <text>
        <r>
          <rPr>
            <sz val="10"/>
            <rFont val="Arial"/>
            <family val="2"/>
          </rPr>
          <t>Q4 diluted share counts (Q4 23, Q4 24, Q4 25) are from a third-party data provider (VCP Scanner), not a filing. Replace with figures from the Q4 earnings releases if you need them exact. Affects Q4 EPS only.</t>
        </r>
      </text>
    </comment>
    <comment ref="O48" authorId="0" shapeId="0" xr:uid="{00000000-0006-0000-0300-000007000000}">
      <text>
        <r>
          <rPr>
            <sz val="10"/>
            <rFont val="Arial"/>
            <family val="2"/>
          </rPr>
          <t>Q1 26 = 6M 26 litigation add-back of $1,032K (Q2 26 10-Q) less Q2 26 of $594K. Ties to reported Q1 26 Adjusted EBITDA of $2,588K.</t>
        </r>
      </text>
    </comment>
    <comment ref="P48" authorId="0" shapeId="0" xr:uid="{00000000-0006-0000-0300-000008000000}">
      <text>
        <r>
          <rPr>
            <sz val="10"/>
            <rFont val="Arial"/>
            <family val="2"/>
          </rPr>
          <t>Per Q2 26 10-Q non-GAAP reconciliation. Ties to reported Q2 26 Adjusted EBITDA of $19,616K.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9" authorId="0" shapeId="0" xr:uid="{00000000-0006-0000-0400-000001000000}">
      <text>
        <r>
          <rPr>
            <sz val="10"/>
            <rFont val="Arial"/>
            <family val="2"/>
          </rPr>
          <t>Quarter-end balance sheets before Q4 2023 are not included (outside the source documents reviewed). Add from the 2023 10-Qs if needed.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3" authorId="0" shapeId="0" xr:uid="{00000000-0006-0000-0500-000001000000}">
      <text>
        <r>
          <rPr>
            <sz val="10"/>
            <rFont val="Arial"/>
            <family val="2"/>
          </rPr>
          <t>Forecast holds deferred taxes, non-cash lease, accretion and other operating items at zero. Only net income, D&amp;A, SBC and changes in AR, prepaid, AP and accrued liabilities flow through operating cash flow.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6" authorId="0" shapeId="0" xr:uid="{00000000-0006-0000-0600-000001000000}">
      <text>
        <r>
          <rPr>
            <sz val="10"/>
            <rFont val="Arial"/>
            <family val="2"/>
          </rPr>
          <t>2026 items sourced from XBRL tags in the 10-Q; signs converted to cash flow statement presentation (AR, prepaid, accretion and other flipped). Ties to reported CFO.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Andrew Hromada</author>
  </authors>
  <commentList>
    <comment ref="H37" authorId="0" shapeId="0" xr:uid="{FAE7EE31-F30F-4B5D-B589-7277BEDDD8B8}">
      <text>
        <r>
          <rPr>
            <b/>
            <sz val="9"/>
            <color indexed="81"/>
            <rFont val="Tahoma"/>
            <family val="2"/>
          </rPr>
          <t>Andrew Hromada:</t>
        </r>
        <r>
          <rPr>
            <sz val="9"/>
            <color indexed="81"/>
            <rFont val="Tahoma"/>
            <family val="2"/>
          </rPr>
          <t xml:space="preserve">
Source: StockAnalysis.com analyst consensus (unofficial third-party aggregator), retrieved 9/28/26, https://stockanalysis.com/stocks/pubm/forecast/</t>
        </r>
      </text>
    </comment>
    <comment ref="I37" authorId="0" shapeId="0" xr:uid="{A2A559EC-CFC1-4BAC-93B8-3B6F8F3D8057}">
      <text>
        <r>
          <rPr>
            <b/>
            <sz val="9"/>
            <color indexed="81"/>
            <rFont val="Tahoma"/>
            <family val="2"/>
          </rPr>
          <t>Andrew Hromada:</t>
        </r>
        <r>
          <rPr>
            <sz val="9"/>
            <color indexed="81"/>
            <rFont val="Tahoma"/>
            <family val="2"/>
          </rPr>
          <t xml:space="preserve">
Source: StockAnalysis.com analyst consensus (unofficial third-party aggregator), retrieved 9/28/26, https://stockanalysis.com/stocks/pubm/forecast/</t>
        </r>
      </text>
    </comment>
    <comment ref="J37" authorId="0" shapeId="0" xr:uid="{73AB17BE-D72C-4486-B07D-C6229153C02E}">
      <text>
        <r>
          <rPr>
            <b/>
            <sz val="9"/>
            <color indexed="81"/>
            <rFont val="Tahoma"/>
            <family val="2"/>
          </rPr>
          <t>Andrew Hromada:</t>
        </r>
        <r>
          <rPr>
            <sz val="9"/>
            <color indexed="81"/>
            <rFont val="Tahoma"/>
            <family val="2"/>
          </rPr>
          <t xml:space="preserve">
Source: StockAnalysis.com analyst consensus (unofficial third-party aggregator), retrieved 9/28/26, https://stockanalysis.com/stocks/pubm/forecast/</t>
        </r>
      </text>
    </comment>
    <comment ref="K37" authorId="0" shapeId="0" xr:uid="{801B3886-8F01-468B-A3ED-56B3B6C398CB}">
      <text>
        <r>
          <rPr>
            <b/>
            <sz val="9"/>
            <color indexed="81"/>
            <rFont val="Tahoma"/>
            <family val="2"/>
          </rPr>
          <t>Andrew Hromada:</t>
        </r>
        <r>
          <rPr>
            <sz val="9"/>
            <color indexed="81"/>
            <rFont val="Tahoma"/>
            <family val="2"/>
          </rPr>
          <t xml:space="preserve">
Source: StockAnalysis.com analyst consensus (unofficial third-party aggregator), retrieved 9/28/26, https://stockanalysis.com/stocks/pubm/forecast/. Consensus CY26E gross profit $204.18M divided by CY26E revenue.</t>
        </r>
      </text>
    </comment>
    <comment ref="H39" authorId="0" shapeId="0" xr:uid="{33D2232E-865D-4760-8AFF-13E98A5FB64A}">
      <text>
        <r>
          <rPr>
            <b/>
            <sz val="9"/>
            <color indexed="81"/>
            <rFont val="Tahoma"/>
            <family val="2"/>
          </rPr>
          <t>Andrew Hromada:</t>
        </r>
        <r>
          <rPr>
            <sz val="9"/>
            <color indexed="81"/>
            <rFont val="Tahoma"/>
            <family val="2"/>
          </rPr>
          <t xml:space="preserve">
Source: StockAnalysis.com analyst consensus (unofficial third-party aggregator), retrieved 10/1/26, https://stockanalysis.com/stocks/mgni/forecast/</t>
        </r>
      </text>
    </comment>
    <comment ref="I39" authorId="0" shapeId="0" xr:uid="{CFA65C6E-E00B-4EFE-BCBD-C31D7139C153}">
      <text>
        <r>
          <rPr>
            <b/>
            <sz val="9"/>
            <color indexed="81"/>
            <rFont val="Tahoma"/>
            <family val="2"/>
          </rPr>
          <t>Andrew Hromada:</t>
        </r>
        <r>
          <rPr>
            <sz val="9"/>
            <color indexed="81"/>
            <rFont val="Tahoma"/>
            <family val="2"/>
          </rPr>
          <t xml:space="preserve">
Source: StockAnalysis.com analyst consensus (unofficial third-party aggregator), retrieved 10/1/26, https://stockanalysis.com/stocks/mgni/forecast/</t>
        </r>
      </text>
    </comment>
    <comment ref="J39" authorId="0" shapeId="0" xr:uid="{E14813AE-C408-4332-A2B1-5AEE93AF8F18}">
      <text>
        <r>
          <rPr>
            <b/>
            <sz val="9"/>
            <color indexed="81"/>
            <rFont val="Tahoma"/>
            <family val="2"/>
          </rPr>
          <t>Andrew Hromada:</t>
        </r>
        <r>
          <rPr>
            <sz val="9"/>
            <color indexed="81"/>
            <rFont val="Tahoma"/>
            <family val="2"/>
          </rPr>
          <t xml:space="preserve">
Source: StockAnalysis.com analyst consensus (unofficial third-party aggregator), retrieved 10/1/26, https://stockanalysis.com/stocks/mgni/forecast/</t>
        </r>
      </text>
    </comment>
    <comment ref="K39" authorId="0" shapeId="0" xr:uid="{36F60CB2-38DE-4772-A504-D726296BF54A}">
      <text>
        <r>
          <rPr>
            <b/>
            <sz val="9"/>
            <color indexed="81"/>
            <rFont val="Tahoma"/>
            <family val="2"/>
          </rPr>
          <t>Andrew Hromada:</t>
        </r>
        <r>
          <rPr>
            <sz val="9"/>
            <color indexed="81"/>
            <rFont val="Tahoma"/>
            <family val="2"/>
          </rPr>
          <t xml:space="preserve">
Source: StockAnalysis.com analyst consensus (unofficial third-party aggregator), retrieved 10/1/26, https://stockanalysis.com/stocks/mgni/forecast/. Consensus CY26E gross margin.</t>
        </r>
      </text>
    </comment>
    <comment ref="I40" authorId="0" shapeId="0" xr:uid="{2968AFA1-7F23-4229-AABC-3E8407B9A08C}">
      <text>
        <r>
          <rPr>
            <b/>
            <sz val="9"/>
            <color indexed="81"/>
            <rFont val="Tahoma"/>
            <family val="2"/>
          </rPr>
          <t>Andrew Hromada:</t>
        </r>
        <r>
          <rPr>
            <sz val="9"/>
            <color indexed="81"/>
            <rFont val="Tahoma"/>
            <family val="2"/>
          </rPr>
          <t xml:space="preserve">
Source: StockAnalysis.com analyst consensus (unofficial third-party aggregator), retrieved 10/2/26, https://stockanalysis.com/stocks/ttd/forecast/</t>
        </r>
      </text>
    </comment>
    <comment ref="J40" authorId="0" shapeId="0" xr:uid="{862FB42F-2E91-4932-AD7E-20DEC8555664}">
      <text>
        <r>
          <rPr>
            <b/>
            <sz val="9"/>
            <color indexed="81"/>
            <rFont val="Tahoma"/>
            <family val="2"/>
          </rPr>
          <t>Andrew Hromada:</t>
        </r>
        <r>
          <rPr>
            <sz val="9"/>
            <color indexed="81"/>
            <rFont val="Tahoma"/>
            <family val="2"/>
          </rPr>
          <t xml:space="preserve">
Source: StockAnalysis.com analyst consensus (unofficial third-party aggregator), retrieved 10/2/26, https://stockanalysis.com/stocks/ttd/forecast/</t>
        </r>
      </text>
    </comment>
    <comment ref="K40" authorId="0" shapeId="0" xr:uid="{77EB754D-FAE0-4EE8-ADD7-F48DB8292421}">
      <text>
        <r>
          <rPr>
            <b/>
            <sz val="9"/>
            <color indexed="81"/>
            <rFont val="Tahoma"/>
            <family val="2"/>
          </rPr>
          <t>Andrew Hromada:</t>
        </r>
        <r>
          <rPr>
            <sz val="9"/>
            <color indexed="81"/>
            <rFont val="Tahoma"/>
            <family val="2"/>
          </rPr>
          <t xml:space="preserve">
Source: StockAnalysis.com analyst consensus (unofficial third-party aggregator), retrieved 10/2/26, https://stockanalysis.com/stocks/ttd/forecast/. Consensus CY26E gross margin.</t>
        </r>
      </text>
    </comment>
    <comment ref="I41" authorId="0" shapeId="0" xr:uid="{91C001DA-6C3F-4175-BABD-87052EEB5986}">
      <text>
        <r>
          <rPr>
            <b/>
            <sz val="9"/>
            <color indexed="81"/>
            <rFont val="Tahoma"/>
            <family val="2"/>
          </rPr>
          <t>Andrew Hromada:</t>
        </r>
        <r>
          <rPr>
            <sz val="9"/>
            <color indexed="81"/>
            <rFont val="Tahoma"/>
            <family val="2"/>
          </rPr>
          <t xml:space="preserve">
Source: StockAnalysis.com analyst consensus (unofficial third-party aggregator), retrieved 9/24/26, https://stockanalysis.com/stocks/crto/forecast/</t>
        </r>
      </text>
    </comment>
    <comment ref="J41" authorId="0" shapeId="0" xr:uid="{3C83499D-AC8D-472C-99AA-BF83A7339629}">
      <text>
        <r>
          <rPr>
            <b/>
            <sz val="9"/>
            <color indexed="81"/>
            <rFont val="Tahoma"/>
            <family val="2"/>
          </rPr>
          <t>Andrew Hromada:</t>
        </r>
        <r>
          <rPr>
            <sz val="9"/>
            <color indexed="81"/>
            <rFont val="Tahoma"/>
            <family val="2"/>
          </rPr>
          <t xml:space="preserve">
Source: StockAnalysis.com analyst consensus (unofficial third-party aggregator), retrieved 9/24/26, https://stockanalysis.com/stocks/crto/forecast/</t>
        </r>
      </text>
    </comment>
    <comment ref="C42" authorId="0" shapeId="0" xr:uid="{0D619409-9B8E-4694-9D9B-D420E1962236}">
      <text>
        <r>
          <rPr>
            <b/>
            <sz val="9"/>
            <color indexed="81"/>
            <rFont val="Tahoma"/>
            <family val="2"/>
          </rPr>
          <t>Andrew Hromada:</t>
        </r>
        <r>
          <rPr>
            <sz val="9"/>
            <color indexed="81"/>
            <rFont val="Tahoma"/>
            <family val="2"/>
          </rPr>
          <t xml:space="preserve">
Source: StockAnalysis.com statistics (unofficial third-party aggregator), retrieved 9/21/26, https://stockanalysis.com/stocks/dsp/statistics/. Market cap.</t>
        </r>
      </text>
    </comment>
    <comment ref="D42" authorId="0" shapeId="0" xr:uid="{85A66262-7D68-4DED-B2D8-095E9150FD11}">
      <text>
        <r>
          <rPr>
            <b/>
            <sz val="9"/>
            <color indexed="81"/>
            <rFont val="Tahoma"/>
            <family val="2"/>
          </rPr>
          <t>Andrew Hromada:</t>
        </r>
        <r>
          <rPr>
            <sz val="9"/>
            <color indexed="81"/>
            <rFont val="Tahoma"/>
            <family val="2"/>
          </rPr>
          <t xml:space="preserve">
Source: StockAnalysis.com statistics (unofficial third-party aggregator), retrieved 9/21/26, https://stockanalysis.com/stocks/dsp/statistics/. Total debt.</t>
        </r>
      </text>
    </comment>
    <comment ref="F42" authorId="0" shapeId="0" xr:uid="{ECC5C9E1-9888-49F2-ACEA-84297DE0B565}">
      <text>
        <r>
          <rPr>
            <b/>
            <sz val="9"/>
            <color indexed="81"/>
            <rFont val="Tahoma"/>
            <family val="2"/>
          </rPr>
          <t>Andrew Hromada:</t>
        </r>
        <r>
          <rPr>
            <sz val="9"/>
            <color indexed="81"/>
            <rFont val="Tahoma"/>
            <family val="2"/>
          </rPr>
          <t xml:space="preserve">
Source: StockAnalysis.com statistics (unofficial third-party aggregator), retrieved 9/21/26, https://stockanalysis.com/stocks/dsp/statistics/. Cash &amp; equivalents.</t>
        </r>
      </text>
    </comment>
    <comment ref="H42" authorId="0" shapeId="0" xr:uid="{96FB7E53-8FAE-42E3-AEA2-AE53E5A48B6F}">
      <text>
        <r>
          <rPr>
            <b/>
            <sz val="9"/>
            <color indexed="81"/>
            <rFont val="Tahoma"/>
            <family val="2"/>
          </rPr>
          <t>Andrew Hromada:</t>
        </r>
        <r>
          <rPr>
            <sz val="9"/>
            <color indexed="81"/>
            <rFont val="Tahoma"/>
            <family val="2"/>
          </rPr>
          <t xml:space="preserve">
Source: StockAnalysis.com analyst consensus (unofficial third-party aggregator), retrieved 9/28/26, https://stockanalysis.com/stocks/dsp/forecast/</t>
        </r>
      </text>
    </comment>
    <comment ref="I42" authorId="0" shapeId="0" xr:uid="{ACAE735E-8F86-4E72-990C-BBA94A298FEC}">
      <text>
        <r>
          <rPr>
            <b/>
            <sz val="9"/>
            <color indexed="81"/>
            <rFont val="Tahoma"/>
            <family val="2"/>
          </rPr>
          <t>Andrew Hromada:</t>
        </r>
        <r>
          <rPr>
            <sz val="9"/>
            <color indexed="81"/>
            <rFont val="Tahoma"/>
            <family val="2"/>
          </rPr>
          <t xml:space="preserve">
Source: StockAnalysis.com analyst consensus (unofficial third-party aggregator), retrieved 9/28/26, https://stockanalysis.com/stocks/dsp/forecast/</t>
        </r>
      </text>
    </comment>
    <comment ref="J42" authorId="0" shapeId="0" xr:uid="{256EE16C-34FD-4E51-AD28-9FA7EAF8978C}">
      <text>
        <r>
          <rPr>
            <b/>
            <sz val="9"/>
            <color indexed="81"/>
            <rFont val="Tahoma"/>
            <family val="2"/>
          </rPr>
          <t>Andrew Hromada:</t>
        </r>
        <r>
          <rPr>
            <sz val="9"/>
            <color indexed="81"/>
            <rFont val="Tahoma"/>
            <family val="2"/>
          </rPr>
          <t xml:space="preserve">
Source: StockAnalysis.com analyst consensus (unofficial third-party aggregator), retrieved 9/28/26, https://stockanalysis.com/stocks/dsp/forecast/</t>
        </r>
      </text>
    </comment>
    <comment ref="K42" authorId="0" shapeId="0" xr:uid="{B77F38BD-64D6-4B41-88F5-294DD023B4C9}">
      <text>
        <r>
          <rPr>
            <b/>
            <sz val="9"/>
            <color indexed="81"/>
            <rFont val="Tahoma"/>
            <family val="2"/>
          </rPr>
          <t>Andrew Hromada:</t>
        </r>
        <r>
          <rPr>
            <sz val="9"/>
            <color indexed="81"/>
            <rFont val="Tahoma"/>
            <family val="2"/>
          </rPr>
          <t xml:space="preserve">
Source: StockAnalysis.com statistics (unofficial third-party aggregator), retrieved 9/21/26, https://stockanalysis.com/stocks/dsp/statistics/. LTM gross margin (no consensus GP available).</t>
        </r>
      </text>
    </comment>
    <comment ref="M42" authorId="0" shapeId="0" xr:uid="{2F1273AB-3079-417C-873E-6D89B4BB56B4}">
      <text>
        <r>
          <rPr>
            <b/>
            <sz val="9"/>
            <color indexed="81"/>
            <rFont val="Tahoma"/>
            <family val="2"/>
          </rPr>
          <t>Andrew Hromada:</t>
        </r>
        <r>
          <rPr>
            <sz val="9"/>
            <color indexed="81"/>
            <rFont val="Tahoma"/>
            <family val="2"/>
          </rPr>
          <t xml:space="preserve">
Source: Viant Technology Q2 2026 earnings release (8/10/26), adj. EBITDA $14.208M / revenue $104.254M = 13.6%, https://investors.viantinc.com/news-releases/news-release-details/viant-technology-announces-second-quarter-2026-financial-results</t>
        </r>
      </text>
    </comment>
    <comment ref="I43" authorId="0" shapeId="0" xr:uid="{5F961B99-3A68-4383-B29E-F6AB365D11EB}">
      <text>
        <r>
          <rPr>
            <b/>
            <sz val="9"/>
            <color indexed="81"/>
            <rFont val="Tahoma"/>
            <family val="2"/>
          </rPr>
          <t>Andrew Hromada:</t>
        </r>
        <r>
          <rPr>
            <sz val="9"/>
            <color indexed="81"/>
            <rFont val="Tahoma"/>
            <family val="2"/>
          </rPr>
          <t xml:space="preserve">
Source: StockAnalysis.com analyst consensus (unofficial third-party aggregator), retrieved 10/3/26, https://stockanalysis.com/stocks/app/forecast/</t>
        </r>
      </text>
    </comment>
    <comment ref="J43" authorId="0" shapeId="0" xr:uid="{A052264B-117C-4C3E-BFE5-BB4085E83F04}">
      <text>
        <r>
          <rPr>
            <b/>
            <sz val="9"/>
            <color indexed="81"/>
            <rFont val="Tahoma"/>
            <family val="2"/>
          </rPr>
          <t>Andrew Hromada:</t>
        </r>
        <r>
          <rPr>
            <sz val="9"/>
            <color indexed="81"/>
            <rFont val="Tahoma"/>
            <family val="2"/>
          </rPr>
          <t xml:space="preserve">
Source: StockAnalysis.com analyst consensus (unofficial third-party aggregator), retrieved 10/3/26, https://stockanalysis.com/stocks/app/forecast/</t>
        </r>
      </text>
    </comment>
    <comment ref="K43" authorId="0" shapeId="0" xr:uid="{614A23CA-C979-42C1-A9B6-060CBC309C1A}">
      <text>
        <r>
          <rPr>
            <b/>
            <sz val="9"/>
            <color indexed="81"/>
            <rFont val="Tahoma"/>
            <family val="2"/>
          </rPr>
          <t>Andrew Hromada:</t>
        </r>
        <r>
          <rPr>
            <sz val="9"/>
            <color indexed="81"/>
            <rFont val="Tahoma"/>
            <family val="2"/>
          </rPr>
          <t xml:space="preserve">
Source: StockAnalysis.com analyst consensus (unofficial third-party aggregator), retrieved 10/3/26, https://stockanalysis.com/stocks/app/forecast/. Consensus CY26E gross margin.</t>
        </r>
      </text>
    </comment>
    <comment ref="C44" authorId="0" shapeId="0" xr:uid="{9C43CD67-3908-4370-9704-92174F08C5DF}">
      <text>
        <r>
          <rPr>
            <b/>
            <sz val="9"/>
            <color indexed="81"/>
            <rFont val="Tahoma"/>
            <family val="2"/>
          </rPr>
          <t>Andrew Hromada:</t>
        </r>
        <r>
          <rPr>
            <sz val="9"/>
            <color indexed="81"/>
            <rFont val="Tahoma"/>
            <family val="2"/>
          </rPr>
          <t xml:space="preserve">
Source: StockAnalysis.com statistics (unofficial third-party aggregator), retrieved 9/30/26, https://stockanalysis.com/stocks/apps/statistics/. Market cap $1.41B.</t>
        </r>
      </text>
    </comment>
    <comment ref="D44" authorId="0" shapeId="0" xr:uid="{5FAB793E-CC7A-4784-8EE7-FD16DD274886}">
      <text>
        <r>
          <rPr>
            <b/>
            <sz val="9"/>
            <color indexed="81"/>
            <rFont val="Tahoma"/>
            <family val="2"/>
          </rPr>
          <t>Andrew Hromada:</t>
        </r>
        <r>
          <rPr>
            <sz val="9"/>
            <color indexed="81"/>
            <rFont val="Tahoma"/>
            <family val="2"/>
          </rPr>
          <t xml:space="preserve">
Source: StockAnalysis.com statistics (unofficial third-party aggregator), retrieved 9/30/26, https://stockanalysis.com/stocks/apps/statistics/. Total debt.</t>
        </r>
      </text>
    </comment>
    <comment ref="F44" authorId="0" shapeId="0" xr:uid="{0D1B4A7B-AE5B-4F27-B9AC-671D38869B01}">
      <text>
        <r>
          <rPr>
            <b/>
            <sz val="9"/>
            <color indexed="81"/>
            <rFont val="Tahoma"/>
            <family val="2"/>
          </rPr>
          <t>Andrew Hromada:</t>
        </r>
        <r>
          <rPr>
            <sz val="9"/>
            <color indexed="81"/>
            <rFont val="Tahoma"/>
            <family val="2"/>
          </rPr>
          <t xml:space="preserve">
Source: StockAnalysis.com statistics (unofficial third-party aggregator), retrieved 9/30/26, https://stockanalysis.com/stocks/apps/statistics/. Cash &amp; equivalents.</t>
        </r>
      </text>
    </comment>
    <comment ref="H44" authorId="0" shapeId="0" xr:uid="{4592754B-BE47-437C-BB5C-EB17FE39E0DF}">
      <text>
        <r>
          <rPr>
            <b/>
            <sz val="9"/>
            <color indexed="81"/>
            <rFont val="Tahoma"/>
            <family val="2"/>
          </rPr>
          <t>Andrew Hromada:</t>
        </r>
        <r>
          <rPr>
            <sz val="9"/>
            <color indexed="81"/>
            <rFont val="Tahoma"/>
            <family val="2"/>
          </rPr>
          <t xml:space="preserve">
Source: StockAnalysis.com analyst consensus (unofficial third-party aggregator), retrieved 10/1/26, https://stockanalysis.com/stocks/apps/forecast/. FY ending Mar-26.</t>
        </r>
      </text>
    </comment>
    <comment ref="I44" authorId="0" shapeId="0" xr:uid="{D503B35E-0BE0-4B4A-8CB2-7748673A33FA}">
      <text>
        <r>
          <rPr>
            <b/>
            <sz val="9"/>
            <color indexed="81"/>
            <rFont val="Tahoma"/>
            <family val="2"/>
          </rPr>
          <t>Andrew Hromada:</t>
        </r>
        <r>
          <rPr>
            <sz val="9"/>
            <color indexed="81"/>
            <rFont val="Tahoma"/>
            <family val="2"/>
          </rPr>
          <t xml:space="preserve">
Source: StockAnalysis.com analyst consensus (unofficial third-party aggregator), retrieved 10/1/26, https://stockanalysis.com/stocks/apps/forecast/. FY ending Mar-27.</t>
        </r>
      </text>
    </comment>
    <comment ref="J44" authorId="0" shapeId="0" xr:uid="{A4B74BA2-F8A1-4D6C-AF4D-3CB39921B216}">
      <text>
        <r>
          <rPr>
            <b/>
            <sz val="9"/>
            <color indexed="81"/>
            <rFont val="Tahoma"/>
            <family val="2"/>
          </rPr>
          <t>Andrew Hromada:</t>
        </r>
        <r>
          <rPr>
            <sz val="9"/>
            <color indexed="81"/>
            <rFont val="Tahoma"/>
            <family val="2"/>
          </rPr>
          <t xml:space="preserve">
Source: StockAnalysis.com analyst consensus (unofficial third-party aggregator), retrieved 10/1/26, https://stockanalysis.com/stocks/apps/forecast/. FY ending Mar-28.</t>
        </r>
      </text>
    </comment>
    <comment ref="K44" authorId="0" shapeId="0" xr:uid="{701094BF-6775-4F06-96ED-DB091D123492}">
      <text>
        <r>
          <rPr>
            <b/>
            <sz val="9"/>
            <color indexed="81"/>
            <rFont val="Tahoma"/>
            <family val="2"/>
          </rPr>
          <t>Andrew Hromada:</t>
        </r>
        <r>
          <rPr>
            <sz val="9"/>
            <color indexed="81"/>
            <rFont val="Tahoma"/>
            <family val="2"/>
          </rPr>
          <t xml:space="preserve">
Source: StockAnalysis.com analyst consensus (unofficial third-party aggregator), retrieved 10/1/26, https://stockanalysis.com/stocks/apps/forecast/. Consensus FY Mar-27 gross margin.</t>
        </r>
      </text>
    </comment>
    <comment ref="M44" authorId="0" shapeId="0" xr:uid="{D7D50D3F-06A7-44B8-A859-276A13BAC93A}">
      <text>
        <r>
          <rPr>
            <b/>
            <sz val="9"/>
            <color indexed="81"/>
            <rFont val="Tahoma"/>
            <family val="2"/>
          </rPr>
          <t>Andrew Hromada:</t>
        </r>
        <r>
          <rPr>
            <sz val="9"/>
            <color indexed="81"/>
            <rFont val="Tahoma"/>
            <family val="2"/>
          </rPr>
          <t xml:space="preserve">
Source: Digital Turbine 8-K, Q1 FY2027 results (8/4/26): FY2027 adj. EBITDA guidance $145-155M; midpoint $150M divided by CY26E revenue. https://www.sec.gov/Archives/edgar/data/0000317788/000162828026052539/form8-kxexhibit991q1fy2027.htm</t>
        </r>
      </text>
    </comment>
    <comment ref="C45" authorId="0" shapeId="0" xr:uid="{6D720F58-8BBA-4304-8829-EBDCFB51A22B}">
      <text>
        <r>
          <rPr>
            <b/>
            <sz val="9"/>
            <color indexed="81"/>
            <rFont val="Tahoma"/>
            <family val="2"/>
          </rPr>
          <t>Andrew Hromada:</t>
        </r>
        <r>
          <rPr>
            <sz val="9"/>
            <color indexed="81"/>
            <rFont val="Tahoma"/>
            <family val="2"/>
          </rPr>
          <t xml:space="preserve">
Source: StockAnalysis.com statistics (unofficial third-party aggregator), retrieved 9/25/26, https://stockanalysis.com/stocks/peri/statistics/. Market cap.</t>
        </r>
      </text>
    </comment>
    <comment ref="D45" authorId="0" shapeId="0" xr:uid="{0389B6F7-5EAD-4245-BEA9-DEFAD09A0365}">
      <text>
        <r>
          <rPr>
            <b/>
            <sz val="9"/>
            <color indexed="81"/>
            <rFont val="Tahoma"/>
            <family val="2"/>
          </rPr>
          <t>Andrew Hromada:</t>
        </r>
        <r>
          <rPr>
            <sz val="9"/>
            <color indexed="81"/>
            <rFont val="Tahoma"/>
            <family val="2"/>
          </rPr>
          <t xml:space="preserve">
Source: StockAnalysis.com statistics (unofficial third-party aggregator), retrieved 9/25/26, https://stockanalysis.com/stocks/peri/statistics/. Total debt.</t>
        </r>
      </text>
    </comment>
    <comment ref="F45" authorId="0" shapeId="0" xr:uid="{718FF18D-7CC3-4516-A148-C3D1A49CDE4E}">
      <text>
        <r>
          <rPr>
            <b/>
            <sz val="9"/>
            <color indexed="81"/>
            <rFont val="Tahoma"/>
            <family val="2"/>
          </rPr>
          <t>Andrew Hromada:</t>
        </r>
        <r>
          <rPr>
            <sz val="9"/>
            <color indexed="81"/>
            <rFont val="Tahoma"/>
            <family val="2"/>
          </rPr>
          <t xml:space="preserve">
Source: StockAnalysis.com statistics (unofficial third-party aggregator), retrieved 9/25/26, https://stockanalysis.com/stocks/peri/statistics/. Cash &amp; equivalents.</t>
        </r>
      </text>
    </comment>
    <comment ref="H45" authorId="0" shapeId="0" xr:uid="{F3105E27-EFCA-4DB2-B647-753301CF68BF}">
      <text>
        <r>
          <rPr>
            <b/>
            <sz val="9"/>
            <color indexed="81"/>
            <rFont val="Tahoma"/>
            <family val="2"/>
          </rPr>
          <t>Andrew Hromada:</t>
        </r>
        <r>
          <rPr>
            <sz val="9"/>
            <color indexed="81"/>
            <rFont val="Tahoma"/>
            <family val="2"/>
          </rPr>
          <t xml:space="preserve">
Source: StockAnalysis.com analyst consensus (unofficial third-party aggregator), retrieved 9/24/26, https://stockanalysis.com/stocks/peri/forecast/</t>
        </r>
      </text>
    </comment>
    <comment ref="I45" authorId="0" shapeId="0" xr:uid="{46AC702E-4E98-4147-A2F7-92165D451944}">
      <text>
        <r>
          <rPr>
            <b/>
            <sz val="9"/>
            <color indexed="81"/>
            <rFont val="Tahoma"/>
            <family val="2"/>
          </rPr>
          <t>Andrew Hromada:</t>
        </r>
        <r>
          <rPr>
            <sz val="9"/>
            <color indexed="81"/>
            <rFont val="Tahoma"/>
            <family val="2"/>
          </rPr>
          <t xml:space="preserve">
Source: StockAnalysis.com analyst consensus (unofficial third-party aggregator), retrieved 9/24/26, https://stockanalysis.com/stocks/peri/forecast/</t>
        </r>
      </text>
    </comment>
    <comment ref="J45" authorId="0" shapeId="0" xr:uid="{6E4CD991-EB86-4DAF-ADED-EB763860CADE}">
      <text>
        <r>
          <rPr>
            <b/>
            <sz val="9"/>
            <color indexed="81"/>
            <rFont val="Tahoma"/>
            <family val="2"/>
          </rPr>
          <t>Andrew Hromada:</t>
        </r>
        <r>
          <rPr>
            <sz val="9"/>
            <color indexed="81"/>
            <rFont val="Tahoma"/>
            <family val="2"/>
          </rPr>
          <t xml:space="preserve">
Source: StockAnalysis.com analyst consensus (unofficial third-party aggregator), retrieved 9/24/26, https://stockanalysis.com/stocks/peri/forecast/</t>
        </r>
      </text>
    </comment>
    <comment ref="K45" authorId="0" shapeId="0" xr:uid="{AE6F610D-7C74-45EC-B3C6-FF4E06FC96E1}">
      <text>
        <r>
          <rPr>
            <b/>
            <sz val="9"/>
            <color indexed="81"/>
            <rFont val="Tahoma"/>
            <family val="2"/>
          </rPr>
          <t>Andrew Hromada:</t>
        </r>
        <r>
          <rPr>
            <sz val="9"/>
            <color indexed="81"/>
            <rFont val="Tahoma"/>
            <family val="2"/>
          </rPr>
          <t xml:space="preserve">
Source: StockAnalysis.com statistics (unofficial third-party aggregator), retrieved 9/25/26, https://stockanalysis.com/stocks/peri/statistics/. LTM gross margin (no consensus GP available).</t>
        </r>
      </text>
    </comment>
    <comment ref="M45" authorId="0" shapeId="0" xr:uid="{FEDD17B2-7EE3-4995-9722-73A264A9AD76}">
      <text>
        <r>
          <rPr>
            <b/>
            <sz val="9"/>
            <color indexed="81"/>
            <rFont val="Tahoma"/>
            <family val="2"/>
          </rPr>
          <t>Andrew Hromada:</t>
        </r>
        <r>
          <rPr>
            <sz val="9"/>
            <color indexed="81"/>
            <rFont val="Tahoma"/>
            <family val="2"/>
          </rPr>
          <t xml:space="preserve">
Source: Perion Q2 2026 results (8/10/26): FY2026 adj. EBITDA outlook $51-53M; midpoint $52M divided by CY26E revenue. https://www.morningstar.com/news/business-wire/20260810317766/perion-reports-second-quarter-2026-results</t>
        </r>
      </text>
    </comment>
    <comment ref="C46" authorId="0" shapeId="0" xr:uid="{B9C1F6B6-90D5-4864-BC88-7E071C3E4456}">
      <text>
        <r>
          <rPr>
            <b/>
            <sz val="9"/>
            <color indexed="81"/>
            <rFont val="Tahoma"/>
            <family val="2"/>
          </rPr>
          <t>Andrew Hromada:</t>
        </r>
        <r>
          <rPr>
            <sz val="9"/>
            <color indexed="81"/>
            <rFont val="Tahoma"/>
            <family val="2"/>
          </rPr>
          <t xml:space="preserve">
Source: StockAnalysis.com statistics (unofficial third-party aggregator), retrieved 9/30/26, https://stockanalysis.com/stocks/dv/statistics/. Market cap $2.09B.</t>
        </r>
      </text>
    </comment>
    <comment ref="D46" authorId="0" shapeId="0" xr:uid="{42073E4B-D054-491A-AE27-A7A52B2C8D83}">
      <text>
        <r>
          <rPr>
            <b/>
            <sz val="9"/>
            <color indexed="81"/>
            <rFont val="Tahoma"/>
            <family val="2"/>
          </rPr>
          <t>Andrew Hromada:</t>
        </r>
        <r>
          <rPr>
            <sz val="9"/>
            <color indexed="81"/>
            <rFont val="Tahoma"/>
            <family val="2"/>
          </rPr>
          <t xml:space="preserve">
Source: StockAnalysis.com statistics (unofficial third-party aggregator), retrieved 9/30/26, https://stockanalysis.com/stocks/dv/statistics/. Total debt.</t>
        </r>
      </text>
    </comment>
    <comment ref="F46" authorId="0" shapeId="0" xr:uid="{D101A905-4D08-4321-ACE9-0A84AB38938F}">
      <text>
        <r>
          <rPr>
            <b/>
            <sz val="9"/>
            <color indexed="81"/>
            <rFont val="Tahoma"/>
            <family val="2"/>
          </rPr>
          <t>Andrew Hromada:</t>
        </r>
        <r>
          <rPr>
            <sz val="9"/>
            <color indexed="81"/>
            <rFont val="Tahoma"/>
            <family val="2"/>
          </rPr>
          <t xml:space="preserve">
Source: StockAnalysis.com statistics (unofficial third-party aggregator), retrieved 9/30/26, https://stockanalysis.com/stocks/dv/statistics/. Cash &amp; equivalents.</t>
        </r>
      </text>
    </comment>
    <comment ref="H46" authorId="0" shapeId="0" xr:uid="{8F5C9E79-6376-40BC-9E84-8C2819DBFDE5}">
      <text>
        <r>
          <rPr>
            <b/>
            <sz val="9"/>
            <color indexed="81"/>
            <rFont val="Tahoma"/>
            <family val="2"/>
          </rPr>
          <t>Andrew Hromada:</t>
        </r>
        <r>
          <rPr>
            <sz val="9"/>
            <color indexed="81"/>
            <rFont val="Tahoma"/>
            <family val="2"/>
          </rPr>
          <t xml:space="preserve">
Source: StockAnalysis.com analyst consensus (unofficial third-party aggregator), retrieved 9/30/26, https://stockanalysis.com/stocks/dv/forecast/</t>
        </r>
      </text>
    </comment>
    <comment ref="I46" authorId="0" shapeId="0" xr:uid="{7F5B53D0-B8A1-4270-A548-93D85C0C42AA}">
      <text>
        <r>
          <rPr>
            <b/>
            <sz val="9"/>
            <color indexed="81"/>
            <rFont val="Tahoma"/>
            <family val="2"/>
          </rPr>
          <t>Andrew Hromada:</t>
        </r>
        <r>
          <rPr>
            <sz val="9"/>
            <color indexed="81"/>
            <rFont val="Tahoma"/>
            <family val="2"/>
          </rPr>
          <t xml:space="preserve">
Source: StockAnalysis.com analyst consensus (unofficial third-party aggregator), retrieved 9/30/26, https://stockanalysis.com/stocks/dv/forecast/</t>
        </r>
      </text>
    </comment>
    <comment ref="J46" authorId="0" shapeId="0" xr:uid="{7D38FAAC-97D2-4600-8417-5F938F93546F}">
      <text>
        <r>
          <rPr>
            <b/>
            <sz val="9"/>
            <color indexed="81"/>
            <rFont val="Tahoma"/>
            <family val="2"/>
          </rPr>
          <t>Andrew Hromada:</t>
        </r>
        <r>
          <rPr>
            <sz val="9"/>
            <color indexed="81"/>
            <rFont val="Tahoma"/>
            <family val="2"/>
          </rPr>
          <t xml:space="preserve">
Source: StockAnalysis.com analyst consensus (unofficial third-party aggregator), retrieved 9/30/26, https://stockanalysis.com/stocks/dv/forecast/</t>
        </r>
      </text>
    </comment>
    <comment ref="K46" authorId="0" shapeId="0" xr:uid="{7105976B-1552-49C4-9A71-00E721789419}">
      <text>
        <r>
          <rPr>
            <b/>
            <sz val="9"/>
            <color indexed="81"/>
            <rFont val="Tahoma"/>
            <family val="2"/>
          </rPr>
          <t>Andrew Hromada:</t>
        </r>
        <r>
          <rPr>
            <sz val="9"/>
            <color indexed="81"/>
            <rFont val="Tahoma"/>
            <family val="2"/>
          </rPr>
          <t xml:space="preserve">
Source: StockAnalysis.com analyst consensus (unofficial third-party aggregator), retrieved 9/30/26, https://stockanalysis.com/stocks/dv/forecast/. Consensus CY26E gross margin.</t>
        </r>
      </text>
    </comment>
    <comment ref="M46" authorId="0" shapeId="0" xr:uid="{56471973-76DE-4589-B9D1-C2CE9FA5FA4D}">
      <text>
        <r>
          <rPr>
            <b/>
            <sz val="9"/>
            <color indexed="81"/>
            <rFont val="Tahoma"/>
            <family val="2"/>
          </rPr>
          <t>Andrew Hromada:</t>
        </r>
        <r>
          <rPr>
            <sz val="9"/>
            <color indexed="81"/>
            <rFont val="Tahoma"/>
            <family val="2"/>
          </rPr>
          <t xml:space="preserve">
Source: DoubleVerify 8-K, Q1 2026 results (5/6/26): FY2026 adj. EBITDA margin guidance ~34% (withdrawn 8/6/26 on Nielsen deal). https://www.sec.gov/Archives/edgar/data/0001819928/000110465926056247/dv-20260506xex99d1.htm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tc={490EAFBD-B3B6-4D9F-8D22-ADCE975E7213}</author>
    <author>tc={15988243-16E7-4410-A4D9-EF437790AA6F}</author>
    <author>tc={049029B8-E095-427E-95F6-077DF8F200B2}</author>
    <author>tc={B2403D24-9104-4C5F-8608-EF5DCF3EBC15}</author>
    <author>tc={BB0BF06A-0A98-48E3-9D36-2C51F465A53B}</author>
    <author>tc={F970C2F7-389C-48DA-9124-6EFF704E1F20}</author>
    <author>tc={38AE9D7E-93DA-42AC-90A6-CAC6552AE0CA}</author>
    <author>tc={E591A323-7778-47C2-AF05-2E8441A31E50}</author>
  </authors>
  <commentList>
    <comment ref="AR4" authorId="0" shapeId="0" xr:uid="{490EAFBD-B3B6-4D9F-8D22-ADCE975E7213}">
      <text>
        <t>[Threaded comment]
Your version of Excel allows you to read this threaded comment; however, any edits to it will get removed if the file is opened in a newer version of Excel. Learn more: https://go.microsoft.com/fwlink/?linkid=870924
Comment:
    Source: SEC EDGAR 8-K Ex. 99.1 earnings release, https://www.sec.gov/Archives/edgar/data/1422930/000142293025000048/q325pressrelease.htm</t>
      </text>
    </comment>
    <comment ref="AR5" authorId="1" shapeId="0" xr:uid="{15988243-16E7-4410-A4D9-EF437790AA6F}">
      <text>
        <t>[Threaded comment]
Your version of Excel allows you to read this threaded comment; however, any edits to it will get removed if the file is opened in a newer version of Excel. Learn more: https://go.microsoft.com/fwlink/?linkid=870924
Comment:
    Source: SEC EDGAR 8-K Ex. 99.1 earnings release, https://www.sec.gov/Archives/edgar/data/1422930/000142293026000008/fy25pressrelease.htm</t>
      </text>
    </comment>
    <comment ref="AR6" authorId="2" shapeId="0" xr:uid="{049029B8-E095-427E-95F6-077DF8F200B2}">
      <text>
        <t>[Threaded comment]
Your version of Excel allows you to read this threaded comment; however, any edits to it will get removed if the file is opened in a newer version of Excel. Learn more: https://go.microsoft.com/fwlink/?linkid=870924
Comment:
    Source: SEC EDGAR 8-K Ex. 99.1 earnings release, https://www.sec.gov/Archives/edgar/data/0001422930/000142293026000023/q126pressrelease.htm</t>
      </text>
    </comment>
    <comment ref="AR7" authorId="3" shapeId="0" xr:uid="{B2403D24-9104-4C5F-8608-EF5DCF3EBC15}">
      <text>
        <t>[Threaded comment]
Your version of Excel allows you to read this threaded comment; however, any edits to it will get removed if the file is opened in a newer version of Excel. Learn more: https://go.microsoft.com/fwlink/?linkid=870924
Comment:
    Source: SEC EDGAR 8-K Ex. 99.1 earnings release, https://www.sec.gov/Archives/edgar/data/0001422930/000142293026000029/q226pressrelease.htm</t>
      </text>
    </comment>
    <comment ref="AR8" authorId="4" shapeId="0" xr:uid="{BB0BF06A-0A98-48E3-9D36-2C51F465A53B}">
      <text>
        <t>[Threaded comment]
Your version of Excel allows you to read this threaded comment; however, any edits to it will get removed if the file is opened in a newer version of Excel. Learn more: https://go.microsoft.com/fwlink/?linkid=870924
Comment:
    Source: SEC EDGAR 8-K Ex. 99.1 earnings release, https://www.sec.gov/Archives/edgar/data/1671933/000167193325000143/ttd-20251106x8kexx991.htm</t>
      </text>
    </comment>
    <comment ref="AR9" authorId="5" shapeId="0" xr:uid="{F970C2F7-389C-48DA-9124-6EFF704E1F20}">
      <text>
        <t>[Threaded comment]
Your version of Excel allows you to read this threaded comment; however, any edits to it will get removed if the file is opened in a newer version of Excel. Learn more: https://go.microsoft.com/fwlink/?linkid=870924
Comment:
    Source: SEC EDGAR 8-K Ex. 99.1 earnings release, https://www.sec.gov/Archives/edgar/data/1671933/000167193326000009/ttd-20260225x8kexx991.htm</t>
      </text>
    </comment>
    <comment ref="AR10" authorId="6" shapeId="0" xr:uid="{38AE9D7E-93DA-42AC-90A6-CAC6552AE0CA}">
      <text>
        <t>[Threaded comment]
Your version of Excel allows you to read this threaded comment; however, any edits to it will get removed if the file is opened in a newer version of Excel. Learn more: https://go.microsoft.com/fwlink/?linkid=870924
Comment:
    Source: SEC EDGAR 8-K Ex. 99.1 earnings release, https://www.sec.gov/Archives/edgar/data/0001671933/000167193326000053/ttd-20260507x8kexx991.htm</t>
      </text>
    </comment>
    <comment ref="AR11" authorId="7" shapeId="0" xr:uid="{E591A323-7778-47C2-AF05-2E8441A31E50}">
      <text>
        <t>[Threaded comment]
Your version of Excel allows you to read this threaded comment; however, any edits to it will get removed if the file is opened in a newer version of Excel. Learn more: https://go.microsoft.com/fwlink/?linkid=870924
Comment:
    Source: SEC EDGAR 8-K Ex. 99.1 earnings release, https://www.sec.gov/Archives/edgar/data/0001671933/000167193326000085/ttd-20260806x8kexx991.htm</t>
      </text>
    </comment>
  </commentList>
</comments>
</file>

<file path=xl/sharedStrings.xml><?xml version="1.0" encoding="utf-8"?>
<sst xmlns="http://schemas.openxmlformats.org/spreadsheetml/2006/main" count="1360" uniqueCount="723">
  <si>
    <t>PubMatic, Inc. (NASDAQ: PUBM) Financial Model</t>
  </si>
  <si>
    <t>Quarterly history Q1 2023 to Q2 2026, annual roll-up FY2023 to FY2025, forecast infrastructure Q3 2026 to Q4 2028. All figures in $ thousands unless noted.</t>
  </si>
  <si>
    <t>HOW TO USE</t>
  </si>
  <si>
    <t>1. Go to Drivers</t>
  </si>
  <si>
    <t>Enter your assumptions in the yellow cells (columns P to Y, Q3 2026 to Q4 2028). They are placeholders today so the model runs; nothing is a recommendation.</t>
  </si>
  <si>
    <t>2. Read the statements</t>
  </si>
  <si>
    <t>Income Statement, Balance Sheet and Cash Flow update automatically. Forecast columns have teal headers; actual columns have navy headers. Annual columns are on the right.</t>
  </si>
  <si>
    <t>3. Check the Checks tab</t>
  </si>
  <si>
    <t>B8 should read ALL CHECKS PASS. The balance sheet balances by construction, and history ties to filings.</t>
  </si>
  <si>
    <t>4. Use Summary</t>
  </si>
  <si>
    <t>One page of annual figures for FY2023A to FY2028E.</t>
  </si>
  <si>
    <t>COLOR LEGEND</t>
  </si>
  <si>
    <t>Blue text</t>
  </si>
  <si>
    <t>Hardcoded input (historical figures from filings, or your forecast assumptions)</t>
  </si>
  <si>
    <t>Black text</t>
  </si>
  <si>
    <t>Formula on the same sheet</t>
  </si>
  <si>
    <t>Green text</t>
  </si>
  <si>
    <t>Link to another sheet</t>
  </si>
  <si>
    <t>Yellow fill</t>
  </si>
  <si>
    <t>Forecast input cell for you to edit (Drivers tab)</t>
  </si>
  <si>
    <t>TABS</t>
  </si>
  <si>
    <t>Summary</t>
  </si>
  <si>
    <t>Annual snapshot FY2023A to FY2028E.</t>
  </si>
  <si>
    <t>Drivers</t>
  </si>
  <si>
    <t>All forecast assumptions in one place, with the same metric shown historically for context. Column AH explains how each driver is used.</t>
  </si>
  <si>
    <t>Income Statement</t>
  </si>
  <si>
    <t>Quarterly and annual P&amp;L, growth and margin analysis, Adjusted EBITDA reconciliation, SBC and D&amp;A memo lines.</t>
  </si>
  <si>
    <t>Balance Sheet</t>
  </si>
  <si>
    <t>Quarter-end balance sheet from Q4 2023, with working capital metrics. Annual columns show year-end balances.</t>
  </si>
  <si>
    <t>Cash Flow</t>
  </si>
  <si>
    <t>Full cash flow statement by quarter, derived from year-to-date filings for history, and free cash flow.</t>
  </si>
  <si>
    <t>CF YTD Inputs</t>
  </si>
  <si>
    <t>Cash flow statement as filed (year-to-date). Feeds the quarterly Cash Flow tab. Includes tie-out to reported totals.</t>
  </si>
  <si>
    <t>10-K Data</t>
  </si>
  <si>
    <t>FY2023 to FY2025 as reported in the FY2025 10-K. Used to derive Q4 and to tie out annual totals.</t>
  </si>
  <si>
    <t>Checks</t>
  </si>
  <si>
    <t>Balance sheet, cash, net income, Adjusted EBITDA and annual tie-outs.</t>
  </si>
  <si>
    <t>Comps</t>
  </si>
  <si>
    <t>Q2 2026 and 6M 2026 benchmarking vs Magnite, The Trade Desk, Criteo and AppLovin, with infrastructure intensity and hosting model (owned vs cloud).</t>
  </si>
  <si>
    <t>FORECAST MECHANICS</t>
  </si>
  <si>
    <t>Revenue and expenses</t>
  </si>
  <si>
    <t>Each line = same quarter last year x (1 + YoY growth). This preserves the strong Q4 seasonality without a separate seasonal factor.</t>
  </si>
  <si>
    <t>Below the line</t>
  </si>
  <si>
    <t>Interest income = prior quarter cash and securities x yield / 4. Taxes = pretax income x effective rate. EPS = net income / diluted shares.</t>
  </si>
  <si>
    <t>Balance sheet</t>
  </si>
  <si>
    <t>Cash flow</t>
  </si>
  <si>
    <t>Net income + D&amp;A + SBC + working capital changes, less capex and capitalized software, less buybacks, plus option/ESPP proceeds. Cash is the plug that ties the balance sheet.</t>
  </si>
  <si>
    <t>Adjusted EBITDA</t>
  </si>
  <si>
    <t>Company definition: net income + SBC + D&amp;A + litigation-related expenses - interest income + income taxes. Other income (expense), including FX, is not added back.</t>
  </si>
  <si>
    <t>SOURCES</t>
  </si>
  <si>
    <t>FY2025 Form 10-K</t>
  </si>
  <si>
    <t>Filed Feb 26, 2026. FY2023 to FY2025 income statement, cash flow, SBC by line, Adjusted EBITDA, 12/31/25 and 12/31/24 balance sheets, impressions processed.</t>
  </si>
  <si>
    <t>Form 10-Q</t>
  </si>
  <si>
    <t>Q2 2026 10-Q (filed Aug 6, 2026) also supplies the Q2 26 Adjusted EBITDA reconciliation and litigation add-back.</t>
  </si>
  <si>
    <t>8-K earnings releases</t>
  </si>
  <si>
    <t>Q1, Q2, Q3 2024 (2023 and 2024 quarters and balance sheets), Q1, Q2, Q3 2025 (2025 quarters and balance sheets). Exhibit 99.1 on sec.gov.</t>
  </si>
  <si>
    <t>Q1 2026 (filed May 2026) and Q2 2026 (filed Aug 6, 2026).</t>
  </si>
  <si>
    <t>Q4 figures</t>
  </si>
  <si>
    <t>Not filed separately. Q4 = full year (10-K) less the first three quarters, for every income statement, SBC and cash flow line.</t>
  </si>
  <si>
    <t>KNOWN LIMITATIONS AND FLAGS</t>
  </si>
  <si>
    <t>Balance sheet history</t>
  </si>
  <si>
    <t>Quarter-end balance sheets for Q1 to Q3 2023 are not included. History starts at Q4 2023.</t>
  </si>
  <si>
    <t>Q4 diluted shares</t>
  </si>
  <si>
    <t>Q4 2023, Q4 2024 and Q4 2025 diluted share counts come from a third-party data provider, not a filing. Q4 EPS is the only line affected. Q4 basic shares are approximated (4 x FY less Q1 to Q3).</t>
  </si>
  <si>
    <t>Q4 basic shares</t>
  </si>
  <si>
    <t>Q4 basic share counts are approximated as 4 x FY weighted average less Q1 to Q3, since quarterly figures are not reported separately in the 10-K.</t>
  </si>
  <si>
    <t>Placeholders</t>
  </si>
  <si>
    <t>Every yellow driver value is a placeholder, not a forecast recommendation.</t>
  </si>
  <si>
    <t>Operating items held at zero</t>
  </si>
  <si>
    <t>Deferred taxes, non-cash lease expense, accretion and lease liability changes are not forecast. Leases are held flat.</t>
  </si>
  <si>
    <t>PubMatic, Inc. (NASDAQ: PUBM): Annual Summary</t>
  </si>
  <si>
    <t>$ in thousands except per share. FY2026E combines two reported quarters (Q1, Q2) and two forecast quarters. Links to the annual roll-up columns on each statement.</t>
  </si>
  <si>
    <t>Fiscal year</t>
  </si>
  <si>
    <t>FY2023A</t>
  </si>
  <si>
    <t>FY2024A</t>
  </si>
  <si>
    <t>FY2025A</t>
  </si>
  <si>
    <t>FY2026E</t>
  </si>
  <si>
    <t>FY2027E</t>
  </si>
  <si>
    <t>FY2028E</t>
  </si>
  <si>
    <t>Status</t>
  </si>
  <si>
    <t>Actual</t>
  </si>
  <si>
    <t>2A + 2E</t>
  </si>
  <si>
    <t>Forecast</t>
  </si>
  <si>
    <t>Income statement</t>
  </si>
  <si>
    <t>Revenue</t>
  </si>
  <si>
    <t xml:space="preserve">  Growth, YoY %</t>
  </si>
  <si>
    <t>Gross profit</t>
  </si>
  <si>
    <t xml:space="preserve">  Gross margin %</t>
  </si>
  <si>
    <t>Total operating expenses</t>
  </si>
  <si>
    <t>Operating income (loss)</t>
  </si>
  <si>
    <t xml:space="preserve">  Operating margin %</t>
  </si>
  <si>
    <t>Net income (loss)</t>
  </si>
  <si>
    <t>EPS, GAAP diluted ($)</t>
  </si>
  <si>
    <t>Non-GAAP and cash flow</t>
  </si>
  <si>
    <t xml:space="preserve">  Adjusted EBITDA margin %</t>
  </si>
  <si>
    <t>Stock-based compensation</t>
  </si>
  <si>
    <t>Depreciation and amortization</t>
  </si>
  <si>
    <t>Net cash from operating activities</t>
  </si>
  <si>
    <t>Free cash flow</t>
  </si>
  <si>
    <t xml:space="preserve">  Free cash flow margin %</t>
  </si>
  <si>
    <t>Share repurchases (cash outflow)</t>
  </si>
  <si>
    <t>Balance sheet (year-end)</t>
  </si>
  <si>
    <t>Cash and marketable securities</t>
  </si>
  <si>
    <t>Accounts receivable, net</t>
  </si>
  <si>
    <t>Accounts payable</t>
  </si>
  <si>
    <t>Total stockholders' equity</t>
  </si>
  <si>
    <t>Drivers: forecast assumptions</t>
  </si>
  <si>
    <t>Yellow cells with blue text are your forecast inputs (Q3 2026 to Q4 2028). All values are PLACEHOLDERS to keep the model running; replace them with your own view. History (black) shows the same metric for reference.</t>
  </si>
  <si>
    <t>Period</t>
  </si>
  <si>
    <t>Q1'23</t>
  </si>
  <si>
    <t>Q2'23</t>
  </si>
  <si>
    <t>Q3'23</t>
  </si>
  <si>
    <t>Q4'23</t>
  </si>
  <si>
    <t>Q1'24</t>
  </si>
  <si>
    <t>Q2'24</t>
  </si>
  <si>
    <t>Q3'24</t>
  </si>
  <si>
    <t>Q4'24</t>
  </si>
  <si>
    <t>Q1'25</t>
  </si>
  <si>
    <t>Q2'25</t>
  </si>
  <si>
    <t>Q3'25</t>
  </si>
  <si>
    <t>Q4'25</t>
  </si>
  <si>
    <t>Q1'26</t>
  </si>
  <si>
    <t>Q2'26</t>
  </si>
  <si>
    <t>Q3'26</t>
  </si>
  <si>
    <t>Q4'26</t>
  </si>
  <si>
    <t>Q1'27</t>
  </si>
  <si>
    <t>Q2'27</t>
  </si>
  <si>
    <t>Q3'27</t>
  </si>
  <si>
    <t>Q4'27</t>
  </si>
  <si>
    <t>Q1'28</t>
  </si>
  <si>
    <t>Q2'28</t>
  </si>
  <si>
    <t>Q3'28</t>
  </si>
  <si>
    <t>Q4'28</t>
  </si>
  <si>
    <t>How this driver is used</t>
  </si>
  <si>
    <t>Period end</t>
  </si>
  <si>
    <t>Revenue and expense growth (forecast: enter YoY growth vs the same quarter last year)</t>
  </si>
  <si>
    <t>Revenue growth, YoY %</t>
  </si>
  <si>
    <t>Forecast revenue = same quarter last year x (1 + growth). This keeps seasonality (Q4 is the peak quarter). Recent actuals: Q1 26 -2%, Q2 26 +11%. Placeholder 10%.</t>
  </si>
  <si>
    <t>Cost of revenue growth, YoY %</t>
  </si>
  <si>
    <t>Cost of revenue is largely fixed (data centers, D&amp;A of platform). Modeled as YoY growth rather than % of revenue. Placeholder 3%.</t>
  </si>
  <si>
    <t>Technology and development growth, YoY %</t>
  </si>
  <si>
    <t>Same-quarter YoY growth. Placeholder 3%.</t>
  </si>
  <si>
    <t>Sales and marketing growth, YoY %</t>
  </si>
  <si>
    <t>Same-quarter YoY growth. Placeholder 4%.</t>
  </si>
  <si>
    <t>General and administrative growth, YoY %</t>
  </si>
  <si>
    <t>Non-cash items, other income and taxes</t>
  </si>
  <si>
    <t>Depreciation and amortization, % of revenue</t>
  </si>
  <si>
    <t>Total D&amp;A (embedded in cost of revenue and opex) as % of revenue. Feeds Adjusted EBITDA, cash flow and PP&amp;E roll-forward. Q2 26 actual 12.7%. Placeholder 12.5%.</t>
  </si>
  <si>
    <t>Stock-based compensation, % of revenue</t>
  </si>
  <si>
    <t>Total SBC as % of revenue. Feeds Adjusted EBITDA, cash flow and APIC. Q2 26 actual 10.6%. Placeholder 11%.</t>
  </si>
  <si>
    <t>Litigation-related add-back to Adjusted EBITDA ($000s)</t>
  </si>
  <si>
    <t>Litigation-related expenses added back in company-defined Adjusted EBITDA. Placeholder 0.</t>
  </si>
  <si>
    <t>Interest yield on prior-quarter cash + securities (annualized %)</t>
  </si>
  <si>
    <t>Interest income = prior quarter-end (cash + marketable securities) x yield / 4. Uses prior period balance to avoid circularity. Q2 26 actual about 3.3%.</t>
  </si>
  <si>
    <t>Other income (expense), net ($000s)</t>
  </si>
  <si>
    <t>Other income (expense), mainly FX. Placeholder 0.</t>
  </si>
  <si>
    <t>Effective tax rate %</t>
  </si>
  <si>
    <t>Tax provision = pretax income x rate. Reported quarterly rates are volatile (Q2 26 was 164% on small pretax income). Placeholder 21%.</t>
  </si>
  <si>
    <t>Weighted-average diluted shares (000s)</t>
  </si>
  <si>
    <t>Weighted-average diluted shares used for forecast EPS. Placeholder holds Q2 26 flat; lower it to reflect buybacks.</t>
  </si>
  <si>
    <t>Working capital and balance sheet</t>
  </si>
  <si>
    <t>Prepaid expenses and other current assets ($000s)</t>
  </si>
  <si>
    <t>Balance held flat at Q2 26 level. Overwrite with your own balance.</t>
  </si>
  <si>
    <t>Marketable securities balance ($000s)</t>
  </si>
  <si>
    <t>Marketable securities balance held flat. Changes flow through investing cash flow.</t>
  </si>
  <si>
    <t>Capital expenditures and capital allocation ($000s, enter as positive numbers)</t>
  </si>
  <si>
    <t>Purchases of property and equipment</t>
  </si>
  <si>
    <t>Cash purchases of PP&amp;E. Q1 26 and Q2 26 actuals were $0.0M and $3.0M. Placeholder $3.5M per quarter.</t>
  </si>
  <si>
    <t>Capitalized software development costs</t>
  </si>
  <si>
    <t>Cash capitalized internal-use software. Recent run rate about $5M per quarter. Placeholder $5.0M.</t>
  </si>
  <si>
    <t>Amortization of acquisition-related intangibles (included in D&amp;A)</t>
  </si>
  <si>
    <t>Intangible amortization per the Q2 26 10-Q schedule: $790K for the rest of 2026, $1,124K in 2027, then nil. Included in total D&amp;A.</t>
  </si>
  <si>
    <t>Share repurchases</t>
  </si>
  <si>
    <t>Cash spent on repurchases. $63.6M of authorization remained at 6/30/26 and the program expires 12/31/26 unless extended. Placeholder $10M per quarter assumes an extension.</t>
  </si>
  <si>
    <t>Proceeds from option exercises and ESPP</t>
  </si>
  <si>
    <t>Proceeds from option exercises and ESPP. H1 26 actual about $1.9M. Placeholder $1M per quarter.</t>
  </si>
  <si>
    <t>Impressions processed (trillions)</t>
  </si>
  <si>
    <t>From the FY2025 10-K. 2023 and 2026 quarters not disclosed in the documents reviewed; enter if you have them.</t>
  </si>
  <si>
    <t>Revenue per million impressions ($)</t>
  </si>
  <si>
    <t>Revenue divided by impressions processed.</t>
  </si>
  <si>
    <t>Cost of revenue per million impressions ($)</t>
  </si>
  <si>
    <t>Cost of revenue divided by impressions processed.</t>
  </si>
  <si>
    <t>PubMatic, Inc. (NASDAQ: PUBM): Income Statement</t>
  </si>
  <si>
    <t>$ in thousands except per share. Fiscal year ends Dec 31. Actuals through Q2 2026; forecast from Q3 2026. Q4 actuals = full year (10-K) less Q1 to Q3.</t>
  </si>
  <si>
    <t>Income statement ($ in thousands, except per share)</t>
  </si>
  <si>
    <t>Cost of revenue</t>
  </si>
  <si>
    <t>Gross margin %</t>
  </si>
  <si>
    <t>Technology and development</t>
  </si>
  <si>
    <t>Sales and marketing</t>
  </si>
  <si>
    <t>General and administrative</t>
  </si>
  <si>
    <t>Operating margin %</t>
  </si>
  <si>
    <t>Interest income</t>
  </si>
  <si>
    <t>Other income (expense), net</t>
  </si>
  <si>
    <t>Total other income, net</t>
  </si>
  <si>
    <t>Income (loss) before income taxes</t>
  </si>
  <si>
    <t>Provision for (benefit from) income taxes</t>
  </si>
  <si>
    <t>Net margin %</t>
  </si>
  <si>
    <t>Weighted-average shares, basic (000s)</t>
  </si>
  <si>
    <t>Weighted-average shares, diluted (000s)</t>
  </si>
  <si>
    <t>Growth and margin analysis</t>
  </si>
  <si>
    <t>Revenue growth, QoQ %</t>
  </si>
  <si>
    <t>Gross profit growth, YoY %</t>
  </si>
  <si>
    <t>Cost of revenue, % of revenue</t>
  </si>
  <si>
    <t>Technology and development, % of revenue</t>
  </si>
  <si>
    <t>Sales and marketing, % of revenue</t>
  </si>
  <si>
    <t>General and administrative, % of revenue</t>
  </si>
  <si>
    <t>Total operating expenses, % of revenue</t>
  </si>
  <si>
    <t>Adjusted EBITDA reconciliation (company definition)</t>
  </si>
  <si>
    <t>Plus: stock-based compensation</t>
  </si>
  <si>
    <t>Plus: depreciation and amortization</t>
  </si>
  <si>
    <t>Plus: litigation-related expenses</t>
  </si>
  <si>
    <t>Less: interest income</t>
  </si>
  <si>
    <t>Plus: provision for (benefit from) income taxes</t>
  </si>
  <si>
    <t>Adjusted EBITDA margin %</t>
  </si>
  <si>
    <t>Memo: stock-based compensation by line item</t>
  </si>
  <si>
    <t>Total stock-based compensation</t>
  </si>
  <si>
    <t>Memo: depreciation and amortization</t>
  </si>
  <si>
    <t>Total depreciation and amortization</t>
  </si>
  <si>
    <t>PubMatic, Inc. (NASDAQ: PUBM): Balance Sheet</t>
  </si>
  <si>
    <t>$ in thousands. Quarter-end balances. History begins Q4 2023; forecast balances are driven by the Drivers tab and the cash flow statement. Annual columns show year-end balances.</t>
  </si>
  <si>
    <t>Assets ($ in thousands, quarter-end)</t>
  </si>
  <si>
    <t>Cash and cash equivalents</t>
  </si>
  <si>
    <t>n/a</t>
  </si>
  <si>
    <t>Marketable securities</t>
  </si>
  <si>
    <t>Prepaid expenses and other current assets</t>
  </si>
  <si>
    <t>Total current assets</t>
  </si>
  <si>
    <t>Property, equipment and software, net</t>
  </si>
  <si>
    <t>Operating lease right-of-use assets</t>
  </si>
  <si>
    <t>Acquisition-related intangible assets, net</t>
  </si>
  <si>
    <t>Goodwill</t>
  </si>
  <si>
    <t>Deferred income tax asset</t>
  </si>
  <si>
    <t>Other assets, non-current</t>
  </si>
  <si>
    <t>TOTAL ASSETS</t>
  </si>
  <si>
    <t>Liabilities and stockholders equity</t>
  </si>
  <si>
    <t>Accrued liabilities</t>
  </si>
  <si>
    <t>Operating lease liabilities, current</t>
  </si>
  <si>
    <t>Total current liabilities</t>
  </si>
  <si>
    <t>Operating lease liabilities, non-current</t>
  </si>
  <si>
    <t>Other liabilities, non-current</t>
  </si>
  <si>
    <t>TOTAL LIABILITIES</t>
  </si>
  <si>
    <t>Common stock</t>
  </si>
  <si>
    <t>Treasury stock, at cost</t>
  </si>
  <si>
    <t>Additional paid-in capital</t>
  </si>
  <si>
    <t>Accumulated other comprehensive income (loss)</t>
  </si>
  <si>
    <t>Retained earnings</t>
  </si>
  <si>
    <t>TOTAL STOCKHOLDERS' EQUITY</t>
  </si>
  <si>
    <t>TOTAL LIABILITIES AND STOCKHOLDERS' EQUITY</t>
  </si>
  <si>
    <t>Balance check (assets less liabilities and equity)</t>
  </si>
  <si>
    <t>Working capital and liquidity metrics</t>
  </si>
  <si>
    <t>Net working capital (current assets less current liabilities)</t>
  </si>
  <si>
    <t>PubMatic, Inc. (NASDAQ: PUBM): Cash Flow Statement</t>
  </si>
  <si>
    <t>$ in thousands. Actual quarters are derived from year-to-date filings (see CF YTD Inputs). Forecast cash flow is built from the income statement, balance sheet drivers and capital allocation inputs.</t>
  </si>
  <si>
    <t>Cash flow from operating activities ($ in thousands)</t>
  </si>
  <si>
    <t>Provision for doubtful accounts</t>
  </si>
  <si>
    <t>Deferred income taxes</t>
  </si>
  <si>
    <t>Accretion of discount on marketable securities</t>
  </si>
  <si>
    <t>Non-cash operating lease expense</t>
  </si>
  <si>
    <t>Other non-cash items</t>
  </si>
  <si>
    <t>Change in accounts receivable</t>
  </si>
  <si>
    <t>Change in prepaid expenses and other assets</t>
  </si>
  <si>
    <t>Change in accounts payable</t>
  </si>
  <si>
    <t>Change in accrued liabilities</t>
  </si>
  <si>
    <t>Change in operating lease liabilities</t>
  </si>
  <si>
    <t>Change in other liabilities, non-current</t>
  </si>
  <si>
    <t>Net cash provided by operating activities</t>
  </si>
  <si>
    <t>Cash flow from investing activities</t>
  </si>
  <si>
    <t>Purchases of marketable securities</t>
  </si>
  <si>
    <t>Proceeds from sales of marketable securities</t>
  </si>
  <si>
    <t>Proceeds from maturities of marketable securities</t>
  </si>
  <si>
    <t>Net marketable securities activity</t>
  </si>
  <si>
    <t>Purchase of equity investments</t>
  </si>
  <si>
    <t>Net cash provided by (used in) investing activities</t>
  </si>
  <si>
    <t>Cash flow from financing activities</t>
  </si>
  <si>
    <t>Payment of acquisition indemnification holdback</t>
  </si>
  <si>
    <t>Proceeds from employee stock purchase plan</t>
  </si>
  <si>
    <t>Proceeds from exercise of stock options</t>
  </si>
  <si>
    <t>Principal payments on finance leases</t>
  </si>
  <si>
    <t>Payments to acquire treasury stock (buybacks)</t>
  </si>
  <si>
    <t>Net cash used in financing activities</t>
  </si>
  <si>
    <t>Cash reconciliation</t>
  </si>
  <si>
    <t>Net increase (decrease) in cash</t>
  </si>
  <si>
    <t>Effect of foreign currency on cash</t>
  </si>
  <si>
    <t>Cash, beginning of period</t>
  </si>
  <si>
    <t>Cash, end of period</t>
  </si>
  <si>
    <t>Free cash flow (company definition: CFO less PP&amp;E purchases and capitalized software)</t>
  </si>
  <si>
    <t>Free cash flow margin %</t>
  </si>
  <si>
    <t>Free cash flow / Adjusted EBITDA</t>
  </si>
  <si>
    <t>CF YTD Inputs: cash flow statement as reported, year-to-date</t>
  </si>
  <si>
    <t>Sources: 8-K earnings releases (Q1 to Q3), 10-K (FY), 10-Q (2026). Inflows positive. The Cash Flow tab derives each quarter as YTD less prior YTD.</t>
  </si>
  <si>
    <t>Period (YTD)</t>
  </si>
  <si>
    <t>3M'23</t>
  </si>
  <si>
    <t>6M'23</t>
  </si>
  <si>
    <t>9M'23</t>
  </si>
  <si>
    <t>FY'23</t>
  </si>
  <si>
    <t>3M'24</t>
  </si>
  <si>
    <t>6M'24</t>
  </si>
  <si>
    <t>9M'24</t>
  </si>
  <si>
    <t>FY'24</t>
  </si>
  <si>
    <t>3M'25</t>
  </si>
  <si>
    <t>6M'25</t>
  </si>
  <si>
    <t>9M'25</t>
  </si>
  <si>
    <t>FY'25</t>
  </si>
  <si>
    <t>3M'26</t>
  </si>
  <si>
    <t>6M'26</t>
  </si>
  <si>
    <t>Operating activities (year-to-date, as reported; $ in thousands)</t>
  </si>
  <si>
    <t>Investing activities (year-to-date)</t>
  </si>
  <si>
    <t>Financing activities (year-to-date)</t>
  </si>
  <si>
    <t>Payments to acquire treasury stock</t>
  </si>
  <si>
    <t>Cash reconciliation (year-to-date)</t>
  </si>
  <si>
    <t>Cash, beginning of year</t>
  </si>
  <si>
    <t>Tie-out to reported totals (inputs from filings)</t>
  </si>
  <si>
    <t>Reported net cash from operating activities</t>
  </si>
  <si>
    <t>Reported net cash from investing activities</t>
  </si>
  <si>
    <t>Reported net cash from financing activities</t>
  </si>
  <si>
    <t>Reported ending cash</t>
  </si>
  <si>
    <t>Difference (should be zero)</t>
  </si>
  <si>
    <t>10-K Data: FY2023 to FY2025 as reported</t>
  </si>
  <si>
    <t>Source: PubMatic FY2025 Form 10-K (filed Feb 26, 2026). Used to derive Q4 as full year less first nine months, and to tie out annual totals.</t>
  </si>
  <si>
    <t>FY2023</t>
  </si>
  <si>
    <t>FY2024</t>
  </si>
  <si>
    <t>FY2025</t>
  </si>
  <si>
    <t>Reported</t>
  </si>
  <si>
    <t>Income statement, FY per 10-K ($ in thousands)</t>
  </si>
  <si>
    <t>Stock-based compensation, FY per 10-K</t>
  </si>
  <si>
    <t>Non-GAAP, FY per 10-K</t>
  </si>
  <si>
    <t>Litigation-related expenses</t>
  </si>
  <si>
    <t>Adjusted EBITDA (reported)</t>
  </si>
  <si>
    <t>Checks: model integrity and tie-outs</t>
  </si>
  <si>
    <t>Differences should be zero (within $2K of rounding). Column groups match the other tabs.</t>
  </si>
  <si>
    <t>OVERALL STATUS</t>
  </si>
  <si>
    <t>Rounding tolerance: source figures are in $000s and a few 10-Q line items differ by $1K between filings.</t>
  </si>
  <si>
    <t>Time-series checks</t>
  </si>
  <si>
    <t>Balance sheet balances (assets less liabilities and equity)</t>
  </si>
  <si>
    <t>Cash flow ending cash less balance sheet cash</t>
  </si>
  <si>
    <t>Net income: model</t>
  </si>
  <si>
    <t>Net income: reported (10-Q / 8-K)</t>
  </si>
  <si>
    <t>Difference</t>
  </si>
  <si>
    <t>Adjusted EBITDA: model</t>
  </si>
  <si>
    <t>Adjusted EBITDA: reported (Q4 = FY less Q1 to Q3)</t>
  </si>
  <si>
    <t>Cash flow YTD tie-out to reported CFO, CFI, CFF, ending cash</t>
  </si>
  <si>
    <t>Nine-month tie-out (sum of Q1 to Q3 in model vs reported nine-month figures), shown in Q3 columns</t>
  </si>
  <si>
    <t>Revenue: model Q1 to Q3</t>
  </si>
  <si>
    <t>Revenue: reported 9M</t>
  </si>
  <si>
    <t>Operating income: model Q1 to Q3</t>
  </si>
  <si>
    <t>Operating income: reported 9M</t>
  </si>
  <si>
    <t>SBC: model Q1 to Q3</t>
  </si>
  <si>
    <t>SBC: reported 9M</t>
  </si>
  <si>
    <t>Annual tie-out to 10-K (shown in FY23 to FY25 columns)</t>
  </si>
  <si>
    <t>Revenue: model less 10-K</t>
  </si>
  <si>
    <t>Cost of revenue: model less 10-K</t>
  </si>
  <si>
    <t>Operating expenses: model less 10-K (T&amp;D + S&amp;M + G&amp;A)</t>
  </si>
  <si>
    <t>Operating income: model less 10-K</t>
  </si>
  <si>
    <t>Net income: model less 10-K</t>
  </si>
  <si>
    <t>Adjusted EBITDA: model less 10-K</t>
  </si>
  <si>
    <t>Cash flow from operations: model less 10-K reported</t>
  </si>
  <si>
    <t>Year-end cash: model less 10-K reported</t>
  </si>
  <si>
    <t>Competitive Analysis: Ad-Tech Peer Benchmarking</t>
  </si>
  <si>
    <t>$ in millions. Q2 2026 (quarter ended June 30, 2026) and six months ended June 30, 2026. Blue = hard-coded from filings; black = formula.</t>
  </si>
  <si>
    <t>1. Q2 2026 RESULTS</t>
  </si>
  <si>
    <t>PUBM</t>
  </si>
  <si>
    <t>MGNI</t>
  </si>
  <si>
    <t>TTD</t>
  </si>
  <si>
    <t>CRTO</t>
  </si>
  <si>
    <t>APP</t>
  </si>
  <si>
    <t>Notes</t>
  </si>
  <si>
    <t>Reported revenue</t>
  </si>
  <si>
    <t>GAAP revenue. Criteo reports revenue gross of traffic acquisition cost (TAC); see net revenue below.</t>
  </si>
  <si>
    <t>Reported revenue, Q2 2025</t>
  </si>
  <si>
    <t xml:space="preserve">  YoY growth</t>
  </si>
  <si>
    <t>Net revenue (revenue less TAC)</t>
  </si>
  <si>
    <t>Magnite and Criteo "Contribution ex-TAC"; PUBM, TTD and AppLovin report net, so equals revenue. Best like-for-like top line.</t>
  </si>
  <si>
    <t>Net revenue, Q2 2025</t>
  </si>
  <si>
    <t>Cost of revenue excl. TAC</t>
  </si>
  <si>
    <t>TTD "platform operations" (includes personnel and data costs, so not a pure hosting line). AppLovin: mostly third-party cloud, finance-lease servers and acquired-tech amortization. Magnite CoR is $62.0M incl. TAC.</t>
  </si>
  <si>
    <t xml:space="preserve">  % of net revenue</t>
  </si>
  <si>
    <t>Gross profit on net revenue basis</t>
  </si>
  <si>
    <t xml:space="preserve">  Gross margin on net revenue</t>
  </si>
  <si>
    <t>Reported GAAP gross margin differs for Criteo (52%) and Magnite (68%) because TAC sits in their cost of revenue.</t>
  </si>
  <si>
    <t>Company-defined. Each company adds back SBC and D&amp;A; definitions differ in other items (PUBM and MGNI add back litigation, Criteo adds back restructuring).</t>
  </si>
  <si>
    <t>Adjusted EBITDA, Q2 2025</t>
  </si>
  <si>
    <t xml:space="preserve">  Adj. EBITDA margin on net revenue</t>
  </si>
  <si>
    <t>Criteo and Magnite headline margins (29%, 37%) are on Contribution ex-TAC, same basis as here.</t>
  </si>
  <si>
    <t>Net income (GAAP)</t>
  </si>
  <si>
    <t>AppLovin shown from continuing operations.</t>
  </si>
  <si>
    <t>Net income, Q2 2025</t>
  </si>
  <si>
    <t>AppLovin Q2 2025 from continuing operations ($819.5M including discontinued).</t>
  </si>
  <si>
    <t xml:space="preserve">  Net margin on net revenue</t>
  </si>
  <si>
    <t>Source: Q2 2026 earnings releases (MGNI 8/5/26, TTD 8/6/26, CRTO 8/5/26, APP 8/5/26) and PUBM Q2 2026 10-Q.</t>
  </si>
  <si>
    <t>2. INFRASTRUCTURE INTENSITY, SIX MONTHS 2026</t>
  </si>
  <si>
    <t>Net revenue, 6M</t>
  </si>
  <si>
    <t>Cost of revenue excl. TAC, 6M</t>
  </si>
  <si>
    <t>Lower = cheaper to serve a dollar of net revenue. Criteo and AppLovin are lowest, but for different reasons (see section 3).</t>
  </si>
  <si>
    <t>Depreciation and amortization, 6M</t>
  </si>
  <si>
    <t>Includes acquired-intangible amortization (Magnite $5.1M, Criteo $13.3M, AppLovin most of its balance).</t>
  </si>
  <si>
    <t>Proxy for how much of the cost base is owned, depreciating hardware and capitalized software.</t>
  </si>
  <si>
    <t>Capex incl. capitalized software, 6M</t>
  </si>
  <si>
    <t>n.a.</t>
  </si>
  <si>
    <t>PP&amp;E purchases plus capitalized software. AppLovin does not report 6M capex in its release: Q2 PP&amp;E was $1.4M plus $4.3M of finance-lease principal.</t>
  </si>
  <si>
    <t>Criteo 2026 capex guided around $190M, mainly data center renewals (per third-party Q2 call summary).</t>
  </si>
  <si>
    <t>Adjusted EBITDA, 6M</t>
  </si>
  <si>
    <t>Adj. EBITDA less capex</t>
  </si>
  <si>
    <t>Cash-style margin after reinvestment. Penalizes owners of hardware, which is the point of the comparison.</t>
  </si>
  <si>
    <t>Sources: same earnings releases; cash flow statements for capex and D&amp;A.</t>
  </si>
  <si>
    <t>3. HOSTING MODEL AND EVIDENCE</t>
  </si>
  <si>
    <t>Model</t>
  </si>
  <si>
    <t>Evidence</t>
  </si>
  <si>
    <t>PubMatic</t>
  </si>
  <si>
    <t>Owned hardware</t>
  </si>
  <si>
    <t>Owns and operates its own hardware and software infrastructure (Q2 26 10-Q). Q2 26 cost of revenue per million impressions down ~18% YoY; data center costs +$1.4M, D&amp;A -$1.7M YoY.</t>
  </si>
  <si>
    <t>Magnite</t>
  </si>
  <si>
    <t>Hybrid, shifting to owned</t>
  </si>
  <si>
    <t>On-prem data centers (US, Europe, Asia) for most non-CTV traffic; CTV runs mostly on cloud, with additional on-prem build-out to cut cost (FY25 10-K). FY26 capex guided ~ $60M.</t>
  </si>
  <si>
    <t>The Trade Desk</t>
  </si>
  <si>
    <t>Owned / hosted data centers</t>
  </si>
  <si>
    <t>Platform hosted in global data centers; FY22 10-K cites hosting cost growth from new data centers. Capex $133M in 6M 2026 (9.5% of revenue). Not re-verified against the FY25 10-K.</t>
  </si>
  <si>
    <t>Criteo</t>
  </si>
  <si>
    <t>Owned data centers</t>
  </si>
  <si>
    <t>Q2 26 capex $57.8M, +66% YoY (earnings release supplement). Other cost of revenue only ~12% of net revenue, but capex is the heaviest in the set.</t>
  </si>
  <si>
    <t>AppLovin</t>
  </si>
  <si>
    <t>Mostly third-party cloud</t>
  </si>
  <si>
    <t>Cost of revenue is mainly third-party cloud, finance-leased servers and amortization (FY25 10-K). Capex near zero. Business model differs (owns demand and ML ranking), so margins are not a clean cloud-vs-own read.</t>
  </si>
  <si>
    <t>4. OBSERVATIONS (analyst judgment, not model output)</t>
  </si>
  <si>
    <t>- Ownership shows up in D&amp;A and capex, not in gross margin. PubMatic carries the heaviest D&amp;A load (about 14% of net revenue) yet its Q2 gross margin on net revenue (67%) is within about 2 points of Magnite (69%).</t>
  </si>
  <si>
    <t>- Most of the PubMatic vs Magnite EBITDA gap (25% vs 37% in Q2) sits in operating expenses, not infrastructure: PubMatic opex was about 66% of revenue vs roughly 52% of net revenue at Magnite. That points to scale, not hosting choice.</t>
  </si>
  <si>
    <t>- The peer set is mostly not "own vs AWS". Magnite, TTD and Criteo all own substantial infrastructure; Magnite is actively moving CTV from cloud to on-prem for cost reasons, which is the closest direct evidence for the thesis.</t>
  </si>
  <si>
    <t>- AppLovin is the only cloud-heavy comp and has the best margins (88% gross, 84% EBITDA), but its edge comes from owning demand and ML-driven pricing, so it should not be read as proof that cloud wins.</t>
  </si>
  <si>
    <t>- Cash view matters: after capex, PubMatic converts about 6% of net revenue (6M) vs about 24% at Magnite and 22% at TTD. Ownership only pays if per-impression cost savings outrun the capex and D&amp;A burden.</t>
  </si>
  <si>
    <t>- A cleaner test needs unit economics: cost per million impressions or per billion auctions. PubMatic discloses a YoY change only; Magnite and TTD do not disclose it. Worth asking in expert calls.</t>
  </si>
  <si>
    <t>Comparability: revenue definitions (net vs gross of TAC) and Adjusted EBITDA definitions differ by company. TTD cost of revenue ("platform operations") mixes personnel and data costs with hosting.</t>
  </si>
  <si>
    <t>5. MARKET DATA AND ENTERPRISE VALUE ($M)</t>
  </si>
  <si>
    <t>Share price ($), approx. 9/29-9/30/26</t>
  </si>
  <si>
    <t>INPUT, refresh before use. PUBM, TTD, APP = 9/29 close; MGNI and CRTO from web quotes dated 9/28-9/30 that disagreed by a few %. Pull from Bloomberg/FactSet.</t>
  </si>
  <si>
    <t>Shares outstanding (M)</t>
  </si>
  <si>
    <t>PUBM: Class A 37.304M + Class B 8.246M (10-Q cover, 7/30/26). CRTO: 6/30/26 release. Others: latest quote-page counts. Basic only, no option/RSU dilution (TSM) applied.</t>
  </si>
  <si>
    <t>Equity value (market cap)</t>
  </si>
  <si>
    <t>Basic. PUBM fully diluted would be roughly $1.0B (7.3M options at $12.58 plus 5.6M RSUs), about 17% above basic; peers not run.</t>
  </si>
  <si>
    <t>Plus: debt</t>
  </si>
  <si>
    <t>Balance sheets 6/30/26. MGNI term loan (current + non-current, net of costs). CRTO "financial liabilities - current". APP long-term debt. PUBM revolver undrawn. Leases excluded for all.</t>
  </si>
  <si>
    <t>Plus: noncontrolling interest</t>
  </si>
  <si>
    <t>Criteo only.</t>
  </si>
  <si>
    <t>Less: cash and marketable securities</t>
  </si>
  <si>
    <t>6/30/26. TTD cash + ST investments; CRTO cash + current and noncurrent securities; PUBM cash + marketable securities.</t>
  </si>
  <si>
    <t>Enterprise value</t>
  </si>
  <si>
    <t>Cash is not adjusted for customer/publisher float: all five hold large receivables and payables, so treat net cash cautiously.</t>
  </si>
  <si>
    <t>6. LTM FINANCIALS (FY2025 + 6M 2026 - 6M 2025, $M)</t>
  </si>
  <si>
    <t>Net revenue, FY2025</t>
  </si>
  <si>
    <t>Contribution ex-TAC for MGNI and CRTO. APP continuing operations. Sources: FY25 10-K / Q4 releases.</t>
  </si>
  <si>
    <t>Net revenue, 6M 2026</t>
  </si>
  <si>
    <t>Linked to section 2.</t>
  </si>
  <si>
    <t>Net revenue, 6M 2025</t>
  </si>
  <si>
    <t>LTM net revenue</t>
  </si>
  <si>
    <t>Adjusted EBITDA, FY2025</t>
  </si>
  <si>
    <t>MGNI and CRTO FY figures are rounded in their releases.</t>
  </si>
  <si>
    <t>Adjusted EBITDA, 6M 2026</t>
  </si>
  <si>
    <t>Adjusted EBITDA, 6M 2025</t>
  </si>
  <si>
    <t>LTM Adjusted EBITDA</t>
  </si>
  <si>
    <t xml:space="preserve">  LTM margin on net revenue</t>
  </si>
  <si>
    <t>Net income, FY2025</t>
  </si>
  <si>
    <t>MGNI includes a ~$90M one-time tax benefit (valuation allowance release). APP continuing operations.</t>
  </si>
  <si>
    <t>Net income, 6M 2026</t>
  </si>
  <si>
    <t>Net income, 6M 2025</t>
  </si>
  <si>
    <t>APP continuing operations.</t>
  </si>
  <si>
    <t>LTM net income</t>
  </si>
  <si>
    <t>Gross profit on net revenue (continuation of section 6)</t>
  </si>
  <si>
    <t>Gross profit, FY2025</t>
  </si>
  <si>
    <t>Net revenue less cost of revenue excl. TAC (links to Infra Trend). Ties to reported gross profit for MGNI and CRTO. TTD has no cost of revenue line, so this is revenue less platform operations (includes personnel and data costs), which understates TTD gross margin vs peers.</t>
  </si>
  <si>
    <t>Gross profit, 6M 2026</t>
  </si>
  <si>
    <t>Cost of revenue excl. TAC, 6M 2025</t>
  </si>
  <si>
    <t>PUBM from model. MGNI, TTD, CRTO, APP from Q2 2026 releases (prior-year six months). CRTO rounded in release.</t>
  </si>
  <si>
    <t>Gross profit, 6M 2025</t>
  </si>
  <si>
    <t>LTM gross profit</t>
  </si>
  <si>
    <t xml:space="preserve">  LTM gross margin on net revenue</t>
  </si>
  <si>
    <t>7. TRADING MULTIPLES (with related operating metric under each)</t>
  </si>
  <si>
    <t>EV / LTM net revenue</t>
  </si>
  <si>
    <t xml:space="preserve">  Net revenue growth, 6M 2026 YoY</t>
  </si>
  <si>
    <t>Growth under the revenue multiple. Latest six months vs prior-year six months.</t>
  </si>
  <si>
    <t>EV / LTM gross profit</t>
  </si>
  <si>
    <t>Gross profit on net revenue basis. See note in row 79 on TTD.</t>
  </si>
  <si>
    <t>EV / LTM Adjusted EBITDA</t>
  </si>
  <si>
    <t>Adjusted EBITDA excludes SBC, which is about 12% of 6M net revenue at PUBM, 11% at MGNI and 16% at TTD, so SBC-burdened multiples are higher for all.</t>
  </si>
  <si>
    <t xml:space="preserve">  LTM Adjusted EBITDA margin</t>
  </si>
  <si>
    <t>EV / (LTM Adj. EBITDA less 6M capex x2)</t>
  </si>
  <si>
    <t>Rough capex-burdened view: LTM EBITDA less 6M capex annualized. APP n.a. (capex not in release).</t>
  </si>
  <si>
    <t xml:space="preserve">  Margin after capex (same basis)</t>
  </si>
  <si>
    <t>Price / LTM earnings</t>
  </si>
  <si>
    <t>NM where LTM net income is negative. MGNI P/E flattered by the one-time tax benefit.</t>
  </si>
  <si>
    <t xml:space="preserve">  LTM net income margin on net revenue</t>
  </si>
  <si>
    <t>LTM net income yield on equity value</t>
  </si>
  <si>
    <t>Sources: company filings and earnings releases for financials; web quote pages for prices and share counts (inputs in blue, verify before external use).</t>
  </si>
  <si>
    <t>Infrastructure cost breakdown and trend: own vs cloud</t>
  </si>
  <si>
    <t>$ in millions. FY2024/FY2025 from Q4 2025 earnings releases (blue = hard-coded). 6M 2026 links to Comps. PUBM links to the model. Net revenue = revenue for PUBM, TTD, APP; contribution ex-TAC for MGNI and CRTO.</t>
  </si>
  <si>
    <t>PUBM (owns hardware, colocated data centers)</t>
  </si>
  <si>
    <t>FY25 YoY</t>
  </si>
  <si>
    <t>Net revenue</t>
  </si>
  <si>
    <t>Cost of revenue is almost all infrastructure: data center, bandwidth, depreciation of owned servers, amortization of capitalized software.</t>
  </si>
  <si>
    <t>Capex incl. capitalized software</t>
  </si>
  <si>
    <t>Finance lease principal</t>
  </si>
  <si>
    <t>Adj. EBITDA less capex and lease principal</t>
  </si>
  <si>
    <t>MGNI (hybrid: on-prem plus cloud, CTV shifting on-prem)</t>
  </si>
  <si>
    <t>FY25 PP&amp;E purchases jumped to $70.5M from $32.8M (about 2.1x), consistent with the on-prem build. Finance lease principal not pulled, set to 0 (verify in 10-K).</t>
  </si>
  <si>
    <t>TTD (owned or hosted data centers, Kokai build)</t>
  </si>
  <si>
    <t>Cost line is platform operations, which also includes people and data costs, so it overstates pure infrastructure. Capex roughly doubled in FY25. Finance leases not pulled, set to 0.</t>
  </si>
  <si>
    <t>CRTO (owns data centers)</t>
  </si>
  <si>
    <t>Other cost of revenue fell while D&amp;A and capex rose: classic owner profile, cost moves from COGS into depreciation. Capex per release (PP&amp;E plus intangibles). Leases not pulled, set to 0.</t>
  </si>
  <si>
    <t>APP (mostly third-party cloud plus finance-leased servers)</t>
  </si>
  <si>
    <t>Cost of revenue is largely hosting and payment processing. Capex near zero: the cloud-renter profile, so the cost sits in COGS and EBITDA. Not a clean comp (different business).</t>
  </si>
  <si>
    <t>SUMMARY TREND (% of net revenue)</t>
  </si>
  <si>
    <t>Chg FY24-25</t>
  </si>
  <si>
    <t xml:space="preserve">  PUBM</t>
  </si>
  <si>
    <t xml:space="preserve">  MGNI</t>
  </si>
  <si>
    <t xml:space="preserve">  TTD</t>
  </si>
  <si>
    <t xml:space="preserve">  CRTO</t>
  </si>
  <si>
    <t xml:space="preserve">  APP</t>
  </si>
  <si>
    <t>D&amp;A</t>
  </si>
  <si>
    <t>Adj. EBITDA</t>
  </si>
  <si>
    <t>Adj. EBITDA less capex and leases</t>
  </si>
  <si>
    <t>Own vs cloud reading</t>
  </si>
  <si>
    <t>Owners (PUBM, CRTO, MGNI) carry 8% to 16% of net revenue in D&amp;A and 8% to 18% in capex; the renter (APP) carries about 2% D&amp;A and near-zero capex but 12% cost of revenue, mostly hosting.</t>
  </si>
  <si>
    <t>Cost of revenue excl. TAC alone does not separate the models: PUBM is highest (about 36%) yet MGNI is 33%. Compare with Adj. EBITDA less capex, which charges owners for hardware.</t>
  </si>
  <si>
    <t>Trend: CRTO cost of revenue is falling in dollars while D&amp;A and capex rise (cost shifting into depreciation). MGNI and TTD capex step up sharply in FY25 (about 2x), so scale players are adding owned capacity, not leaving it.</t>
  </si>
  <si>
    <t>Caveats: unit costs (per million impressions, per billion auctions) are undisclosed except PUBM (Q2'26 cost per million impressions down about 18% YoY). Peer FY lease principal and quarterly peer splits not pulled; PUBM quarterly trend is in the Income Statement and Cash Flow tabs.</t>
  </si>
  <si>
    <t>PubMatic (PUBM): discounted cash flow</t>
  </si>
  <si>
    <t>$ in millions except per share. Yellow cells are adjustable assumptions (blue text = input). Defaults are illustrative placeholders, not a view: set your own. Base year links to the model.</t>
  </si>
  <si>
    <t>GLOBAL ASSUMPTIONS</t>
  </si>
  <si>
    <t>Input</t>
  </si>
  <si>
    <t>Valuation date</t>
  </si>
  <si>
    <t>Cash flows before this date are excluded; 2026E is prorated for the remaining stub.</t>
  </si>
  <si>
    <t>WACC</t>
  </si>
  <si>
    <t>Placeholder. Small-cap ad-tech, high beta: 10% to 13% is a typical range to test.</t>
  </si>
  <si>
    <t>Terminal growth rate</t>
  </si>
  <si>
    <t>Used when terminal method = 1.</t>
  </si>
  <si>
    <t>Terminal method (1 = perpetuity growth, 2 = exit multiple)</t>
  </si>
  <si>
    <t>Exit multiple, EV / Adj. EBITDA</t>
  </si>
  <si>
    <t>Used when terminal method = 2. Compare with Comps section 7 (PUBM trades near 11.7x LTM).</t>
  </si>
  <si>
    <t>Cash tax rate</t>
  </si>
  <si>
    <t>Applied to EBIT after SBC and D&amp;A. Ignores NOLs and the valuation allowance.</t>
  </si>
  <si>
    <t>Treat SBC as a cash cost (1 = yes, 0 = no)</t>
  </si>
  <si>
    <t>1 is the conservative and generally preferred treatment: SBC is a real cost to shareholders. 0 adds it back like Adjusted EBITDA does.</t>
  </si>
  <si>
    <t>Mid-year convention (1 = yes, 0 = no)</t>
  </si>
  <si>
    <t>CAPITAL STRUCTURE (linked to Comps)</t>
  </si>
  <si>
    <t>Value</t>
  </si>
  <si>
    <t>Basic shares outstanding (M)</t>
  </si>
  <si>
    <t>Class A + Class B.</t>
  </si>
  <si>
    <t>Options outstanding (M)</t>
  </si>
  <si>
    <t>From 10-Q, per Comps note. Treasury stock method at the DCF price (closed form, no circularity).</t>
  </si>
  <si>
    <t>Weighted-average option strike ($)</t>
  </si>
  <si>
    <t>RSUs outstanding (M)</t>
  </si>
  <si>
    <t>6/30/26.</t>
  </si>
  <si>
    <t>Debt</t>
  </si>
  <si>
    <t>Revolver undrawn.</t>
  </si>
  <si>
    <t>Current share price ($)</t>
  </si>
  <si>
    <t>Input lives on Comps row 56.</t>
  </si>
  <si>
    <t>PROJECTIONS</t>
  </si>
  <si>
    <t>FY2029E</t>
  </si>
  <si>
    <t>FY2030E</t>
  </si>
  <si>
    <t>Net revenue growth</t>
  </si>
  <si>
    <t>Placeholder: 6M26 net revenue was up 4.6% YoY (Q2 up 10.5%).</t>
  </si>
  <si>
    <t>Adj. EBITDA margin</t>
  </si>
  <si>
    <t>FY2025A was 21.8%; LTM about 19%.</t>
  </si>
  <si>
    <t>SBC, % of net revenue</t>
  </si>
  <si>
    <t>D&amp;A, % of net revenue</t>
  </si>
  <si>
    <t>EBIT (Adj. EBITDA less SBC less D&amp;A)</t>
  </si>
  <si>
    <t>Cash taxes</t>
  </si>
  <si>
    <t>Capex incl. capitalized software, % of net revenue</t>
  </si>
  <si>
    <t>Change in NWC, % of change in net revenue</t>
  </si>
  <si>
    <t>Receivable and payable swings are large and lumpy at PUBM; replace with a days-based build if you want.</t>
  </si>
  <si>
    <t>Change in net working capital</t>
  </si>
  <si>
    <t>Unlevered free cash flow</t>
  </si>
  <si>
    <t>Fraction of year included</t>
  </si>
  <si>
    <t>2026E cash flow is prorated for the part of the year after the valuation date.</t>
  </si>
  <si>
    <t>Years from valuation date to year end</t>
  </si>
  <si>
    <t>Discount period (years)</t>
  </si>
  <si>
    <t>Discount factor</t>
  </si>
  <si>
    <t>PV of unlevered FCF</t>
  </si>
  <si>
    <t>VALUATION</t>
  </si>
  <si>
    <t>Sum of PV of FCF (stub 2026E to 2030E)</t>
  </si>
  <si>
    <t>Terminal value (undiscounted)</t>
  </si>
  <si>
    <t>Method 1: Gordon growth on FY2030E UFCF. Method 2: multiple times FY2030E Adj. EBITDA.</t>
  </si>
  <si>
    <t>PV of terminal value</t>
  </si>
  <si>
    <t>Discounted from the end of FY2030E.</t>
  </si>
  <si>
    <t>Plus: cash less debt</t>
  </si>
  <si>
    <t>Equity value</t>
  </si>
  <si>
    <t>Implied value per share ($), diluted</t>
  </si>
  <si>
    <t>Options via treasury method on the implied price, RSUs counted in full.</t>
  </si>
  <si>
    <t>Upside / (downside) vs current price</t>
  </si>
  <si>
    <t>Terminal value as % of enterprise value</t>
  </si>
  <si>
    <t>Above about 75% means the answer is mostly the terminal assumption.</t>
  </si>
  <si>
    <t>Implied EV / LTM Adj. EBITDA</t>
  </si>
  <si>
    <t>Compare with the current 11.7x.</t>
  </si>
  <si>
    <t>Implied terminal EV / FY2030E Adj. EBITDA</t>
  </si>
  <si>
    <t>Implied perpetual growth in exit-multiple case</t>
  </si>
  <si>
    <t>Sanity check: if this is above about 4%, the exit multiple is aggressive.</t>
  </si>
  <si>
    <t>SENSITIVITY 1: WACC vs TERMINAL GROWTH (perpetuity method)</t>
  </si>
  <si>
    <t>Implied value per share ($). Rows = WACC; columns = terminal growth</t>
  </si>
  <si>
    <t>SENSITIVITY 2: WACC vs EXIT MULTIPLE (EV / FY2030E Adj. EBITDA)</t>
  </si>
  <si>
    <t>Implied value per share ($). Rows = WACC; columns = exit multiple</t>
  </si>
  <si>
    <t>Sensitivity grids are live formulas (no data tables) and recompute from the projection rows; they ignore the method switch in B8. WACC axis in column B can be overwritten.</t>
  </si>
  <si>
    <t>x</t>
  </si>
  <si>
    <t>Days in quarter (period end less prior period end)</t>
  </si>
  <si>
    <t>Days sales outstanding (AR / quarterly revenue x days)</t>
  </si>
  <si>
    <t>Days payable outstanding (AP / quarterly revenue x days)</t>
  </si>
  <si>
    <t>Accrued liabilities days (accrued / quarterly opex x days)</t>
  </si>
  <si>
    <t>Accounts receivable = DSO / days in quarter x quarterly revenue. AR reflects gross billings while revenue is net, so DSO is well above a typical 30-90 days. Placeholder = same quarter last year (seasonal).</t>
  </si>
  <si>
    <t>Accounts payable (mostly publisher payables) = DPO / days in quarter x quarterly revenue. Measured on net revenue so it is directly comparable to DSO (DSO less DPO = net float). Placeholder = same quarter last year.</t>
  </si>
  <si>
    <t>Accrued liabilities = accrued days / days in quarter x quarterly operating expenses (includes seasonal bonus accruals). Placeholder = same quarter last year.</t>
  </si>
  <si>
    <t>AR = days sales outstanding x revenue; AP = days payable outstanding x revenue; accrued liabilities = accrued days x opex (all on days in the quarter). PP&amp;E rolls forward with capex, capitalized software and D&amp;A. Leases, goodwill, deferred taxes and other items are held flat.</t>
  </si>
  <si>
    <t>Cash Conversion cycle</t>
  </si>
  <si>
    <t>YoY Growth  (%)</t>
  </si>
  <si>
    <t>Revenue Drivers</t>
  </si>
  <si>
    <t>($ in mm)</t>
  </si>
  <si>
    <t>Ad-Tech Valuation Comps</t>
  </si>
  <si>
    <t>Market data and consensus estimates as of late Sep / early Oct 2026. Multiples are formulas off the Inputs block below (row 36+). Blue = hard-coded input; green = link to another tab; black = formula.</t>
  </si>
  <si>
    <t>Company</t>
  </si>
  <si>
    <t>Ticker</t>
  </si>
  <si>
    <t>Market Value</t>
  </si>
  <si>
    <t>Enterprise Value</t>
  </si>
  <si>
    <t>EV / Revenue</t>
  </si>
  <si>
    <t>EV / Gross Profit</t>
  </si>
  <si>
    <t>EV / Adj. EBITDA</t>
  </si>
  <si>
    <t>Revenue Growth</t>
  </si>
  <si>
    <t>Gross Profit Margin</t>
  </si>
  <si>
    <t>Adj. EBITDA Margin</t>
  </si>
  <si>
    <t>CY 26E</t>
  </si>
  <si>
    <t>CY 27E</t>
  </si>
  <si>
    <t>INPUTS ($ in mm)</t>
  </si>
  <si>
    <t>Market value</t>
  </si>
  <si>
    <t>Noncontrolling interest</t>
  </si>
  <si>
    <t>Cash &amp; securities</t>
  </si>
  <si>
    <t>Revenue CY25A</t>
  </si>
  <si>
    <t>Revenue CY26E</t>
  </si>
  <si>
    <t>Revenue CY27E</t>
  </si>
  <si>
    <t>Gross margin CY26E</t>
  </si>
  <si>
    <t>Gross margin CY27E</t>
  </si>
  <si>
    <t>Adj. EBITDA margin CY26E</t>
  </si>
  <si>
    <t>Adj. EBITDA margin CY27E</t>
  </si>
  <si>
    <t>Gross profit CY26E</t>
  </si>
  <si>
    <t>Gross profit CY27E</t>
  </si>
  <si>
    <t>Adj. EBITDA CY26E</t>
  </si>
  <si>
    <t>Adj. EBITDA CY27E</t>
  </si>
  <si>
    <t>Basis / notes</t>
  </si>
  <si>
    <t>PubMatic (Street)</t>
  </si>
  <si>
    <t>Market data from Comps tab (9/29-9/30/26). Revenue/GP = consensus. EBITDA margin = LTM actual held flat.</t>
  </si>
  <si>
    <t>PubMatic (Model case)</t>
  </si>
  <si>
    <t>PUBM (Model)</t>
  </si>
  <si>
    <t>Your model's FY2026E / FY2027E (Income Statement tab). CY27E margins use model FY2027E.</t>
  </si>
  <si>
    <t>Revenue on reported (gross) basis per consensus; EBITDA margin = LTM on ex-TAC basis (close to gross for MGNI).</t>
  </si>
  <si>
    <t>CY25A from Comps tab (FY2025 10-K). EBITDA margin = LTM actual held flat.</t>
  </si>
  <si>
    <t>All on Contribution ex-TAC basis (consensus switched to ex-TAC in 2026). GM and EBITDA margin = LTM ex-TAC from Comps tab.</t>
  </si>
  <si>
    <t>Viant Technology</t>
  </si>
  <si>
    <t>DSP</t>
  </si>
  <si>
    <t>Gross revenue basis. EBITDA margin = Q2'26 adj. EBITDA / revenue (no FY guidance given).</t>
  </si>
  <si>
    <t>Continuing operations. EBITDA margin = LTM actual held flat.</t>
  </si>
  <si>
    <t>Digital Turbine</t>
  </si>
  <si>
    <t>APPS</t>
  </si>
  <si>
    <t>Fiscal year ends March: FY Mar-26 / Mar-27 / Mar-28 shown as CY25A / CY26E / CY27E.</t>
  </si>
  <si>
    <t>Perion Network</t>
  </si>
  <si>
    <t>PERI</t>
  </si>
  <si>
    <t>Gross revenue basis. EBITDA = FY26 guidance midpoint.</t>
  </si>
  <si>
    <t>DoubleVerify (memo)</t>
  </si>
  <si>
    <t>DV</t>
  </si>
  <si>
    <t>Pending acquisition by Nielsen (announced 8/6/26); trades on deal terms. Excluded from medians/means.</t>
  </si>
  <si>
    <t>Target: PubMatic (excluded from statistics)</t>
  </si>
  <si>
    <t>Supply &amp; Demand-Side Platforms</t>
  </si>
  <si>
    <t>Mobile &amp; Performance</t>
  </si>
  <si>
    <t>All Peers (excl. PubMatic and DV)</t>
  </si>
  <si>
    <t>Memo: excluded from statistics</t>
  </si>
  <si>
    <t>Median</t>
  </si>
  <si>
    <t>Mean</t>
  </si>
  <si>
    <t>Notes: Peer revenue and gross profit are analyst consensus from StockAnalysis.com (unofficial, see cell notes on Inputs). Adj. EBITDA uses company guidance where available (APPS, PERI, DV), otherwise LTM / latest-quarter margin held flat into CY27E. Replace with your own estimates or FactSet/CapIQ consensus.</t>
  </si>
  <si>
    <t>Basis differences: MGNI, DSP, PERI revenue is gross; CRTO is Contribution ex-TAC; PUBM, TTD, APP report net. APPS fiscal year ends March. Market data for PUBM/MGNI/TTD/CRTO/APP links to the Comps tab (refresh prices there). IAS excluded (taken private Dec 2025).</t>
  </si>
  <si>
    <t>Multiples conversion</t>
  </si>
  <si>
    <t>Trade Desk</t>
  </si>
  <si>
    <t>Debt (000s)</t>
  </si>
  <si>
    <t>Cash (000s)</t>
  </si>
  <si>
    <t>Shares (M)</t>
  </si>
  <si>
    <t>Pricing Date</t>
  </si>
  <si>
    <t>PUBM | Share Price (Daily)($)</t>
  </si>
  <si>
    <t>PUBM | Volume (Daily)</t>
  </si>
  <si>
    <t>TTD | Share Price (Daily)($)</t>
  </si>
  <si>
    <t>TTD | Volume (Daily)</t>
  </si>
  <si>
    <t>Revenue (000s)</t>
  </si>
  <si>
    <t>EBITDA (000s)</t>
  </si>
  <si>
    <t>LTM (000s)</t>
  </si>
  <si>
    <t>LTM Revenue</t>
  </si>
  <si>
    <t>LTM EBITDA</t>
  </si>
  <si>
    <t>Date</t>
  </si>
  <si>
    <t>PUBM Price ($)</t>
  </si>
  <si>
    <t>TTD Price ($)</t>
  </si>
  <si>
    <t>PUBM Mkt Cap (000s)</t>
  </si>
  <si>
    <t>PUBM EV (000s)</t>
  </si>
  <si>
    <t>TTD Mkt Cap (000s)</t>
  </si>
  <si>
    <t>TTD EV (000s)</t>
  </si>
  <si>
    <t>PUBM EV / LTM Rev</t>
  </si>
  <si>
    <t>TTD EV / LTM Rev</t>
  </si>
  <si>
    <t>PUBM EV / LTM EBITDA</t>
  </si>
  <si>
    <t>TTD EV / LTM EBITDA</t>
  </si>
  <si>
    <t>EV/Rev gap (TTD − PUBM)</t>
  </si>
  <si>
    <t>EV/EBITDA gap (TTD − PUBM)</t>
  </si>
  <si>
    <t>Convergence snapshot</t>
  </si>
  <si>
    <t>Metric</t>
  </si>
  <si>
    <t>Gap (TTD − PUBM)</t>
  </si>
  <si>
    <t>Chart titles (linked)</t>
  </si>
  <si>
    <t>YOU: 1) Paste the new PUBM export into 'PubMatic Data' starting at A1 and the new TTD export into 'Trade Deck Data' starting at A1. Keep the same 3 columns (Pricing Date | Share Price (Daily)($) | Volume), newest date first. Clear any leftover old rows below the new data.</t>
  </si>
  <si>
    <t>YOU: 2) If a new quarter has been reported, tell Claude the new revenue / EBITDA figures for TTD (PUBM pulls from the model), or ask Claude to roll the quarter columns.</t>
  </si>
  <si>
    <t>CLAUDE, when asked to update: A) Count the data rows in 'PubMatic Data' and 'Trade Deck Data' (rows below the header with a date in column A).</t>
  </si>
  <si>
    <t>CLAUDE: F) Verify: no #N/A / #VALUE! in S5:AE[last], chart titles show the new date range, and report the latest PUBM vs TTD EV/Rev and EV/EBITDA gap from P8:R14.</t>
  </si>
  <si>
    <t>Method: EV = share price x shares (E) x 1,000 + debt (C) – cash (D), all in $000s. Multiples use the CURRENT LTM (sum of F:I and K:N) for every day, so the lines show re-rating from price only, not changes in fundamentals over the year.</t>
  </si>
  <si>
    <t>HOW TO UPDATE THIS TAB (paste new data, then ask Claude: "Update the Multiples Trade tab per the instructions in row 53")</t>
  </si>
  <si>
    <t>CLAUDE: C) Update every formula that references $S$5:$S$255 (and the matching Z:AC ranges) in P8:R14 and AG3:AG5 to the new last row. Then find the last row whose date is within 3 months of the latest date (date &gt;= EDATE(latest,-3)) and update $S$5:$S$69 in AG6:AG8 to that row, so the 3-month window and all chart-title dates stay correct.</t>
  </si>
  <si>
    <t>Earnings releases</t>
  </si>
  <si>
    <t>Quarter</t>
  </si>
  <si>
    <t>Release date</t>
  </si>
  <si>
    <t>Source</t>
  </si>
  <si>
    <t>SEC 8-K (after market close)</t>
  </si>
  <si>
    <t>PUBM earnings dot (EV/Rev)</t>
  </si>
  <si>
    <t>TTD earnings dot (EV/Rev)</t>
  </si>
  <si>
    <t>PUBM earnings dot (EV/EBITDA)</t>
  </si>
  <si>
    <t>TTD earnings dot (EV/EBITDA)</t>
  </si>
  <si>
    <t>PUBM earnings dot (price)</t>
  </si>
  <si>
    <t>TTD earnings dot (price)</t>
  </si>
  <si>
    <t>CLAUDE: B) Resize the daily table S5:AE and the earnings-vertical line columns AI5:AN so it has exactly one row per PubMatic date: copy row 5's formulas down to the last row needed and clear any rows below it. Column S reads dates from 'PubMatic Data'; TTD price is matched by date with XLOOKUP, so a #N/A means a date is missing in 'Trade Deck Data' – report those dates.</t>
  </si>
  <si>
    <t>CLAUDE: D) Re-point the 1-year charts (EV_Rev_Chart, EV_EBITDA_Chart, Price_Chart) to X values S5:S[last] with series in Z/AA, AB/AC and T/U (Price_Chart keeps TTD on the secondary axis). Re-point the 3-month charts (EV_Rev_3M_Chart, EV_EBITDA_3M_Chart) to S5:S[3M last row] with series in Z/AA and AB/AC. Each chart also has 'PUBM earnings' / 'TTD earnings' vertical line series (AI/AJ for EV/Rev, AK/AL for EV/EBITDA, AM/AN for price, TTD price vertical line on the secondary axis): re-point these to the same rows.</t>
  </si>
  <si>
    <t>CLAUDE: E) If new quarterly results are provided: shift F:I and K:N left one quarter, put the new quarter in I / N, update the quarter labels in row 3, and refresh Debt (C), Cash (D) and Shares (E) for both companies. Ask before overwriting anything outside rows 3-5. Also add each new earnings release date (company, quarter, date, with an SEC source note) to the table at AP4:AS; the vertical line columns AI:AN pick it up automatically, and the vertical line appear on all five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</si>
</sst>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_(* \(#,##0.00\);_(* &quot;-&quot;??_);_(@_)"/>
    <numFmt numFmtId="164" formatCode="#,##0;\(#,##0\);\-"/>
    <numFmt numFmtId="165" formatCode="0.0%;\(0.0%\);\-"/>
    <numFmt numFmtId="166" formatCode="\$0.00;&quot;($&quot;0.00\);\-"/>
    <numFmt numFmtId="167" formatCode="mm/dd/yy"/>
    <numFmt numFmtId="169" formatCode="#,##0.0;\(#,##0.0\);\-"/>
    <numFmt numFmtId="170" formatCode="0.000;\(0.000\);\-"/>
    <numFmt numFmtId="171" formatCode="\$#,##0.00"/>
    <numFmt numFmtId="172" formatCode="0.0\x;\(0.0&quot;x)&quot;;\-"/>
    <numFmt numFmtId="173" formatCode="mm/dd/yyyy"/>
    <numFmt numFmtId="174" formatCode="0.0\x"/>
    <numFmt numFmtId="175" formatCode="0.000"/>
    <numFmt numFmtId="176" formatCode="0.0;\(0.0\);\-"/>
    <numFmt numFmtId="178" formatCode="_(* #,##0.000_);_(* \(#,##0.000\);_(* &quot;-&quot;??_);_(@_)"/>
    <numFmt numFmtId="179" formatCode="0.0&quot;x&quot;;\(0.0&quot;x&quot;\);\-"/>
    <numFmt numFmtId="180" formatCode="0%;\(0%\);0%"/>
    <numFmt numFmtId="181" formatCode="0%;\(0%\);\-"/>
    <numFmt numFmtId="183" formatCode="_(* #,##0_);_(* \(#,##0\);_(* &quot;-&quot;??_);_(@_)"/>
    <numFmt numFmtId="184" formatCode="#,##0.00;\(#,##0.00\)"/>
    <numFmt numFmtId="185" formatCode="#,##0;\(#,##0\)"/>
    <numFmt numFmtId="186" formatCode="m/d/yy"/>
    <numFmt numFmtId="187" formatCode="&quot;$&quot;0.00"/>
    <numFmt numFmtId="188" formatCode="0.0\x;\(0.0\x\)"/>
  </numFmts>
  <fonts count="38" x14ac:knownFonts="1">
    <font>
      <sz val="11"/>
      <color theme="1"/>
      <name val="Calibri"/>
      <family val="2"/>
      <charset val="1"/>
    </font>
    <font>
      <sz val="11"/>
      <color theme="1"/>
      <name val="Calibri"/>
      <family val="2"/>
      <scheme val="minor"/>
    </font>
    <font>
      <sz val="10"/>
      <name val="Arial"/>
      <family val="2"/>
    </font>
    <font>
      <b/>
      <sz val="16"/>
      <color rgb="FF1F3864"/>
      <name val="Arial"/>
      <family val="2"/>
    </font>
    <font>
      <i/>
      <sz val="10"/>
      <color rgb="FF808080"/>
      <name val="Arial"/>
      <family val="2"/>
    </font>
    <font>
      <b/>
      <sz val="10"/>
      <color rgb="FFFFFFFF"/>
      <name val="Arial"/>
      <family val="2"/>
    </font>
    <font>
      <b/>
      <sz val="10"/>
      <color rgb="FF1F3864"/>
      <name val="Arial"/>
      <family val="2"/>
    </font>
    <font>
      <sz val="10"/>
      <color rgb="FF000000"/>
      <name val="Arial"/>
      <family val="2"/>
    </font>
    <font>
      <b/>
      <sz val="10"/>
      <color rgb="FF0000FF"/>
      <name val="Arial"/>
      <family val="2"/>
    </font>
    <font>
      <b/>
      <sz val="10"/>
      <color rgb="FF000000"/>
      <name val="Arial"/>
      <family val="2"/>
    </font>
    <font>
      <b/>
      <sz val="10"/>
      <color rgb="FF008000"/>
      <name val="Arial"/>
      <family val="2"/>
    </font>
    <font>
      <b/>
      <sz val="14"/>
      <color rgb="FF1F3864"/>
      <name val="Arial"/>
      <family val="2"/>
    </font>
    <font>
      <sz val="10"/>
      <color rgb="FF008000"/>
      <name val="Arial"/>
      <family val="2"/>
    </font>
    <font>
      <sz val="10"/>
      <color rgb="FF0000FF"/>
      <name val="Arial"/>
      <family val="2"/>
    </font>
    <font>
      <i/>
      <sz val="9"/>
      <color rgb="FF808080"/>
      <name val="Arial"/>
      <family val="2"/>
    </font>
    <font>
      <i/>
      <sz val="10"/>
      <color rgb="FF000000"/>
      <name val="Arial"/>
      <family val="2"/>
    </font>
    <font>
      <b/>
      <sz val="11"/>
      <color rgb="FF1F3864"/>
      <name val="Arial"/>
      <family val="2"/>
    </font>
    <font>
      <b/>
      <sz val="10"/>
      <name val="Arial"/>
      <family val="2"/>
    </font>
    <font>
      <sz val="10"/>
      <name val="Arial"/>
      <family val="2"/>
    </font>
    <font>
      <sz val="9"/>
      <name val="Arial"/>
      <family val="2"/>
    </font>
    <font>
      <i/>
      <sz val="10"/>
      <name val="Arial"/>
      <family val="2"/>
    </font>
    <font>
      <i/>
      <sz val="9"/>
      <name val="Arial"/>
      <family val="2"/>
    </font>
    <font>
      <b/>
      <sz val="14"/>
      <name val="Arial"/>
      <family val="2"/>
    </font>
    <font>
      <sz val="11"/>
      <color theme="1"/>
      <name val="Calibri"/>
      <family val="2"/>
      <charset val="1"/>
    </font>
    <font>
      <sz val="9"/>
      <color indexed="81"/>
      <name val="Tahoma"/>
      <family val="2"/>
    </font>
    <font>
      <sz val="11"/>
      <color rgb="FF000000"/>
      <name val="Calibri"/>
      <family val="2"/>
      <charset val="1"/>
    </font>
    <font>
      <b/>
      <sz val="9"/>
      <color indexed="81"/>
      <name val="Tahoma"/>
      <family val="2"/>
    </font>
    <font>
      <sz val="10"/>
      <color theme="1"/>
      <name val="Arial"/>
      <family val="2"/>
    </font>
    <font>
      <i/>
      <sz val="10"/>
      <color theme="1"/>
      <name val="Arial"/>
      <family val="2"/>
    </font>
    <font>
      <i/>
      <sz val="8"/>
      <color rgb="FF808080"/>
      <name val="Arial"/>
      <family val="2"/>
    </font>
    <font>
      <b/>
      <sz val="10"/>
      <color theme="1"/>
      <name val="Arial"/>
      <family val="2"/>
    </font>
    <font>
      <i/>
      <sz val="10"/>
      <color rgb="FF0000FF"/>
      <name val="Arial"/>
      <family val="2"/>
    </font>
    <font>
      <b/>
      <sz val="11"/>
      <name val="Calibri"/>
      <family val="2"/>
    </font>
    <font>
      <b/>
      <sz val="11"/>
      <color rgb="FFFFFFFF"/>
      <name val="Calibri"/>
      <family val="2"/>
      <charset val="1"/>
    </font>
    <font>
      <b/>
      <sz val="11"/>
      <color theme="1"/>
      <name val="Calibri"/>
      <family val="2"/>
      <charset val="1"/>
    </font>
    <font>
      <b/>
      <sz val="12"/>
      <color rgb="FF1F3864"/>
      <name val="Calibri"/>
      <family val="2"/>
      <charset val="1"/>
    </font>
    <font>
      <sz val="10"/>
      <color theme="1"/>
      <name val="Calibri"/>
      <family val="2"/>
      <charset val="1"/>
    </font>
    <font>
      <i/>
      <sz val="10"/>
      <color theme="1"/>
      <name val="Calibri"/>
      <family val="2"/>
      <charset val="1"/>
    </font>
  </fonts>
  <fills count="15">
    <fill>
      <patternFill patternType="none"/>
    </fill>
    <fill>
      <patternFill patternType="gray125"/>
    </fill>
    <fill>
      <patternFill patternType="solid">
        <fgColor rgb="FF1F3864"/>
        <bgColor rgb="FF333399"/>
      </patternFill>
    </fill>
    <fill>
      <patternFill patternType="solid">
        <fgColor rgb="FFFFF2CC"/>
        <bgColor rgb="FFF2F2F2"/>
      </patternFill>
    </fill>
    <fill>
      <patternFill patternType="solid">
        <fgColor rgb="FF385723"/>
        <bgColor rgb="FF333300"/>
      </patternFill>
    </fill>
    <fill>
      <patternFill patternType="solid">
        <fgColor rgb="FF7F6000"/>
        <bgColor rgb="FF993300"/>
      </patternFill>
    </fill>
    <fill>
      <patternFill patternType="solid">
        <fgColor rgb="FFD9E1F2"/>
        <bgColor rgb="FFF2F2F2"/>
      </patternFill>
    </fill>
    <fill>
      <patternFill patternType="solid">
        <fgColor rgb="FF1B6B6B"/>
        <bgColor rgb="FF008080"/>
      </patternFill>
    </fill>
    <fill>
      <patternFill patternType="solid">
        <fgColor rgb="FFF2F2F2"/>
        <bgColor rgb="FFFFFFFF"/>
      </patternFill>
    </fill>
    <fill>
      <patternFill patternType="solid">
        <fgColor theme="0" tint="-4.9989318521683403E-2"/>
        <bgColor indexed="64"/>
      </patternFill>
    </fill>
    <fill>
      <patternFill patternType="solid">
        <fgColor rgb="FF1F3864"/>
        <bgColor indexed="64"/>
      </patternFill>
    </fill>
    <fill>
      <patternFill patternType="solid">
        <fgColor rgb="FFD9D9D9"/>
        <bgColor indexed="64"/>
      </patternFill>
    </fill>
    <fill>
      <patternFill patternType="solid">
        <fgColor rgb="FFCCCCCC"/>
        <bgColor indexed="64"/>
      </patternFill>
    </fill>
    <fill>
      <patternFill patternType="solid">
        <fgColor theme="0" tint="-0.34998626667073579"/>
        <bgColor rgb="FF333399"/>
      </patternFill>
    </fill>
    <fill>
      <patternFill patternType="solid">
        <fgColor rgb="FFF2F2F2"/>
        <bgColor indexed="64"/>
      </patternFill>
    </fill>
  </fills>
  <borders count="4">
    <border>
      <left/>
      <right/>
      <top/>
      <bottom/>
      <diagonal/>
    </border>
    <border>
      <left/>
      <right/>
      <top style="thin">
        <color rgb="FF999999"/>
      </top>
      <bottom/>
      <diagonal/>
    </border>
    <border>
      <left/>
      <right/>
      <top/>
      <bottom style="thin">
        <color auto="1"/>
      </bottom>
      <diagonal/>
    </border>
    <border>
      <left/>
      <right/>
      <top style="thin">
        <color auto="1"/>
      </top>
      <bottom/>
      <diagonal/>
    </border>
  </borders>
  <cellStyleXfs count="4">
    <xf numFmtId="0" fontId="0" fillId="0" borderId="0"/>
    <xf numFmtId="43" fontId="23" fillId="0" borderId="0" applyFont="0" applyFill="0" applyBorder="0" applyAlignment="0" applyProtection="0"/>
    <xf numFmtId="9" fontId="23" fillId="0" borderId="0" applyFont="0" applyFill="0" applyBorder="0" applyAlignment="0" applyProtection="0"/>
    <xf numFmtId="0" fontId="1" fillId="0" borderId="0"/>
  </cellStyleXfs>
  <cellXfs count="179">
    <xf numFmtId="0" fontId="0" fillId="0" borderId="0" xfId="0"/>
    <xf numFmtId="0" fontId="15" fillId="0" borderId="0" xfId="0" applyFont="1" applyAlignment="1">
      <alignment vertical="top" wrapText="1"/>
    </xf>
    <xf numFmtId="0" fontId="7" fillId="0" borderId="0" xfId="0" applyFont="1" applyAlignment="1">
      <alignment vertical="top" wrapText="1"/>
    </xf>
    <xf numFmtId="0" fontId="3" fillId="0" borderId="0" xfId="0" applyFont="1"/>
    <xf numFmtId="0" fontId="4" fillId="0" borderId="0" xfId="0" applyFont="1"/>
    <xf numFmtId="0" fontId="5" fillId="2" borderId="0" xfId="0" applyFont="1" applyFill="1"/>
    <xf numFmtId="0" fontId="0" fillId="2" borderId="0" xfId="0" applyFill="1"/>
    <xf numFmtId="0" fontId="6" fillId="0" borderId="0" xfId="0" applyFont="1" applyAlignment="1">
      <alignment vertical="top"/>
    </xf>
    <xf numFmtId="0" fontId="8" fillId="0" borderId="0" xfId="0" applyFont="1"/>
    <xf numFmtId="0" fontId="7" fillId="0" borderId="0" xfId="0" applyFont="1"/>
    <xf numFmtId="0" fontId="9" fillId="0" borderId="0" xfId="0" applyFont="1"/>
    <xf numFmtId="0" fontId="10" fillId="0" borderId="0" xfId="0" applyFont="1"/>
    <xf numFmtId="0" fontId="8" fillId="3" borderId="0" xfId="0" applyFont="1" applyFill="1"/>
    <xf numFmtId="0" fontId="11" fillId="0" borderId="0" xfId="0" applyFont="1"/>
    <xf numFmtId="0" fontId="5" fillId="4" borderId="0" xfId="0" applyFont="1" applyFill="1" applyAlignment="1">
      <alignment horizontal="center"/>
    </xf>
    <xf numFmtId="0" fontId="5" fillId="5" borderId="0" xfId="0" applyFont="1" applyFill="1" applyAlignment="1">
      <alignment horizontal="center"/>
    </xf>
    <xf numFmtId="0" fontId="6" fillId="6" borderId="0" xfId="0" applyFont="1" applyFill="1"/>
    <xf numFmtId="0" fontId="0" fillId="6" borderId="0" xfId="0" applyFill="1"/>
    <xf numFmtId="164" fontId="10" fillId="0" borderId="0" xfId="0" applyNumberFormat="1" applyFont="1" applyAlignment="1">
      <alignment horizontal="right"/>
    </xf>
    <xf numFmtId="165" fontId="12" fillId="0" borderId="0" xfId="0" applyNumberFormat="1" applyFont="1" applyAlignment="1">
      <alignment horizontal="right"/>
    </xf>
    <xf numFmtId="164" fontId="12" fillId="0" borderId="0" xfId="0" applyNumberFormat="1" applyFont="1" applyAlignment="1">
      <alignment horizontal="right"/>
    </xf>
    <xf numFmtId="166" fontId="12" fillId="0" borderId="0" xfId="0" applyNumberFormat="1" applyFont="1" applyAlignment="1">
      <alignment horizontal="right"/>
    </xf>
    <xf numFmtId="0" fontId="5" fillId="2" borderId="0" xfId="0" applyFont="1" applyFill="1" applyAlignment="1">
      <alignment horizontal="center"/>
    </xf>
    <xf numFmtId="0" fontId="5" fillId="7" borderId="0" xfId="0" applyFont="1" applyFill="1" applyAlignment="1">
      <alignment horizontal="center"/>
    </xf>
    <xf numFmtId="167" fontId="5" fillId="2" borderId="0" xfId="0" applyNumberFormat="1" applyFont="1" applyFill="1" applyAlignment="1">
      <alignment horizontal="center"/>
    </xf>
    <xf numFmtId="167" fontId="5" fillId="7" borderId="0" xfId="0" applyNumberFormat="1" applyFont="1" applyFill="1" applyAlignment="1">
      <alignment horizontal="center"/>
    </xf>
    <xf numFmtId="167" fontId="5" fillId="4" borderId="0" xfId="0" applyNumberFormat="1" applyFont="1" applyFill="1" applyAlignment="1">
      <alignment horizontal="center"/>
    </xf>
    <xf numFmtId="167" fontId="5" fillId="5" borderId="0" xfId="0" applyNumberFormat="1" applyFont="1" applyFill="1" applyAlignment="1">
      <alignment horizontal="center"/>
    </xf>
    <xf numFmtId="165" fontId="13" fillId="3" borderId="0" xfId="0" applyNumberFormat="1" applyFont="1" applyFill="1" applyAlignment="1">
      <alignment horizontal="right"/>
    </xf>
    <xf numFmtId="0" fontId="14" fillId="0" borderId="0" xfId="0" applyFont="1" applyAlignment="1">
      <alignment vertical="top" wrapText="1"/>
    </xf>
    <xf numFmtId="164" fontId="13" fillId="3" borderId="0" xfId="0" applyNumberFormat="1" applyFont="1" applyFill="1" applyAlignment="1">
      <alignment horizontal="right"/>
    </xf>
    <xf numFmtId="164" fontId="7" fillId="0" borderId="0" xfId="0" applyNumberFormat="1" applyFont="1" applyAlignment="1">
      <alignment horizontal="right"/>
    </xf>
    <xf numFmtId="169" fontId="13" fillId="0" borderId="0" xfId="0" applyNumberFormat="1" applyFont="1" applyAlignment="1">
      <alignment horizontal="right"/>
    </xf>
    <xf numFmtId="169" fontId="7" fillId="0" borderId="0" xfId="0" applyNumberFormat="1" applyFont="1" applyAlignment="1">
      <alignment horizontal="right"/>
    </xf>
    <xf numFmtId="170" fontId="7" fillId="0" borderId="0" xfId="0" applyNumberFormat="1" applyFont="1" applyAlignment="1">
      <alignment horizontal="right"/>
    </xf>
    <xf numFmtId="164" fontId="8" fillId="0" borderId="0" xfId="0" applyNumberFormat="1" applyFont="1" applyAlignment="1">
      <alignment horizontal="right"/>
    </xf>
    <xf numFmtId="164" fontId="9" fillId="0" borderId="0" xfId="0" applyNumberFormat="1" applyFont="1" applyAlignment="1">
      <alignment horizontal="right"/>
    </xf>
    <xf numFmtId="164" fontId="13" fillId="0" borderId="0" xfId="0" applyNumberFormat="1" applyFont="1" applyAlignment="1">
      <alignment horizontal="right"/>
    </xf>
    <xf numFmtId="0" fontId="9" fillId="0" borderId="1" xfId="0" applyFont="1" applyBorder="1"/>
    <xf numFmtId="164" fontId="9" fillId="0" borderId="1" xfId="0" applyNumberFormat="1" applyFont="1" applyBorder="1" applyAlignment="1">
      <alignment horizontal="right"/>
    </xf>
    <xf numFmtId="0" fontId="15" fillId="0" borderId="0" xfId="0" applyFont="1" applyAlignment="1">
      <alignment indent="1"/>
    </xf>
    <xf numFmtId="165" fontId="7" fillId="0" borderId="0" xfId="0" applyNumberFormat="1" applyFont="1" applyAlignment="1">
      <alignment horizontal="right"/>
    </xf>
    <xf numFmtId="0" fontId="7" fillId="0" borderId="1" xfId="0" applyFont="1" applyBorder="1"/>
    <xf numFmtId="164" fontId="7" fillId="0" borderId="1" xfId="0" applyNumberFormat="1" applyFont="1" applyBorder="1" applyAlignment="1">
      <alignment horizontal="right"/>
    </xf>
    <xf numFmtId="166" fontId="9" fillId="0" borderId="0" xfId="0" applyNumberFormat="1" applyFont="1" applyAlignment="1">
      <alignment horizontal="right"/>
    </xf>
    <xf numFmtId="0" fontId="7" fillId="0" borderId="0" xfId="0" applyFont="1" applyAlignment="1">
      <alignment indent="1"/>
    </xf>
    <xf numFmtId="0" fontId="4" fillId="8" borderId="0" xfId="0" applyFont="1" applyFill="1" applyAlignment="1">
      <alignment horizontal="right"/>
    </xf>
    <xf numFmtId="0" fontId="0" fillId="8" borderId="0" xfId="0" applyFill="1"/>
    <xf numFmtId="0" fontId="0" fillId="8" borderId="1" xfId="0" applyFill="1" applyBorder="1"/>
    <xf numFmtId="0" fontId="15" fillId="0" borderId="0" xfId="0" applyFont="1"/>
    <xf numFmtId="0" fontId="16" fillId="0" borderId="0" xfId="0" applyFont="1"/>
    <xf numFmtId="0" fontId="16" fillId="0" borderId="0" xfId="0" applyFont="1" applyAlignment="1">
      <alignment horizontal="left"/>
    </xf>
    <xf numFmtId="0" fontId="14" fillId="0" borderId="0" xfId="0" applyFont="1"/>
    <xf numFmtId="0" fontId="11" fillId="0" borderId="0" xfId="0" applyFont="1" applyAlignment="1">
      <alignment vertical="center"/>
    </xf>
    <xf numFmtId="0" fontId="15" fillId="0" borderId="0" xfId="0" applyFont="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0" fontId="7" fillId="0" borderId="0" xfId="0" applyFont="1" applyAlignment="1">
      <alignment vertical="center"/>
    </xf>
    <xf numFmtId="169" fontId="13" fillId="0" borderId="0" xfId="0" applyNumberFormat="1" applyFont="1" applyAlignment="1">
      <alignment vertical="center"/>
    </xf>
    <xf numFmtId="165" fontId="7" fillId="0" borderId="0" xfId="0" applyNumberFormat="1" applyFont="1" applyAlignment="1">
      <alignment horizontal="right" vertical="center"/>
    </xf>
    <xf numFmtId="0" fontId="9" fillId="0" borderId="0" xfId="0" applyFont="1" applyAlignment="1">
      <alignment vertical="center"/>
    </xf>
    <xf numFmtId="165" fontId="9" fillId="0" borderId="0" xfId="0" applyNumberFormat="1" applyFont="1" applyAlignment="1">
      <alignment horizontal="right" vertical="center"/>
    </xf>
    <xf numFmtId="169" fontId="7" fillId="0" borderId="0" xfId="0" applyNumberFormat="1" applyFont="1" applyAlignment="1">
      <alignment horizontal="right" vertical="center"/>
    </xf>
    <xf numFmtId="0" fontId="7" fillId="0" borderId="0" xfId="0" applyFont="1" applyAlignment="1">
      <alignment horizontal="right" vertical="center"/>
    </xf>
    <xf numFmtId="171" fontId="13" fillId="0" borderId="0" xfId="0" applyNumberFormat="1" applyFont="1" applyAlignment="1">
      <alignment horizontal="right" vertical="center"/>
    </xf>
    <xf numFmtId="169" fontId="13" fillId="0" borderId="0" xfId="0" applyNumberFormat="1" applyFont="1" applyAlignment="1">
      <alignment horizontal="right" vertical="center"/>
    </xf>
    <xf numFmtId="169" fontId="9" fillId="0" borderId="0" xfId="0" applyNumberFormat="1" applyFont="1" applyAlignment="1">
      <alignment horizontal="right" vertical="center"/>
    </xf>
    <xf numFmtId="0" fontId="17" fillId="0" borderId="0" xfId="0" applyFont="1"/>
    <xf numFmtId="0" fontId="9" fillId="0" borderId="0" xfId="0" applyFont="1" applyAlignment="1">
      <alignment horizontal="right"/>
    </xf>
    <xf numFmtId="0" fontId="18" fillId="0" borderId="0" xfId="0" applyFont="1"/>
    <xf numFmtId="0" fontId="18" fillId="0" borderId="0" xfId="0" applyFont="1" applyAlignment="1">
      <alignment vertical="center"/>
    </xf>
    <xf numFmtId="0" fontId="19" fillId="0" borderId="0" xfId="0" applyFont="1" applyAlignment="1">
      <alignment vertical="top" wrapText="1"/>
    </xf>
    <xf numFmtId="0" fontId="18" fillId="0" borderId="0" xfId="0" applyFont="1" applyAlignment="1">
      <alignment vertical="top" wrapText="1"/>
    </xf>
    <xf numFmtId="0" fontId="17" fillId="0" borderId="0" xfId="0" applyFont="1" applyAlignment="1">
      <alignment vertical="center"/>
    </xf>
    <xf numFmtId="169" fontId="9" fillId="0" borderId="0" xfId="0" applyNumberFormat="1" applyFont="1" applyAlignment="1">
      <alignment horizontal="right"/>
    </xf>
    <xf numFmtId="0" fontId="20" fillId="0" borderId="0" xfId="0" applyFont="1" applyAlignment="1">
      <alignment vertical="center"/>
    </xf>
    <xf numFmtId="165" fontId="15" fillId="0" borderId="0" xfId="0" applyNumberFormat="1" applyFont="1" applyAlignment="1">
      <alignment horizontal="right"/>
    </xf>
    <xf numFmtId="172" fontId="9" fillId="0" borderId="0" xfId="0" applyNumberFormat="1" applyFont="1" applyAlignment="1">
      <alignment horizontal="right"/>
    </xf>
    <xf numFmtId="0" fontId="20" fillId="0" borderId="0" xfId="0" applyFont="1"/>
    <xf numFmtId="165" fontId="9" fillId="0" borderId="0" xfId="0" applyNumberFormat="1" applyFont="1" applyAlignment="1">
      <alignment horizontal="right"/>
    </xf>
    <xf numFmtId="0" fontId="21" fillId="0" borderId="0" xfId="0" applyFont="1"/>
    <xf numFmtId="0" fontId="22" fillId="0" borderId="0" xfId="0" applyFont="1"/>
    <xf numFmtId="0" fontId="5" fillId="2" borderId="0" xfId="0" applyFont="1" applyFill="1" applyAlignment="1">
      <alignment horizontal="left"/>
    </xf>
    <xf numFmtId="169" fontId="18" fillId="0" borderId="0" xfId="0" applyNumberFormat="1" applyFont="1"/>
    <xf numFmtId="165" fontId="18" fillId="0" borderId="0" xfId="0" applyNumberFormat="1" applyFont="1"/>
    <xf numFmtId="0" fontId="19" fillId="0" borderId="0" xfId="0" applyFont="1"/>
    <xf numFmtId="169" fontId="13" fillId="0" borderId="0" xfId="0" applyNumberFormat="1" applyFont="1"/>
    <xf numFmtId="173" fontId="13" fillId="3" borderId="0" xfId="0" applyNumberFormat="1" applyFont="1" applyFill="1"/>
    <xf numFmtId="165" fontId="13" fillId="3" borderId="0" xfId="0" applyNumberFormat="1" applyFont="1" applyFill="1"/>
    <xf numFmtId="1" fontId="13" fillId="3" borderId="0" xfId="0" applyNumberFormat="1" applyFont="1" applyFill="1"/>
    <xf numFmtId="174" fontId="13" fillId="3" borderId="0" xfId="0" applyNumberFormat="1" applyFont="1" applyFill="1"/>
    <xf numFmtId="169" fontId="13" fillId="3" borderId="0" xfId="0" applyNumberFormat="1" applyFont="1" applyFill="1"/>
    <xf numFmtId="171" fontId="13" fillId="3" borderId="0" xfId="0" applyNumberFormat="1" applyFont="1" applyFill="1"/>
    <xf numFmtId="171" fontId="18" fillId="0" borderId="0" xfId="0" applyNumberFormat="1" applyFont="1"/>
    <xf numFmtId="169" fontId="17" fillId="0" borderId="0" xfId="0" applyNumberFormat="1" applyFont="1"/>
    <xf numFmtId="2" fontId="18" fillId="0" borderId="0" xfId="0" applyNumberFormat="1" applyFont="1"/>
    <xf numFmtId="175" fontId="18" fillId="0" borderId="0" xfId="0" applyNumberFormat="1" applyFont="1"/>
    <xf numFmtId="171" fontId="17" fillId="0" borderId="0" xfId="0" applyNumberFormat="1" applyFont="1"/>
    <xf numFmtId="174" fontId="18" fillId="0" borderId="0" xfId="0" applyNumberFormat="1" applyFont="1"/>
    <xf numFmtId="165" fontId="17" fillId="6" borderId="0" xfId="0" applyNumberFormat="1" applyFont="1" applyFill="1"/>
    <xf numFmtId="174" fontId="17" fillId="6" borderId="0" xfId="0" applyNumberFormat="1" applyFont="1" applyFill="1"/>
    <xf numFmtId="0" fontId="7" fillId="0" borderId="0" xfId="0" applyFont="1" applyAlignment="1">
      <alignment vertical="top" wrapText="1"/>
    </xf>
    <xf numFmtId="0" fontId="15" fillId="0" borderId="0" xfId="0" applyFont="1" applyAlignment="1">
      <alignment vertical="top" wrapText="1"/>
    </xf>
    <xf numFmtId="0" fontId="7" fillId="0" borderId="0" xfId="0" applyFont="1" applyAlignment="1">
      <alignment vertical="center" wrapText="1"/>
    </xf>
    <xf numFmtId="1" fontId="7" fillId="0" borderId="0" xfId="0" applyNumberFormat="1" applyFont="1" applyAlignment="1">
      <alignment horizontal="right"/>
    </xf>
    <xf numFmtId="176" fontId="7" fillId="0" borderId="0" xfId="0" applyNumberFormat="1" applyFont="1" applyAlignment="1">
      <alignment horizontal="right"/>
    </xf>
    <xf numFmtId="176" fontId="12" fillId="0" borderId="0" xfId="0" applyNumberFormat="1" applyFont="1" applyAlignment="1">
      <alignment horizontal="right"/>
    </xf>
    <xf numFmtId="176" fontId="13" fillId="3" borderId="0" xfId="0" applyNumberFormat="1" applyFont="1" applyFill="1" applyAlignment="1">
      <alignment horizontal="right"/>
    </xf>
    <xf numFmtId="9" fontId="20" fillId="0" borderId="0" xfId="2" applyFont="1" applyAlignment="1">
      <alignment horizontal="right"/>
    </xf>
    <xf numFmtId="9" fontId="13" fillId="3" borderId="0" xfId="2" applyFont="1" applyFill="1" applyAlignment="1">
      <alignment horizontal="right"/>
    </xf>
    <xf numFmtId="169" fontId="2" fillId="0" borderId="0" xfId="0" applyNumberFormat="1" applyFont="1" applyAlignment="1">
      <alignment horizontal="right"/>
    </xf>
    <xf numFmtId="178" fontId="13" fillId="3" borderId="0" xfId="1" applyNumberFormat="1" applyFont="1" applyFill="1" applyAlignment="1">
      <alignment horizontal="right"/>
    </xf>
    <xf numFmtId="164" fontId="9" fillId="9" borderId="0" xfId="0" applyNumberFormat="1" applyFont="1" applyFill="1" applyAlignment="1">
      <alignment horizontal="right"/>
    </xf>
    <xf numFmtId="164" fontId="7" fillId="9" borderId="0" xfId="0" applyNumberFormat="1" applyFont="1" applyFill="1" applyAlignment="1">
      <alignment horizontal="right"/>
    </xf>
    <xf numFmtId="164" fontId="9" fillId="9" borderId="1" xfId="0" applyNumberFormat="1" applyFont="1" applyFill="1" applyBorder="1" applyAlignment="1">
      <alignment horizontal="right"/>
    </xf>
    <xf numFmtId="165" fontId="7" fillId="9" borderId="0" xfId="0" applyNumberFormat="1" applyFont="1" applyFill="1" applyAlignment="1">
      <alignment horizontal="right"/>
    </xf>
    <xf numFmtId="0" fontId="0" fillId="9" borderId="0" xfId="0" applyFill="1"/>
    <xf numFmtId="164" fontId="12" fillId="9" borderId="0" xfId="0" applyNumberFormat="1" applyFont="1" applyFill="1" applyAlignment="1">
      <alignment horizontal="right"/>
    </xf>
    <xf numFmtId="164" fontId="7" fillId="9" borderId="1" xfId="0" applyNumberFormat="1" applyFont="1" applyFill="1" applyBorder="1" applyAlignment="1">
      <alignment horizontal="right"/>
    </xf>
    <xf numFmtId="166" fontId="9" fillId="9" borderId="0" xfId="0" applyNumberFormat="1" applyFont="1" applyFill="1" applyAlignment="1">
      <alignment horizontal="right"/>
    </xf>
    <xf numFmtId="0" fontId="27" fillId="0" borderId="0" xfId="0" applyFont="1"/>
    <xf numFmtId="0" fontId="28" fillId="0" borderId="0" xfId="0" applyFont="1"/>
    <xf numFmtId="0" fontId="29" fillId="0" borderId="0" xfId="0" applyFont="1"/>
    <xf numFmtId="0" fontId="30" fillId="0" borderId="0" xfId="0" applyFont="1" applyAlignment="1">
      <alignment horizontal="center" wrapText="1"/>
    </xf>
    <xf numFmtId="0" fontId="30" fillId="0" borderId="0" xfId="0" applyFont="1" applyAlignment="1">
      <alignment horizontal="left" wrapText="1"/>
    </xf>
    <xf numFmtId="0" fontId="30" fillId="0" borderId="0" xfId="0" applyFont="1" applyAlignment="1">
      <alignment horizontal="center" wrapText="1"/>
    </xf>
    <xf numFmtId="0" fontId="30" fillId="0" borderId="2" xfId="0" applyFont="1" applyBorder="1" applyAlignment="1">
      <alignment horizontal="left" wrapText="1"/>
    </xf>
    <xf numFmtId="0" fontId="30" fillId="0" borderId="2" xfId="0" applyFont="1" applyBorder="1" applyAlignment="1">
      <alignment horizontal="center" wrapText="1"/>
    </xf>
    <xf numFmtId="0" fontId="5" fillId="10" borderId="0" xfId="0" applyFont="1" applyFill="1"/>
    <xf numFmtId="0" fontId="30" fillId="11" borderId="0" xfId="0" applyFont="1" applyFill="1"/>
    <xf numFmtId="164" fontId="27" fillId="0" borderId="0" xfId="0" applyNumberFormat="1" applyFont="1" applyAlignment="1">
      <alignment horizontal="right"/>
    </xf>
    <xf numFmtId="179" fontId="27" fillId="0" borderId="0" xfId="0" applyNumberFormat="1" applyFont="1" applyAlignment="1">
      <alignment horizontal="right"/>
    </xf>
    <xf numFmtId="180" fontId="27" fillId="0" borderId="0" xfId="0" applyNumberFormat="1" applyFont="1" applyAlignment="1">
      <alignment horizontal="right"/>
    </xf>
    <xf numFmtId="181" fontId="27" fillId="0" borderId="0" xfId="0" applyNumberFormat="1" applyFont="1" applyAlignment="1">
      <alignment horizontal="right"/>
    </xf>
    <xf numFmtId="164" fontId="30" fillId="11" borderId="0" xfId="0" applyNumberFormat="1" applyFont="1" applyFill="1" applyAlignment="1">
      <alignment horizontal="right"/>
    </xf>
    <xf numFmtId="179" fontId="30" fillId="11" borderId="0" xfId="0" applyNumberFormat="1" applyFont="1" applyFill="1" applyAlignment="1">
      <alignment horizontal="right"/>
    </xf>
    <xf numFmtId="180" fontId="30" fillId="11" borderId="0" xfId="0" applyNumberFormat="1" applyFont="1" applyFill="1" applyAlignment="1">
      <alignment horizontal="right"/>
    </xf>
    <xf numFmtId="181" fontId="30" fillId="11" borderId="0" xfId="0" applyNumberFormat="1" applyFont="1" applyFill="1" applyAlignment="1">
      <alignment horizontal="right"/>
    </xf>
    <xf numFmtId="164" fontId="28" fillId="0" borderId="0" xfId="0" applyNumberFormat="1" applyFont="1" applyAlignment="1">
      <alignment horizontal="right"/>
    </xf>
    <xf numFmtId="179" fontId="28" fillId="0" borderId="0" xfId="0" applyNumberFormat="1" applyFont="1" applyAlignment="1">
      <alignment horizontal="right"/>
    </xf>
    <xf numFmtId="180" fontId="28" fillId="0" borderId="0" xfId="0" applyNumberFormat="1" applyFont="1" applyAlignment="1">
      <alignment horizontal="right"/>
    </xf>
    <xf numFmtId="181" fontId="28" fillId="0" borderId="0" xfId="0" applyNumberFormat="1" applyFont="1" applyAlignment="1">
      <alignment horizontal="right"/>
    </xf>
    <xf numFmtId="169" fontId="12" fillId="0" borderId="0" xfId="0" applyNumberFormat="1" applyFont="1"/>
    <xf numFmtId="169" fontId="7" fillId="0" borderId="0" xfId="0" applyNumberFormat="1" applyFont="1"/>
    <xf numFmtId="165" fontId="13" fillId="0" borderId="0" xfId="0" applyNumberFormat="1" applyFont="1"/>
    <xf numFmtId="165" fontId="7" fillId="0" borderId="0" xfId="0" applyNumberFormat="1" applyFont="1"/>
    <xf numFmtId="165" fontId="12" fillId="0" borderId="0" xfId="0" applyNumberFormat="1" applyFont="1"/>
    <xf numFmtId="169" fontId="31" fillId="0" borderId="0" xfId="0" applyNumberFormat="1" applyFont="1"/>
    <xf numFmtId="169" fontId="15" fillId="0" borderId="0" xfId="0" applyNumberFormat="1" applyFont="1"/>
    <xf numFmtId="165" fontId="31" fillId="0" borderId="0" xfId="0" applyNumberFormat="1" applyFont="1"/>
    <xf numFmtId="165" fontId="15" fillId="0" borderId="0" xfId="0" applyNumberFormat="1" applyFont="1"/>
    <xf numFmtId="183" fontId="13" fillId="3" borderId="0" xfId="1" applyNumberFormat="1" applyFont="1" applyFill="1"/>
    <xf numFmtId="43" fontId="13" fillId="3" borderId="0" xfId="1" applyNumberFormat="1" applyFont="1" applyFill="1"/>
    <xf numFmtId="0" fontId="32" fillId="12" borderId="0" xfId="3" applyFont="1" applyFill="1" applyAlignment="1">
      <alignment horizontal="left" vertical="top"/>
    </xf>
    <xf numFmtId="0" fontId="32" fillId="12" borderId="0" xfId="3" applyFont="1" applyFill="1" applyAlignment="1">
      <alignment horizontal="right" vertical="top"/>
    </xf>
    <xf numFmtId="0" fontId="1" fillId="0" borderId="0" xfId="3"/>
    <xf numFmtId="14" fontId="1" fillId="0" borderId="0" xfId="3" applyNumberFormat="1" applyAlignment="1">
      <alignment horizontal="left" vertical="top" wrapText="1"/>
    </xf>
    <xf numFmtId="184" fontId="1" fillId="0" borderId="0" xfId="3" applyNumberFormat="1" applyAlignment="1">
      <alignment horizontal="right" vertical="top" wrapText="1"/>
    </xf>
    <xf numFmtId="185" fontId="1" fillId="0" borderId="0" xfId="3" applyNumberFormat="1" applyAlignment="1">
      <alignment horizontal="right" vertical="top" wrapText="1"/>
    </xf>
    <xf numFmtId="0" fontId="1" fillId="0" borderId="0" xfId="3" applyAlignment="1">
      <alignment horizontal="left" vertical="top"/>
    </xf>
    <xf numFmtId="0" fontId="5" fillId="13" borderId="0" xfId="0" applyFont="1" applyFill="1" applyAlignment="1">
      <alignment horizontal="centerContinuous"/>
    </xf>
    <xf numFmtId="0" fontId="33" fillId="10" borderId="0" xfId="0" applyFont="1" applyFill="1" applyAlignment="1">
      <alignment horizontal="center" vertical="center" wrapText="1"/>
    </xf>
    <xf numFmtId="0" fontId="34" fillId="0" borderId="0" xfId="0" applyFont="1"/>
    <xf numFmtId="0" fontId="35" fillId="0" borderId="0" xfId="0" applyFont="1"/>
    <xf numFmtId="3" fontId="0" fillId="0" borderId="0" xfId="0" applyNumberFormat="1"/>
    <xf numFmtId="186" fontId="0" fillId="0" borderId="0" xfId="0" applyNumberFormat="1"/>
    <xf numFmtId="187" fontId="0" fillId="0" borderId="0" xfId="0" applyNumberFormat="1"/>
    <xf numFmtId="188" fontId="0" fillId="0" borderId="0" xfId="0" applyNumberFormat="1"/>
    <xf numFmtId="0" fontId="34" fillId="0" borderId="3" xfId="0" applyFont="1" applyBorder="1"/>
    <xf numFmtId="188" fontId="34" fillId="0" borderId="3" xfId="0" applyNumberFormat="1" applyFont="1" applyBorder="1"/>
    <xf numFmtId="186" fontId="25" fillId="0" borderId="0" xfId="0" applyNumberFormat="1" applyFont="1"/>
    <xf numFmtId="187" fontId="25" fillId="0" borderId="0" xfId="0" applyNumberFormat="1" applyFont="1"/>
    <xf numFmtId="185" fontId="25" fillId="0" borderId="0" xfId="0" applyNumberFormat="1" applyFont="1"/>
    <xf numFmtId="188" fontId="25" fillId="0" borderId="0" xfId="0" applyNumberFormat="1" applyFont="1"/>
    <xf numFmtId="0" fontId="33" fillId="10" borderId="0" xfId="0" applyFont="1" applyFill="1" applyAlignment="1">
      <alignment vertical="top" wrapText="1"/>
    </xf>
    <xf numFmtId="0" fontId="0" fillId="10" borderId="0" xfId="0" applyFill="1" applyAlignment="1">
      <alignment vertical="top" wrapText="1"/>
    </xf>
    <xf numFmtId="0" fontId="36" fillId="14" borderId="0" xfId="0" applyFont="1" applyFill="1" applyAlignment="1">
      <alignment vertical="top" wrapText="1"/>
    </xf>
    <xf numFmtId="0" fontId="37" fillId="14" borderId="0" xfId="0" applyFont="1" applyFill="1" applyAlignment="1">
      <alignment vertical="top" wrapText="1"/>
    </xf>
    <xf numFmtId="174" fontId="0" fillId="0" borderId="0" xfId="0" applyNumberFormat="1"/>
  </cellXfs>
  <cellStyles count="4">
    <cellStyle name="Comma" xfId="1" builtinId="3"/>
    <cellStyle name="Normal" xfId="0" builtinId="0"/>
    <cellStyle name="Normal 2" xfId="3" xr:uid="{517F58D4-DA42-4ABF-AE72-DECE030A2297}"/>
    <cellStyle name="Percent" xfId="2" builtinId="5"/>
  </cellStyles>
  <dxfs count="2">
    <dxf>
      <font>
        <b/>
        <color rgb="FF9C0006"/>
        <name val="Arial"/>
        <charset val="1"/>
      </font>
      <fill>
        <patternFill>
          <bgColor rgb="FFFFC7CE"/>
        </patternFill>
      </fill>
    </dxf>
    <dxf>
      <font>
        <b/>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1B6B6B"/>
      <rgbColor rgb="FFC0C0C0"/>
      <rgbColor rgb="FF808080"/>
      <rgbColor rgb="FF9999FF"/>
      <rgbColor rgb="FF7030A0"/>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2E75B6"/>
      <rgbColor rgb="FF33CCCC"/>
      <rgbColor rgb="FF99CC00"/>
      <rgbColor rgb="FFFFCC00"/>
      <rgbColor rgb="FFBF9000"/>
      <rgbColor rgb="FFFF6600"/>
      <rgbColor rgb="FF7F7F7F"/>
      <rgbColor rgb="FF999999"/>
      <rgbColor rgb="FF1F3864"/>
      <rgbColor rgb="FF339966"/>
      <rgbColor rgb="FF006100"/>
      <rgbColor rgb="FF333300"/>
      <rgbColor rgb="FF993300"/>
      <rgbColor rgb="FF993366"/>
      <rgbColor rgb="FF333399"/>
      <rgbColor rgb="FF3857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'Multiples Trade'!$AG$3</c:f>
          <c:strCache>
            <c:ptCount val="1"/>
            <c:pt idx="0">
              <c:v>EV / LTM Revenue: PUBM vs TTD (10/3/25 – 10/2/26)</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v>PUBM earnings</c:v>
          </c:tx>
          <c:spPr>
            <a:solidFill>
              <a:srgbClr val="1F3864"/>
            </a:solidFill>
            <a:ln w="25400">
              <a:noFill/>
            </a:ln>
            <a:effectLst/>
          </c:spPr>
          <c:invertIfNegative val="0"/>
          <c:cat>
            <c:numRef>
              <c:f>'Multiples Trade'!$S$5:$S$255</c:f>
              <c:numCache>
                <c:formatCode>m/d/yy</c:formatCode>
                <c:ptCount val="251"/>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pt idx="65">
                  <c:v>46204</c:v>
                </c:pt>
                <c:pt idx="66">
                  <c:v>46203</c:v>
                </c:pt>
                <c:pt idx="67">
                  <c:v>46202</c:v>
                </c:pt>
                <c:pt idx="68">
                  <c:v>46199</c:v>
                </c:pt>
                <c:pt idx="69">
                  <c:v>46198</c:v>
                </c:pt>
                <c:pt idx="70">
                  <c:v>46197</c:v>
                </c:pt>
                <c:pt idx="71">
                  <c:v>46196</c:v>
                </c:pt>
                <c:pt idx="72">
                  <c:v>46195</c:v>
                </c:pt>
                <c:pt idx="73">
                  <c:v>46191</c:v>
                </c:pt>
                <c:pt idx="74">
                  <c:v>46190</c:v>
                </c:pt>
                <c:pt idx="75">
                  <c:v>46189</c:v>
                </c:pt>
                <c:pt idx="76">
                  <c:v>46188</c:v>
                </c:pt>
                <c:pt idx="77">
                  <c:v>46185</c:v>
                </c:pt>
                <c:pt idx="78">
                  <c:v>46184</c:v>
                </c:pt>
                <c:pt idx="79">
                  <c:v>46183</c:v>
                </c:pt>
                <c:pt idx="80">
                  <c:v>46182</c:v>
                </c:pt>
                <c:pt idx="81">
                  <c:v>46181</c:v>
                </c:pt>
                <c:pt idx="82">
                  <c:v>46178</c:v>
                </c:pt>
                <c:pt idx="83">
                  <c:v>46177</c:v>
                </c:pt>
                <c:pt idx="84">
                  <c:v>46176</c:v>
                </c:pt>
                <c:pt idx="85">
                  <c:v>46175</c:v>
                </c:pt>
                <c:pt idx="86">
                  <c:v>46174</c:v>
                </c:pt>
                <c:pt idx="87">
                  <c:v>46171</c:v>
                </c:pt>
                <c:pt idx="88">
                  <c:v>46170</c:v>
                </c:pt>
                <c:pt idx="89">
                  <c:v>46169</c:v>
                </c:pt>
                <c:pt idx="90">
                  <c:v>46168</c:v>
                </c:pt>
                <c:pt idx="91">
                  <c:v>46164</c:v>
                </c:pt>
                <c:pt idx="92">
                  <c:v>46163</c:v>
                </c:pt>
                <c:pt idx="93">
                  <c:v>46162</c:v>
                </c:pt>
                <c:pt idx="94">
                  <c:v>46161</c:v>
                </c:pt>
                <c:pt idx="95">
                  <c:v>46160</c:v>
                </c:pt>
                <c:pt idx="96">
                  <c:v>46157</c:v>
                </c:pt>
                <c:pt idx="97">
                  <c:v>46156</c:v>
                </c:pt>
                <c:pt idx="98">
                  <c:v>46155</c:v>
                </c:pt>
                <c:pt idx="99">
                  <c:v>46154</c:v>
                </c:pt>
                <c:pt idx="100">
                  <c:v>46153</c:v>
                </c:pt>
                <c:pt idx="101">
                  <c:v>46150</c:v>
                </c:pt>
                <c:pt idx="102">
                  <c:v>46149</c:v>
                </c:pt>
                <c:pt idx="103">
                  <c:v>46148</c:v>
                </c:pt>
                <c:pt idx="104">
                  <c:v>46147</c:v>
                </c:pt>
                <c:pt idx="105">
                  <c:v>46146</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46118</c:v>
                </c:pt>
                <c:pt idx="126">
                  <c:v>46114</c:v>
                </c:pt>
                <c:pt idx="127">
                  <c:v>46113</c:v>
                </c:pt>
                <c:pt idx="128">
                  <c:v>46112</c:v>
                </c:pt>
                <c:pt idx="129">
                  <c:v>46111</c:v>
                </c:pt>
                <c:pt idx="130">
                  <c:v>46108</c:v>
                </c:pt>
                <c:pt idx="131">
                  <c:v>46107</c:v>
                </c:pt>
                <c:pt idx="132">
                  <c:v>46106</c:v>
                </c:pt>
                <c:pt idx="133">
                  <c:v>46105</c:v>
                </c:pt>
                <c:pt idx="134">
                  <c:v>46104</c:v>
                </c:pt>
                <c:pt idx="135">
                  <c:v>46101</c:v>
                </c:pt>
                <c:pt idx="136">
                  <c:v>46100</c:v>
                </c:pt>
                <c:pt idx="137">
                  <c:v>46099</c:v>
                </c:pt>
                <c:pt idx="138">
                  <c:v>46098</c:v>
                </c:pt>
                <c:pt idx="139">
                  <c:v>46097</c:v>
                </c:pt>
                <c:pt idx="140">
                  <c:v>46094</c:v>
                </c:pt>
                <c:pt idx="141">
                  <c:v>46093</c:v>
                </c:pt>
                <c:pt idx="142">
                  <c:v>46092</c:v>
                </c:pt>
                <c:pt idx="143">
                  <c:v>46091</c:v>
                </c:pt>
                <c:pt idx="144">
                  <c:v>46090</c:v>
                </c:pt>
                <c:pt idx="145">
                  <c:v>46087</c:v>
                </c:pt>
                <c:pt idx="146">
                  <c:v>46086</c:v>
                </c:pt>
                <c:pt idx="147">
                  <c:v>46085</c:v>
                </c:pt>
                <c:pt idx="148">
                  <c:v>46084</c:v>
                </c:pt>
                <c:pt idx="149">
                  <c:v>46083</c:v>
                </c:pt>
                <c:pt idx="150">
                  <c:v>46080</c:v>
                </c:pt>
                <c:pt idx="151">
                  <c:v>46079</c:v>
                </c:pt>
                <c:pt idx="152">
                  <c:v>46078</c:v>
                </c:pt>
                <c:pt idx="153">
                  <c:v>46077</c:v>
                </c:pt>
                <c:pt idx="154">
                  <c:v>46076</c:v>
                </c:pt>
                <c:pt idx="155">
                  <c:v>46073</c:v>
                </c:pt>
                <c:pt idx="156">
                  <c:v>46072</c:v>
                </c:pt>
                <c:pt idx="157">
                  <c:v>46071</c:v>
                </c:pt>
                <c:pt idx="158">
                  <c:v>46070</c:v>
                </c:pt>
                <c:pt idx="159">
                  <c:v>46066</c:v>
                </c:pt>
                <c:pt idx="160">
                  <c:v>46065</c:v>
                </c:pt>
                <c:pt idx="161">
                  <c:v>46064</c:v>
                </c:pt>
                <c:pt idx="162">
                  <c:v>46063</c:v>
                </c:pt>
                <c:pt idx="163">
                  <c:v>46062</c:v>
                </c:pt>
                <c:pt idx="164">
                  <c:v>46059</c:v>
                </c:pt>
                <c:pt idx="165">
                  <c:v>46058</c:v>
                </c:pt>
                <c:pt idx="166">
                  <c:v>46057</c:v>
                </c:pt>
                <c:pt idx="167">
                  <c:v>46056</c:v>
                </c:pt>
                <c:pt idx="168">
                  <c:v>46055</c:v>
                </c:pt>
                <c:pt idx="169">
                  <c:v>46052</c:v>
                </c:pt>
                <c:pt idx="170">
                  <c:v>46051</c:v>
                </c:pt>
                <c:pt idx="171">
                  <c:v>46050</c:v>
                </c:pt>
                <c:pt idx="172">
                  <c:v>46049</c:v>
                </c:pt>
                <c:pt idx="173">
                  <c:v>46048</c:v>
                </c:pt>
                <c:pt idx="174">
                  <c:v>46045</c:v>
                </c:pt>
                <c:pt idx="175">
                  <c:v>46044</c:v>
                </c:pt>
                <c:pt idx="176">
                  <c:v>46043</c:v>
                </c:pt>
                <c:pt idx="177">
                  <c:v>46042</c:v>
                </c:pt>
                <c:pt idx="178">
                  <c:v>46038</c:v>
                </c:pt>
                <c:pt idx="179">
                  <c:v>46037</c:v>
                </c:pt>
                <c:pt idx="180">
                  <c:v>46036</c:v>
                </c:pt>
                <c:pt idx="181">
                  <c:v>46035</c:v>
                </c:pt>
                <c:pt idx="182">
                  <c:v>46034</c:v>
                </c:pt>
                <c:pt idx="183">
                  <c:v>46031</c:v>
                </c:pt>
                <c:pt idx="184">
                  <c:v>46030</c:v>
                </c:pt>
                <c:pt idx="185">
                  <c:v>46029</c:v>
                </c:pt>
                <c:pt idx="186">
                  <c:v>46028</c:v>
                </c:pt>
                <c:pt idx="187">
                  <c:v>46027</c:v>
                </c:pt>
                <c:pt idx="188">
                  <c:v>46024</c:v>
                </c:pt>
                <c:pt idx="189">
                  <c:v>46022</c:v>
                </c:pt>
                <c:pt idx="190">
                  <c:v>46021</c:v>
                </c:pt>
                <c:pt idx="191">
                  <c:v>46020</c:v>
                </c:pt>
                <c:pt idx="192">
                  <c:v>46017</c:v>
                </c:pt>
                <c:pt idx="193">
                  <c:v>46015</c:v>
                </c:pt>
                <c:pt idx="194">
                  <c:v>46014</c:v>
                </c:pt>
                <c:pt idx="195">
                  <c:v>46013</c:v>
                </c:pt>
                <c:pt idx="196">
                  <c:v>46010</c:v>
                </c:pt>
                <c:pt idx="197">
                  <c:v>46009</c:v>
                </c:pt>
                <c:pt idx="198">
                  <c:v>46008</c:v>
                </c:pt>
                <c:pt idx="199">
                  <c:v>46007</c:v>
                </c:pt>
                <c:pt idx="200">
                  <c:v>46006</c:v>
                </c:pt>
                <c:pt idx="201">
                  <c:v>46003</c:v>
                </c:pt>
                <c:pt idx="202">
                  <c:v>46002</c:v>
                </c:pt>
                <c:pt idx="203">
                  <c:v>46001</c:v>
                </c:pt>
                <c:pt idx="204">
                  <c:v>46000</c:v>
                </c:pt>
                <c:pt idx="205">
                  <c:v>45999</c:v>
                </c:pt>
                <c:pt idx="206">
                  <c:v>45996</c:v>
                </c:pt>
                <c:pt idx="207">
                  <c:v>45995</c:v>
                </c:pt>
                <c:pt idx="208">
                  <c:v>45994</c:v>
                </c:pt>
                <c:pt idx="209">
                  <c:v>45993</c:v>
                </c:pt>
                <c:pt idx="210">
                  <c:v>45992</c:v>
                </c:pt>
                <c:pt idx="211">
                  <c:v>45989</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45966</c:v>
                </c:pt>
                <c:pt idx="228">
                  <c:v>45965</c:v>
                </c:pt>
                <c:pt idx="229">
                  <c:v>45964</c:v>
                </c:pt>
                <c:pt idx="230">
                  <c:v>45961</c:v>
                </c:pt>
                <c:pt idx="231">
                  <c:v>45960</c:v>
                </c:pt>
                <c:pt idx="232">
                  <c:v>45959</c:v>
                </c:pt>
                <c:pt idx="233">
                  <c:v>45958</c:v>
                </c:pt>
                <c:pt idx="234">
                  <c:v>45957</c:v>
                </c:pt>
                <c:pt idx="235">
                  <c:v>45954</c:v>
                </c:pt>
                <c:pt idx="236">
                  <c:v>45953</c:v>
                </c:pt>
                <c:pt idx="237">
                  <c:v>45952</c:v>
                </c:pt>
                <c:pt idx="238">
                  <c:v>45951</c:v>
                </c:pt>
                <c:pt idx="239">
                  <c:v>45950</c:v>
                </c:pt>
                <c:pt idx="240">
                  <c:v>45947</c:v>
                </c:pt>
                <c:pt idx="241">
                  <c:v>45946</c:v>
                </c:pt>
                <c:pt idx="242">
                  <c:v>45945</c:v>
                </c:pt>
                <c:pt idx="243">
                  <c:v>45944</c:v>
                </c:pt>
                <c:pt idx="244">
                  <c:v>45943</c:v>
                </c:pt>
                <c:pt idx="245">
                  <c:v>45940</c:v>
                </c:pt>
                <c:pt idx="246">
                  <c:v>45939</c:v>
                </c:pt>
                <c:pt idx="247">
                  <c:v>45938</c:v>
                </c:pt>
                <c:pt idx="248">
                  <c:v>45937</c:v>
                </c:pt>
                <c:pt idx="249">
                  <c:v>45936</c:v>
                </c:pt>
                <c:pt idx="250">
                  <c:v>45933</c:v>
                </c:pt>
              </c:numCache>
            </c:numRef>
          </c:cat>
          <c:val>
            <c:numRef>
              <c:f>'Multiples Trade'!$AI$5:$AI$255</c:f>
              <c:numCache>
                <c:formatCode>0.0\x</c:formatCode>
                <c:ptCount val="25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1.7085099908011316</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1.1981387853343752</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0.69879411825733317</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0.79015686491496229</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numCache>
            </c:numRef>
          </c:val>
          <c:extLst>
            <c:ext xmlns:c16="http://schemas.microsoft.com/office/drawing/2014/chart" uri="{C3380CC4-5D6E-409C-BE32-E72D297353CC}">
              <c16:uniqueId val="{00000002-D431-4517-8C1B-2C836EED604B}"/>
            </c:ext>
          </c:extLst>
        </c:ser>
        <c:ser>
          <c:idx val="3"/>
          <c:order val="3"/>
          <c:tx>
            <c:v>TTD earnings</c:v>
          </c:tx>
          <c:spPr>
            <a:solidFill>
              <a:srgbClr val="C00000"/>
            </a:solidFill>
            <a:ln w="25400">
              <a:noFill/>
            </a:ln>
            <a:effectLst/>
          </c:spPr>
          <c:invertIfNegative val="0"/>
          <c:cat>
            <c:numRef>
              <c:f>'Multiples Trade'!$S$5:$S$255</c:f>
              <c:numCache>
                <c:formatCode>m/d/yy</c:formatCode>
                <c:ptCount val="251"/>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pt idx="65">
                  <c:v>46204</c:v>
                </c:pt>
                <c:pt idx="66">
                  <c:v>46203</c:v>
                </c:pt>
                <c:pt idx="67">
                  <c:v>46202</c:v>
                </c:pt>
                <c:pt idx="68">
                  <c:v>46199</c:v>
                </c:pt>
                <c:pt idx="69">
                  <c:v>46198</c:v>
                </c:pt>
                <c:pt idx="70">
                  <c:v>46197</c:v>
                </c:pt>
                <c:pt idx="71">
                  <c:v>46196</c:v>
                </c:pt>
                <c:pt idx="72">
                  <c:v>46195</c:v>
                </c:pt>
                <c:pt idx="73">
                  <c:v>46191</c:v>
                </c:pt>
                <c:pt idx="74">
                  <c:v>46190</c:v>
                </c:pt>
                <c:pt idx="75">
                  <c:v>46189</c:v>
                </c:pt>
                <c:pt idx="76">
                  <c:v>46188</c:v>
                </c:pt>
                <c:pt idx="77">
                  <c:v>46185</c:v>
                </c:pt>
                <c:pt idx="78">
                  <c:v>46184</c:v>
                </c:pt>
                <c:pt idx="79">
                  <c:v>46183</c:v>
                </c:pt>
                <c:pt idx="80">
                  <c:v>46182</c:v>
                </c:pt>
                <c:pt idx="81">
                  <c:v>46181</c:v>
                </c:pt>
                <c:pt idx="82">
                  <c:v>46178</c:v>
                </c:pt>
                <c:pt idx="83">
                  <c:v>46177</c:v>
                </c:pt>
                <c:pt idx="84">
                  <c:v>46176</c:v>
                </c:pt>
                <c:pt idx="85">
                  <c:v>46175</c:v>
                </c:pt>
                <c:pt idx="86">
                  <c:v>46174</c:v>
                </c:pt>
                <c:pt idx="87">
                  <c:v>46171</c:v>
                </c:pt>
                <c:pt idx="88">
                  <c:v>46170</c:v>
                </c:pt>
                <c:pt idx="89">
                  <c:v>46169</c:v>
                </c:pt>
                <c:pt idx="90">
                  <c:v>46168</c:v>
                </c:pt>
                <c:pt idx="91">
                  <c:v>46164</c:v>
                </c:pt>
                <c:pt idx="92">
                  <c:v>46163</c:v>
                </c:pt>
                <c:pt idx="93">
                  <c:v>46162</c:v>
                </c:pt>
                <c:pt idx="94">
                  <c:v>46161</c:v>
                </c:pt>
                <c:pt idx="95">
                  <c:v>46160</c:v>
                </c:pt>
                <c:pt idx="96">
                  <c:v>46157</c:v>
                </c:pt>
                <c:pt idx="97">
                  <c:v>46156</c:v>
                </c:pt>
                <c:pt idx="98">
                  <c:v>46155</c:v>
                </c:pt>
                <c:pt idx="99">
                  <c:v>46154</c:v>
                </c:pt>
                <c:pt idx="100">
                  <c:v>46153</c:v>
                </c:pt>
                <c:pt idx="101">
                  <c:v>46150</c:v>
                </c:pt>
                <c:pt idx="102">
                  <c:v>46149</c:v>
                </c:pt>
                <c:pt idx="103">
                  <c:v>46148</c:v>
                </c:pt>
                <c:pt idx="104">
                  <c:v>46147</c:v>
                </c:pt>
                <c:pt idx="105">
                  <c:v>46146</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46118</c:v>
                </c:pt>
                <c:pt idx="126">
                  <c:v>46114</c:v>
                </c:pt>
                <c:pt idx="127">
                  <c:v>46113</c:v>
                </c:pt>
                <c:pt idx="128">
                  <c:v>46112</c:v>
                </c:pt>
                <c:pt idx="129">
                  <c:v>46111</c:v>
                </c:pt>
                <c:pt idx="130">
                  <c:v>46108</c:v>
                </c:pt>
                <c:pt idx="131">
                  <c:v>46107</c:v>
                </c:pt>
                <c:pt idx="132">
                  <c:v>46106</c:v>
                </c:pt>
                <c:pt idx="133">
                  <c:v>46105</c:v>
                </c:pt>
                <c:pt idx="134">
                  <c:v>46104</c:v>
                </c:pt>
                <c:pt idx="135">
                  <c:v>46101</c:v>
                </c:pt>
                <c:pt idx="136">
                  <c:v>46100</c:v>
                </c:pt>
                <c:pt idx="137">
                  <c:v>46099</c:v>
                </c:pt>
                <c:pt idx="138">
                  <c:v>46098</c:v>
                </c:pt>
                <c:pt idx="139">
                  <c:v>46097</c:v>
                </c:pt>
                <c:pt idx="140">
                  <c:v>46094</c:v>
                </c:pt>
                <c:pt idx="141">
                  <c:v>46093</c:v>
                </c:pt>
                <c:pt idx="142">
                  <c:v>46092</c:v>
                </c:pt>
                <c:pt idx="143">
                  <c:v>46091</c:v>
                </c:pt>
                <c:pt idx="144">
                  <c:v>46090</c:v>
                </c:pt>
                <c:pt idx="145">
                  <c:v>46087</c:v>
                </c:pt>
                <c:pt idx="146">
                  <c:v>46086</c:v>
                </c:pt>
                <c:pt idx="147">
                  <c:v>46085</c:v>
                </c:pt>
                <c:pt idx="148">
                  <c:v>46084</c:v>
                </c:pt>
                <c:pt idx="149">
                  <c:v>46083</c:v>
                </c:pt>
                <c:pt idx="150">
                  <c:v>46080</c:v>
                </c:pt>
                <c:pt idx="151">
                  <c:v>46079</c:v>
                </c:pt>
                <c:pt idx="152">
                  <c:v>46078</c:v>
                </c:pt>
                <c:pt idx="153">
                  <c:v>46077</c:v>
                </c:pt>
                <c:pt idx="154">
                  <c:v>46076</c:v>
                </c:pt>
                <c:pt idx="155">
                  <c:v>46073</c:v>
                </c:pt>
                <c:pt idx="156">
                  <c:v>46072</c:v>
                </c:pt>
                <c:pt idx="157">
                  <c:v>46071</c:v>
                </c:pt>
                <c:pt idx="158">
                  <c:v>46070</c:v>
                </c:pt>
                <c:pt idx="159">
                  <c:v>46066</c:v>
                </c:pt>
                <c:pt idx="160">
                  <c:v>46065</c:v>
                </c:pt>
                <c:pt idx="161">
                  <c:v>46064</c:v>
                </c:pt>
                <c:pt idx="162">
                  <c:v>46063</c:v>
                </c:pt>
                <c:pt idx="163">
                  <c:v>46062</c:v>
                </c:pt>
                <c:pt idx="164">
                  <c:v>46059</c:v>
                </c:pt>
                <c:pt idx="165">
                  <c:v>46058</c:v>
                </c:pt>
                <c:pt idx="166">
                  <c:v>46057</c:v>
                </c:pt>
                <c:pt idx="167">
                  <c:v>46056</c:v>
                </c:pt>
                <c:pt idx="168">
                  <c:v>46055</c:v>
                </c:pt>
                <c:pt idx="169">
                  <c:v>46052</c:v>
                </c:pt>
                <c:pt idx="170">
                  <c:v>46051</c:v>
                </c:pt>
                <c:pt idx="171">
                  <c:v>46050</c:v>
                </c:pt>
                <c:pt idx="172">
                  <c:v>46049</c:v>
                </c:pt>
                <c:pt idx="173">
                  <c:v>46048</c:v>
                </c:pt>
                <c:pt idx="174">
                  <c:v>46045</c:v>
                </c:pt>
                <c:pt idx="175">
                  <c:v>46044</c:v>
                </c:pt>
                <c:pt idx="176">
                  <c:v>46043</c:v>
                </c:pt>
                <c:pt idx="177">
                  <c:v>46042</c:v>
                </c:pt>
                <c:pt idx="178">
                  <c:v>46038</c:v>
                </c:pt>
                <c:pt idx="179">
                  <c:v>46037</c:v>
                </c:pt>
                <c:pt idx="180">
                  <c:v>46036</c:v>
                </c:pt>
                <c:pt idx="181">
                  <c:v>46035</c:v>
                </c:pt>
                <c:pt idx="182">
                  <c:v>46034</c:v>
                </c:pt>
                <c:pt idx="183">
                  <c:v>46031</c:v>
                </c:pt>
                <c:pt idx="184">
                  <c:v>46030</c:v>
                </c:pt>
                <c:pt idx="185">
                  <c:v>46029</c:v>
                </c:pt>
                <c:pt idx="186">
                  <c:v>46028</c:v>
                </c:pt>
                <c:pt idx="187">
                  <c:v>46027</c:v>
                </c:pt>
                <c:pt idx="188">
                  <c:v>46024</c:v>
                </c:pt>
                <c:pt idx="189">
                  <c:v>46022</c:v>
                </c:pt>
                <c:pt idx="190">
                  <c:v>46021</c:v>
                </c:pt>
                <c:pt idx="191">
                  <c:v>46020</c:v>
                </c:pt>
                <c:pt idx="192">
                  <c:v>46017</c:v>
                </c:pt>
                <c:pt idx="193">
                  <c:v>46015</c:v>
                </c:pt>
                <c:pt idx="194">
                  <c:v>46014</c:v>
                </c:pt>
                <c:pt idx="195">
                  <c:v>46013</c:v>
                </c:pt>
                <c:pt idx="196">
                  <c:v>46010</c:v>
                </c:pt>
                <c:pt idx="197">
                  <c:v>46009</c:v>
                </c:pt>
                <c:pt idx="198">
                  <c:v>46008</c:v>
                </c:pt>
                <c:pt idx="199">
                  <c:v>46007</c:v>
                </c:pt>
                <c:pt idx="200">
                  <c:v>46006</c:v>
                </c:pt>
                <c:pt idx="201">
                  <c:v>46003</c:v>
                </c:pt>
                <c:pt idx="202">
                  <c:v>46002</c:v>
                </c:pt>
                <c:pt idx="203">
                  <c:v>46001</c:v>
                </c:pt>
                <c:pt idx="204">
                  <c:v>46000</c:v>
                </c:pt>
                <c:pt idx="205">
                  <c:v>45999</c:v>
                </c:pt>
                <c:pt idx="206">
                  <c:v>45996</c:v>
                </c:pt>
                <c:pt idx="207">
                  <c:v>45995</c:v>
                </c:pt>
                <c:pt idx="208">
                  <c:v>45994</c:v>
                </c:pt>
                <c:pt idx="209">
                  <c:v>45993</c:v>
                </c:pt>
                <c:pt idx="210">
                  <c:v>45992</c:v>
                </c:pt>
                <c:pt idx="211">
                  <c:v>45989</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45966</c:v>
                </c:pt>
                <c:pt idx="228">
                  <c:v>45965</c:v>
                </c:pt>
                <c:pt idx="229">
                  <c:v>45964</c:v>
                </c:pt>
                <c:pt idx="230">
                  <c:v>45961</c:v>
                </c:pt>
                <c:pt idx="231">
                  <c:v>45960</c:v>
                </c:pt>
                <c:pt idx="232">
                  <c:v>45959</c:v>
                </c:pt>
                <c:pt idx="233">
                  <c:v>45958</c:v>
                </c:pt>
                <c:pt idx="234">
                  <c:v>45957</c:v>
                </c:pt>
                <c:pt idx="235">
                  <c:v>45954</c:v>
                </c:pt>
                <c:pt idx="236">
                  <c:v>45953</c:v>
                </c:pt>
                <c:pt idx="237">
                  <c:v>45952</c:v>
                </c:pt>
                <c:pt idx="238">
                  <c:v>45951</c:v>
                </c:pt>
                <c:pt idx="239">
                  <c:v>45950</c:v>
                </c:pt>
                <c:pt idx="240">
                  <c:v>45947</c:v>
                </c:pt>
                <c:pt idx="241">
                  <c:v>45946</c:v>
                </c:pt>
                <c:pt idx="242">
                  <c:v>45945</c:v>
                </c:pt>
                <c:pt idx="243">
                  <c:v>45944</c:v>
                </c:pt>
                <c:pt idx="244">
                  <c:v>45943</c:v>
                </c:pt>
                <c:pt idx="245">
                  <c:v>45940</c:v>
                </c:pt>
                <c:pt idx="246">
                  <c:v>45939</c:v>
                </c:pt>
                <c:pt idx="247">
                  <c:v>45938</c:v>
                </c:pt>
                <c:pt idx="248">
                  <c:v>45937</c:v>
                </c:pt>
                <c:pt idx="249">
                  <c:v>45936</c:v>
                </c:pt>
                <c:pt idx="250">
                  <c:v>45933</c:v>
                </c:pt>
              </c:numCache>
            </c:numRef>
          </c:cat>
          <c:val>
            <c:numRef>
              <c:f>'Multiples Trade'!$AJ$5:$AJ$255</c:f>
              <c:numCache>
                <c:formatCode>0.0\x</c:formatCode>
                <c:ptCount val="25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2.4209019556705282</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3.3907002562213866</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3.6689757135959464</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7.1249236093734032</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numCache>
            </c:numRef>
          </c:val>
          <c:extLst>
            <c:ext xmlns:c16="http://schemas.microsoft.com/office/drawing/2014/chart" uri="{C3380CC4-5D6E-409C-BE32-E72D297353CC}">
              <c16:uniqueId val="{00000003-D431-4517-8C1B-2C836EED604B}"/>
            </c:ext>
          </c:extLst>
        </c:ser>
        <c:dLbls>
          <c:showLegendKey val="0"/>
          <c:showVal val="0"/>
          <c:showCatName val="0"/>
          <c:showSerName val="0"/>
          <c:showPercent val="0"/>
          <c:showBubbleSize val="0"/>
        </c:dLbls>
        <c:gapWidth val="500"/>
        <c:axId val="869534543"/>
        <c:axId val="869548943"/>
      </c:barChart>
      <c:lineChart>
        <c:grouping val="standard"/>
        <c:varyColors val="0"/>
        <c:ser>
          <c:idx val="0"/>
          <c:order val="0"/>
          <c:tx>
            <c:v>PUBM</c:v>
          </c:tx>
          <c:spPr>
            <a:ln w="22225" cap="rnd">
              <a:solidFill>
                <a:srgbClr val="1F3864"/>
              </a:solidFill>
              <a:prstDash val="solid"/>
              <a:round/>
            </a:ln>
            <a:effectLst/>
          </c:spPr>
          <c:marker>
            <c:symbol val="none"/>
          </c:marker>
          <c:cat>
            <c:numRef>
              <c:f>'Multiples Trade'!$S$5:$S$255</c:f>
              <c:numCache>
                <c:formatCode>m/d/yy</c:formatCode>
                <c:ptCount val="251"/>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pt idx="65">
                  <c:v>46204</c:v>
                </c:pt>
                <c:pt idx="66">
                  <c:v>46203</c:v>
                </c:pt>
                <c:pt idx="67">
                  <c:v>46202</c:v>
                </c:pt>
                <c:pt idx="68">
                  <c:v>46199</c:v>
                </c:pt>
                <c:pt idx="69">
                  <c:v>46198</c:v>
                </c:pt>
                <c:pt idx="70">
                  <c:v>46197</c:v>
                </c:pt>
                <c:pt idx="71">
                  <c:v>46196</c:v>
                </c:pt>
                <c:pt idx="72">
                  <c:v>46195</c:v>
                </c:pt>
                <c:pt idx="73">
                  <c:v>46191</c:v>
                </c:pt>
                <c:pt idx="74">
                  <c:v>46190</c:v>
                </c:pt>
                <c:pt idx="75">
                  <c:v>46189</c:v>
                </c:pt>
                <c:pt idx="76">
                  <c:v>46188</c:v>
                </c:pt>
                <c:pt idx="77">
                  <c:v>46185</c:v>
                </c:pt>
                <c:pt idx="78">
                  <c:v>46184</c:v>
                </c:pt>
                <c:pt idx="79">
                  <c:v>46183</c:v>
                </c:pt>
                <c:pt idx="80">
                  <c:v>46182</c:v>
                </c:pt>
                <c:pt idx="81">
                  <c:v>46181</c:v>
                </c:pt>
                <c:pt idx="82">
                  <c:v>46178</c:v>
                </c:pt>
                <c:pt idx="83">
                  <c:v>46177</c:v>
                </c:pt>
                <c:pt idx="84">
                  <c:v>46176</c:v>
                </c:pt>
                <c:pt idx="85">
                  <c:v>46175</c:v>
                </c:pt>
                <c:pt idx="86">
                  <c:v>46174</c:v>
                </c:pt>
                <c:pt idx="87">
                  <c:v>46171</c:v>
                </c:pt>
                <c:pt idx="88">
                  <c:v>46170</c:v>
                </c:pt>
                <c:pt idx="89">
                  <c:v>46169</c:v>
                </c:pt>
                <c:pt idx="90">
                  <c:v>46168</c:v>
                </c:pt>
                <c:pt idx="91">
                  <c:v>46164</c:v>
                </c:pt>
                <c:pt idx="92">
                  <c:v>46163</c:v>
                </c:pt>
                <c:pt idx="93">
                  <c:v>46162</c:v>
                </c:pt>
                <c:pt idx="94">
                  <c:v>46161</c:v>
                </c:pt>
                <c:pt idx="95">
                  <c:v>46160</c:v>
                </c:pt>
                <c:pt idx="96">
                  <c:v>46157</c:v>
                </c:pt>
                <c:pt idx="97">
                  <c:v>46156</c:v>
                </c:pt>
                <c:pt idx="98">
                  <c:v>46155</c:v>
                </c:pt>
                <c:pt idx="99">
                  <c:v>46154</c:v>
                </c:pt>
                <c:pt idx="100">
                  <c:v>46153</c:v>
                </c:pt>
                <c:pt idx="101">
                  <c:v>46150</c:v>
                </c:pt>
                <c:pt idx="102">
                  <c:v>46149</c:v>
                </c:pt>
                <c:pt idx="103">
                  <c:v>46148</c:v>
                </c:pt>
                <c:pt idx="104">
                  <c:v>46147</c:v>
                </c:pt>
                <c:pt idx="105">
                  <c:v>46146</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46118</c:v>
                </c:pt>
                <c:pt idx="126">
                  <c:v>46114</c:v>
                </c:pt>
                <c:pt idx="127">
                  <c:v>46113</c:v>
                </c:pt>
                <c:pt idx="128">
                  <c:v>46112</c:v>
                </c:pt>
                <c:pt idx="129">
                  <c:v>46111</c:v>
                </c:pt>
                <c:pt idx="130">
                  <c:v>46108</c:v>
                </c:pt>
                <c:pt idx="131">
                  <c:v>46107</c:v>
                </c:pt>
                <c:pt idx="132">
                  <c:v>46106</c:v>
                </c:pt>
                <c:pt idx="133">
                  <c:v>46105</c:v>
                </c:pt>
                <c:pt idx="134">
                  <c:v>46104</c:v>
                </c:pt>
                <c:pt idx="135">
                  <c:v>46101</c:v>
                </c:pt>
                <c:pt idx="136">
                  <c:v>46100</c:v>
                </c:pt>
                <c:pt idx="137">
                  <c:v>46099</c:v>
                </c:pt>
                <c:pt idx="138">
                  <c:v>46098</c:v>
                </c:pt>
                <c:pt idx="139">
                  <c:v>46097</c:v>
                </c:pt>
                <c:pt idx="140">
                  <c:v>46094</c:v>
                </c:pt>
                <c:pt idx="141">
                  <c:v>46093</c:v>
                </c:pt>
                <c:pt idx="142">
                  <c:v>46092</c:v>
                </c:pt>
                <c:pt idx="143">
                  <c:v>46091</c:v>
                </c:pt>
                <c:pt idx="144">
                  <c:v>46090</c:v>
                </c:pt>
                <c:pt idx="145">
                  <c:v>46087</c:v>
                </c:pt>
                <c:pt idx="146">
                  <c:v>46086</c:v>
                </c:pt>
                <c:pt idx="147">
                  <c:v>46085</c:v>
                </c:pt>
                <c:pt idx="148">
                  <c:v>46084</c:v>
                </c:pt>
                <c:pt idx="149">
                  <c:v>46083</c:v>
                </c:pt>
                <c:pt idx="150">
                  <c:v>46080</c:v>
                </c:pt>
                <c:pt idx="151">
                  <c:v>46079</c:v>
                </c:pt>
                <c:pt idx="152">
                  <c:v>46078</c:v>
                </c:pt>
                <c:pt idx="153">
                  <c:v>46077</c:v>
                </c:pt>
                <c:pt idx="154">
                  <c:v>46076</c:v>
                </c:pt>
                <c:pt idx="155">
                  <c:v>46073</c:v>
                </c:pt>
                <c:pt idx="156">
                  <c:v>46072</c:v>
                </c:pt>
                <c:pt idx="157">
                  <c:v>46071</c:v>
                </c:pt>
                <c:pt idx="158">
                  <c:v>46070</c:v>
                </c:pt>
                <c:pt idx="159">
                  <c:v>46066</c:v>
                </c:pt>
                <c:pt idx="160">
                  <c:v>46065</c:v>
                </c:pt>
                <c:pt idx="161">
                  <c:v>46064</c:v>
                </c:pt>
                <c:pt idx="162">
                  <c:v>46063</c:v>
                </c:pt>
                <c:pt idx="163">
                  <c:v>46062</c:v>
                </c:pt>
                <c:pt idx="164">
                  <c:v>46059</c:v>
                </c:pt>
                <c:pt idx="165">
                  <c:v>46058</c:v>
                </c:pt>
                <c:pt idx="166">
                  <c:v>46057</c:v>
                </c:pt>
                <c:pt idx="167">
                  <c:v>46056</c:v>
                </c:pt>
                <c:pt idx="168">
                  <c:v>46055</c:v>
                </c:pt>
                <c:pt idx="169">
                  <c:v>46052</c:v>
                </c:pt>
                <c:pt idx="170">
                  <c:v>46051</c:v>
                </c:pt>
                <c:pt idx="171">
                  <c:v>46050</c:v>
                </c:pt>
                <c:pt idx="172">
                  <c:v>46049</c:v>
                </c:pt>
                <c:pt idx="173">
                  <c:v>46048</c:v>
                </c:pt>
                <c:pt idx="174">
                  <c:v>46045</c:v>
                </c:pt>
                <c:pt idx="175">
                  <c:v>46044</c:v>
                </c:pt>
                <c:pt idx="176">
                  <c:v>46043</c:v>
                </c:pt>
                <c:pt idx="177">
                  <c:v>46042</c:v>
                </c:pt>
                <c:pt idx="178">
                  <c:v>46038</c:v>
                </c:pt>
                <c:pt idx="179">
                  <c:v>46037</c:v>
                </c:pt>
                <c:pt idx="180">
                  <c:v>46036</c:v>
                </c:pt>
                <c:pt idx="181">
                  <c:v>46035</c:v>
                </c:pt>
                <c:pt idx="182">
                  <c:v>46034</c:v>
                </c:pt>
                <c:pt idx="183">
                  <c:v>46031</c:v>
                </c:pt>
                <c:pt idx="184">
                  <c:v>46030</c:v>
                </c:pt>
                <c:pt idx="185">
                  <c:v>46029</c:v>
                </c:pt>
                <c:pt idx="186">
                  <c:v>46028</c:v>
                </c:pt>
                <c:pt idx="187">
                  <c:v>46027</c:v>
                </c:pt>
                <c:pt idx="188">
                  <c:v>46024</c:v>
                </c:pt>
                <c:pt idx="189">
                  <c:v>46022</c:v>
                </c:pt>
                <c:pt idx="190">
                  <c:v>46021</c:v>
                </c:pt>
                <c:pt idx="191">
                  <c:v>46020</c:v>
                </c:pt>
                <c:pt idx="192">
                  <c:v>46017</c:v>
                </c:pt>
                <c:pt idx="193">
                  <c:v>46015</c:v>
                </c:pt>
                <c:pt idx="194">
                  <c:v>46014</c:v>
                </c:pt>
                <c:pt idx="195">
                  <c:v>46013</c:v>
                </c:pt>
                <c:pt idx="196">
                  <c:v>46010</c:v>
                </c:pt>
                <c:pt idx="197">
                  <c:v>46009</c:v>
                </c:pt>
                <c:pt idx="198">
                  <c:v>46008</c:v>
                </c:pt>
                <c:pt idx="199">
                  <c:v>46007</c:v>
                </c:pt>
                <c:pt idx="200">
                  <c:v>46006</c:v>
                </c:pt>
                <c:pt idx="201">
                  <c:v>46003</c:v>
                </c:pt>
                <c:pt idx="202">
                  <c:v>46002</c:v>
                </c:pt>
                <c:pt idx="203">
                  <c:v>46001</c:v>
                </c:pt>
                <c:pt idx="204">
                  <c:v>46000</c:v>
                </c:pt>
                <c:pt idx="205">
                  <c:v>45999</c:v>
                </c:pt>
                <c:pt idx="206">
                  <c:v>45996</c:v>
                </c:pt>
                <c:pt idx="207">
                  <c:v>45995</c:v>
                </c:pt>
                <c:pt idx="208">
                  <c:v>45994</c:v>
                </c:pt>
                <c:pt idx="209">
                  <c:v>45993</c:v>
                </c:pt>
                <c:pt idx="210">
                  <c:v>45992</c:v>
                </c:pt>
                <c:pt idx="211">
                  <c:v>45989</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45966</c:v>
                </c:pt>
                <c:pt idx="228">
                  <c:v>45965</c:v>
                </c:pt>
                <c:pt idx="229">
                  <c:v>45964</c:v>
                </c:pt>
                <c:pt idx="230">
                  <c:v>45961</c:v>
                </c:pt>
                <c:pt idx="231">
                  <c:v>45960</c:v>
                </c:pt>
                <c:pt idx="232">
                  <c:v>45959</c:v>
                </c:pt>
                <c:pt idx="233">
                  <c:v>45958</c:v>
                </c:pt>
                <c:pt idx="234">
                  <c:v>45957</c:v>
                </c:pt>
                <c:pt idx="235">
                  <c:v>45954</c:v>
                </c:pt>
                <c:pt idx="236">
                  <c:v>45953</c:v>
                </c:pt>
                <c:pt idx="237">
                  <c:v>45952</c:v>
                </c:pt>
                <c:pt idx="238">
                  <c:v>45951</c:v>
                </c:pt>
                <c:pt idx="239">
                  <c:v>45950</c:v>
                </c:pt>
                <c:pt idx="240">
                  <c:v>45947</c:v>
                </c:pt>
                <c:pt idx="241">
                  <c:v>45946</c:v>
                </c:pt>
                <c:pt idx="242">
                  <c:v>45945</c:v>
                </c:pt>
                <c:pt idx="243">
                  <c:v>45944</c:v>
                </c:pt>
                <c:pt idx="244">
                  <c:v>45943</c:v>
                </c:pt>
                <c:pt idx="245">
                  <c:v>45940</c:v>
                </c:pt>
                <c:pt idx="246">
                  <c:v>45939</c:v>
                </c:pt>
                <c:pt idx="247">
                  <c:v>45938</c:v>
                </c:pt>
                <c:pt idx="248">
                  <c:v>45937</c:v>
                </c:pt>
                <c:pt idx="249">
                  <c:v>45936</c:v>
                </c:pt>
                <c:pt idx="250">
                  <c:v>45933</c:v>
                </c:pt>
              </c:numCache>
            </c:numRef>
          </c:cat>
          <c:val>
            <c:numRef>
              <c:f>'Multiples Trade'!$Z$5:$Z$255</c:f>
              <c:numCache>
                <c:formatCode>0.0\x;\(0.0\x\)</c:formatCode>
                <c:ptCount val="251"/>
                <c:pt idx="0">
                  <c:v>2.486668557160939</c:v>
                </c:pt>
                <c:pt idx="1">
                  <c:v>2.6063852596778316</c:v>
                </c:pt>
                <c:pt idx="2">
                  <c:v>2.5355003700296717</c:v>
                </c:pt>
                <c:pt idx="3">
                  <c:v>2.5465269084193856</c:v>
                </c:pt>
                <c:pt idx="4">
                  <c:v>2.4850933373909792</c:v>
                </c:pt>
                <c:pt idx="5">
                  <c:v>2.5150225130202029</c:v>
                </c:pt>
                <c:pt idx="6">
                  <c:v>2.5071464141704074</c:v>
                </c:pt>
                <c:pt idx="7">
                  <c:v>2.3346598493598827</c:v>
                </c:pt>
                <c:pt idx="8">
                  <c:v>2.384279272113595</c:v>
                </c:pt>
                <c:pt idx="9">
                  <c:v>2.4016066895831458</c:v>
                </c:pt>
                <c:pt idx="10">
                  <c:v>2.3496244371744948</c:v>
                </c:pt>
                <c:pt idx="11">
                  <c:v>2.3149696022353936</c:v>
                </c:pt>
                <c:pt idx="12">
                  <c:v>2.2393590532773562</c:v>
                </c:pt>
                <c:pt idx="13">
                  <c:v>2.2283325148876423</c:v>
                </c:pt>
                <c:pt idx="14">
                  <c:v>2.198403339258419</c:v>
                </c:pt>
                <c:pt idx="15">
                  <c:v>2.1826511415588272</c:v>
                </c:pt>
                <c:pt idx="16">
                  <c:v>2.1416954275398905</c:v>
                </c:pt>
                <c:pt idx="17">
                  <c:v>2.1338193286900946</c:v>
                </c:pt>
                <c:pt idx="18">
                  <c:v>2.151146746159645</c:v>
                </c:pt>
                <c:pt idx="19">
                  <c:v>2.1842263613287867</c:v>
                </c:pt>
                <c:pt idx="20">
                  <c:v>2.2566864707469065</c:v>
                </c:pt>
                <c:pt idx="21">
                  <c:v>2.3228457010851895</c:v>
                </c:pt>
                <c:pt idx="22">
                  <c:v>2.147996306619727</c:v>
                </c:pt>
                <c:pt idx="23">
                  <c:v>2.204704218338255</c:v>
                </c:pt>
                <c:pt idx="24">
                  <c:v>2.2346333939674787</c:v>
                </c:pt>
                <c:pt idx="25">
                  <c:v>2.1605980647794003</c:v>
                </c:pt>
                <c:pt idx="26">
                  <c:v>2.144845867079809</c:v>
                </c:pt>
                <c:pt idx="27">
                  <c:v>2.1921024601785826</c:v>
                </c:pt>
                <c:pt idx="28">
                  <c:v>2.1621732845493593</c:v>
                </c:pt>
                <c:pt idx="29">
                  <c:v>2.1700493833991548</c:v>
                </c:pt>
                <c:pt idx="30">
                  <c:v>2.1668989438592368</c:v>
                </c:pt>
                <c:pt idx="31">
                  <c:v>2.2283325148876423</c:v>
                </c:pt>
                <c:pt idx="32">
                  <c:v>2.3196952615452711</c:v>
                </c:pt>
                <c:pt idx="33">
                  <c:v>2.3055182836156392</c:v>
                </c:pt>
                <c:pt idx="34">
                  <c:v>2.3559253162543312</c:v>
                </c:pt>
                <c:pt idx="35">
                  <c:v>2.3070935033855986</c:v>
                </c:pt>
                <c:pt idx="36">
                  <c:v>2.2913413056860072</c:v>
                </c:pt>
                <c:pt idx="37">
                  <c:v>2.3653766348740857</c:v>
                </c:pt>
                <c:pt idx="38">
                  <c:v>2.3827040523436369</c:v>
                </c:pt>
                <c:pt idx="39">
                  <c:v>2.3858544918835549</c:v>
                </c:pt>
                <c:pt idx="40">
                  <c:v>1.7085099908011316</c:v>
                </c:pt>
                <c:pt idx="41">
                  <c:v>1.7132356501110089</c:v>
                </c:pt>
                <c:pt idx="42">
                  <c:v>1.7337135071204774</c:v>
                </c:pt>
                <c:pt idx="43">
                  <c:v>1.6265985627632571</c:v>
                </c:pt>
                <c:pt idx="44">
                  <c:v>1.5698906510447286</c:v>
                </c:pt>
                <c:pt idx="45">
                  <c:v>1.5919437278241564</c:v>
                </c:pt>
                <c:pt idx="46">
                  <c:v>1.6486516395426845</c:v>
                </c:pt>
                <c:pt idx="47">
                  <c:v>1.637625101152971</c:v>
                </c:pt>
                <c:pt idx="48">
                  <c:v>1.5998198266739516</c:v>
                </c:pt>
                <c:pt idx="49">
                  <c:v>1.5572888928850557</c:v>
                </c:pt>
                <c:pt idx="50">
                  <c:v>1.522634057945955</c:v>
                </c:pt>
                <c:pt idx="51">
                  <c:v>1.5777667498945243</c:v>
                </c:pt>
                <c:pt idx="52">
                  <c:v>1.6202976836834206</c:v>
                </c:pt>
                <c:pt idx="53">
                  <c:v>1.6470764197727257</c:v>
                </c:pt>
                <c:pt idx="54">
                  <c:v>1.5903685080541972</c:v>
                </c:pt>
                <c:pt idx="55">
                  <c:v>1.7321382873505184</c:v>
                </c:pt>
                <c:pt idx="56">
                  <c:v>1.7589170234398235</c:v>
                </c:pt>
                <c:pt idx="57">
                  <c:v>1.7415896059702727</c:v>
                </c:pt>
                <c:pt idx="58">
                  <c:v>1.7226869687307633</c:v>
                </c:pt>
                <c:pt idx="59">
                  <c:v>1.7195365291908453</c:v>
                </c:pt>
                <c:pt idx="60">
                  <c:v>1.7211117489608045</c:v>
                </c:pt>
                <c:pt idx="61">
                  <c:v>1.6581029581624396</c:v>
                </c:pt>
                <c:pt idx="62">
                  <c:v>1.6833064744817856</c:v>
                </c:pt>
                <c:pt idx="63">
                  <c:v>1.7148108698809676</c:v>
                </c:pt>
                <c:pt idx="64">
                  <c:v>1.7195365291908453</c:v>
                </c:pt>
                <c:pt idx="65">
                  <c:v>1.7636426827497009</c:v>
                </c:pt>
                <c:pt idx="66">
                  <c:v>1.6518020790826027</c:v>
                </c:pt>
                <c:pt idx="67">
                  <c:v>1.6439259802328074</c:v>
                </c:pt>
                <c:pt idx="68">
                  <c:v>1.5777667498945243</c:v>
                </c:pt>
                <c:pt idx="69">
                  <c:v>1.398191696119184</c:v>
                </c:pt>
                <c:pt idx="70">
                  <c:v>1.4627757066875082</c:v>
                </c:pt>
                <c:pt idx="71">
                  <c:v>1.398191696119184</c:v>
                </c:pt>
                <c:pt idx="72">
                  <c:v>1.3651120809500428</c:v>
                </c:pt>
                <c:pt idx="73">
                  <c:v>1.3651120809500428</c:v>
                </c:pt>
                <c:pt idx="74">
                  <c:v>1.3651120809500428</c:v>
                </c:pt>
                <c:pt idx="75">
                  <c:v>1.4092182345088975</c:v>
                </c:pt>
                <c:pt idx="76">
                  <c:v>1.3918908170393474</c:v>
                </c:pt>
                <c:pt idx="77">
                  <c:v>1.372988179799838</c:v>
                </c:pt>
                <c:pt idx="78">
                  <c:v>1.3603864216401649</c:v>
                </c:pt>
                <c:pt idx="79">
                  <c:v>1.3462094437105327</c:v>
                </c:pt>
                <c:pt idx="80">
                  <c:v>1.398191696119184</c:v>
                </c:pt>
                <c:pt idx="81">
                  <c:v>1.3556607623302879</c:v>
                </c:pt>
                <c:pt idx="82">
                  <c:v>1.402917355429061</c:v>
                </c:pt>
                <c:pt idx="83">
                  <c:v>1.4564748276076718</c:v>
                </c:pt>
                <c:pt idx="84">
                  <c:v>1.3777138391097157</c:v>
                </c:pt>
                <c:pt idx="85">
                  <c:v>1.4816783439270174</c:v>
                </c:pt>
                <c:pt idx="86">
                  <c:v>1.5100322997862818</c:v>
                </c:pt>
                <c:pt idx="87">
                  <c:v>1.4249704322084893</c:v>
                </c:pt>
                <c:pt idx="88">
                  <c:v>1.3871651577294704</c:v>
                </c:pt>
                <c:pt idx="89">
                  <c:v>1.3257315867010644</c:v>
                </c:pt>
                <c:pt idx="90">
                  <c:v>1.2453953784331488</c:v>
                </c:pt>
                <c:pt idx="91">
                  <c:v>1.2170414225738846</c:v>
                </c:pt>
                <c:pt idx="92">
                  <c:v>1.193413126024498</c:v>
                </c:pt>
                <c:pt idx="93">
                  <c:v>1.1414308736158469</c:v>
                </c:pt>
                <c:pt idx="94">
                  <c:v>1.1697848294751112</c:v>
                </c:pt>
                <c:pt idx="95">
                  <c:v>1.1461565329257242</c:v>
                </c:pt>
                <c:pt idx="96">
                  <c:v>1.1162273572965009</c:v>
                </c:pt>
                <c:pt idx="97">
                  <c:v>1.0847229618973182</c:v>
                </c:pt>
                <c:pt idx="98">
                  <c:v>1.0784220828174818</c:v>
                </c:pt>
                <c:pt idx="99">
                  <c:v>1.1256786759162556</c:v>
                </c:pt>
                <c:pt idx="100">
                  <c:v>1.1414308736158469</c:v>
                </c:pt>
                <c:pt idx="101">
                  <c:v>1.2768997738323316</c:v>
                </c:pt>
                <c:pt idx="102">
                  <c:v>1.1981387853343752</c:v>
                </c:pt>
                <c:pt idx="103">
                  <c:v>1.1823865876347841</c:v>
                </c:pt>
                <c:pt idx="104">
                  <c:v>1.2233423016537213</c:v>
                </c:pt>
                <c:pt idx="105">
                  <c:v>1.1997140051043345</c:v>
                </c:pt>
                <c:pt idx="106">
                  <c:v>1.1965635655644162</c:v>
                </c:pt>
                <c:pt idx="107">
                  <c:v>1.1256786759162556</c:v>
                </c:pt>
                <c:pt idx="108">
                  <c:v>1.1162273572965009</c:v>
                </c:pt>
                <c:pt idx="109">
                  <c:v>1.1256786759162556</c:v>
                </c:pt>
                <c:pt idx="110">
                  <c:v>1.1178025770664601</c:v>
                </c:pt>
                <c:pt idx="111">
                  <c:v>1.1004751595969096</c:v>
                </c:pt>
                <c:pt idx="112">
                  <c:v>1.0280150501787901</c:v>
                </c:pt>
                <c:pt idx="113">
                  <c:v>1.0847229618973182</c:v>
                </c:pt>
                <c:pt idx="114">
                  <c:v>1.076846863047523</c:v>
                </c:pt>
                <c:pt idx="115">
                  <c:v>1.1430060933858062</c:v>
                </c:pt>
                <c:pt idx="116">
                  <c:v>1.130404335226133</c:v>
                </c:pt>
                <c:pt idx="117">
                  <c:v>1.1272538956862146</c:v>
                </c:pt>
                <c:pt idx="118">
                  <c:v>1.1115016979866235</c:v>
                </c:pt>
                <c:pt idx="119">
                  <c:v>0.96973191869030229</c:v>
                </c:pt>
                <c:pt idx="120">
                  <c:v>0.9476788419108747</c:v>
                </c:pt>
                <c:pt idx="121">
                  <c:v>0.91932488605161045</c:v>
                </c:pt>
                <c:pt idx="122">
                  <c:v>0.916174446511692</c:v>
                </c:pt>
                <c:pt idx="123">
                  <c:v>0.90987356743185577</c:v>
                </c:pt>
                <c:pt idx="124">
                  <c:v>0.92247532559152878</c:v>
                </c:pt>
                <c:pt idx="125">
                  <c:v>0.92405054536148767</c:v>
                </c:pt>
                <c:pt idx="126">
                  <c:v>0.88782049065242785</c:v>
                </c:pt>
                <c:pt idx="127">
                  <c:v>0.87836917203267328</c:v>
                </c:pt>
                <c:pt idx="128">
                  <c:v>0.87364351272279595</c:v>
                </c:pt>
                <c:pt idx="129">
                  <c:v>0.86419219410304093</c:v>
                </c:pt>
                <c:pt idx="130">
                  <c:v>0.87521873249275484</c:v>
                </c:pt>
                <c:pt idx="131">
                  <c:v>0.89412136973226453</c:v>
                </c:pt>
                <c:pt idx="132">
                  <c:v>0.86261697433308182</c:v>
                </c:pt>
                <c:pt idx="133">
                  <c:v>0.84528955686353169</c:v>
                </c:pt>
                <c:pt idx="134">
                  <c:v>0.85631609525324559</c:v>
                </c:pt>
                <c:pt idx="135">
                  <c:v>0.84292672720859296</c:v>
                </c:pt>
                <c:pt idx="136">
                  <c:v>0.85631609525324559</c:v>
                </c:pt>
                <c:pt idx="137">
                  <c:v>0.86261697433308182</c:v>
                </c:pt>
                <c:pt idx="138">
                  <c:v>0.87206829295283661</c:v>
                </c:pt>
                <c:pt idx="139">
                  <c:v>0.87521873249275484</c:v>
                </c:pt>
                <c:pt idx="140">
                  <c:v>0.85001521617340881</c:v>
                </c:pt>
                <c:pt idx="141">
                  <c:v>0.86261697433308182</c:v>
                </c:pt>
                <c:pt idx="142">
                  <c:v>0.91144878720181466</c:v>
                </c:pt>
                <c:pt idx="143">
                  <c:v>0.92405054536148767</c:v>
                </c:pt>
                <c:pt idx="144">
                  <c:v>0.97130713846026173</c:v>
                </c:pt>
                <c:pt idx="145">
                  <c:v>0.98863455592981175</c:v>
                </c:pt>
                <c:pt idx="146">
                  <c:v>0.98233367684997519</c:v>
                </c:pt>
                <c:pt idx="147">
                  <c:v>0.96028060007054772</c:v>
                </c:pt>
                <c:pt idx="148">
                  <c:v>0.89097093019234586</c:v>
                </c:pt>
                <c:pt idx="149">
                  <c:v>0.87364351272279595</c:v>
                </c:pt>
                <c:pt idx="150">
                  <c:v>0.86104175456312293</c:v>
                </c:pt>
                <c:pt idx="151">
                  <c:v>0.69879411825733317</c:v>
                </c:pt>
                <c:pt idx="152">
                  <c:v>0.62160834952933608</c:v>
                </c:pt>
                <c:pt idx="153">
                  <c:v>0.59325439367007182</c:v>
                </c:pt>
                <c:pt idx="154">
                  <c:v>0.57750219597048058</c:v>
                </c:pt>
                <c:pt idx="155">
                  <c:v>0.62003312975937697</c:v>
                </c:pt>
                <c:pt idx="156">
                  <c:v>0.61845790998941763</c:v>
                </c:pt>
                <c:pt idx="157">
                  <c:v>0.62160834952933608</c:v>
                </c:pt>
                <c:pt idx="158">
                  <c:v>0.57592697620052147</c:v>
                </c:pt>
                <c:pt idx="159">
                  <c:v>0.61530747044949963</c:v>
                </c:pt>
                <c:pt idx="160">
                  <c:v>0.59325439367007182</c:v>
                </c:pt>
                <c:pt idx="161">
                  <c:v>0.62160834952933608</c:v>
                </c:pt>
                <c:pt idx="162">
                  <c:v>0.63893576699888643</c:v>
                </c:pt>
                <c:pt idx="163">
                  <c:v>0.62003312975937697</c:v>
                </c:pt>
                <c:pt idx="164">
                  <c:v>0.60743137159970395</c:v>
                </c:pt>
                <c:pt idx="165">
                  <c:v>0.57435175643056235</c:v>
                </c:pt>
                <c:pt idx="166">
                  <c:v>0.62318356929929497</c:v>
                </c:pt>
                <c:pt idx="167">
                  <c:v>0.63893576699888643</c:v>
                </c:pt>
                <c:pt idx="168">
                  <c:v>0.71927197526680176</c:v>
                </c:pt>
                <c:pt idx="169">
                  <c:v>0.72872329388655654</c:v>
                </c:pt>
                <c:pt idx="170">
                  <c:v>0.75865246951577969</c:v>
                </c:pt>
                <c:pt idx="171">
                  <c:v>0.76337812882565725</c:v>
                </c:pt>
                <c:pt idx="172">
                  <c:v>0.78700642537504406</c:v>
                </c:pt>
                <c:pt idx="173">
                  <c:v>0.79803296376475796</c:v>
                </c:pt>
                <c:pt idx="174">
                  <c:v>0.8027586230746353</c:v>
                </c:pt>
                <c:pt idx="175">
                  <c:v>0.81220994169439009</c:v>
                </c:pt>
                <c:pt idx="176">
                  <c:v>0.76022768928573903</c:v>
                </c:pt>
                <c:pt idx="177">
                  <c:v>0.77204183756043243</c:v>
                </c:pt>
                <c:pt idx="178">
                  <c:v>0.78385598583512583</c:v>
                </c:pt>
                <c:pt idx="179">
                  <c:v>0.82008604054418555</c:v>
                </c:pt>
                <c:pt idx="180">
                  <c:v>0.83268779870385867</c:v>
                </c:pt>
                <c:pt idx="181">
                  <c:v>0.89884702904214164</c:v>
                </c:pt>
                <c:pt idx="182">
                  <c:v>0.93665230352116069</c:v>
                </c:pt>
                <c:pt idx="183">
                  <c:v>0.90357268835201909</c:v>
                </c:pt>
                <c:pt idx="184">
                  <c:v>0.93350186398124257</c:v>
                </c:pt>
                <c:pt idx="185">
                  <c:v>0.95082928145079293</c:v>
                </c:pt>
                <c:pt idx="186">
                  <c:v>0.97603279777013896</c:v>
                </c:pt>
                <c:pt idx="187">
                  <c:v>0.96500625938042506</c:v>
                </c:pt>
                <c:pt idx="188">
                  <c:v>0.93822752329112002</c:v>
                </c:pt>
                <c:pt idx="189">
                  <c:v>0.98233367684997519</c:v>
                </c:pt>
                <c:pt idx="190">
                  <c:v>0.99651065477960754</c:v>
                </c:pt>
                <c:pt idx="191">
                  <c:v>0.99651065477960754</c:v>
                </c:pt>
                <c:pt idx="192">
                  <c:v>0.99966109431952577</c:v>
                </c:pt>
                <c:pt idx="193">
                  <c:v>1.0043867536294029</c:v>
                </c:pt>
                <c:pt idx="194">
                  <c:v>0.99178499546972998</c:v>
                </c:pt>
                <c:pt idx="195">
                  <c:v>0.99651065477960754</c:v>
                </c:pt>
                <c:pt idx="196">
                  <c:v>0.97603279777013896</c:v>
                </c:pt>
                <c:pt idx="197">
                  <c:v>1.0059619733993621</c:v>
                </c:pt>
                <c:pt idx="198">
                  <c:v>0.99020977569977109</c:v>
                </c:pt>
                <c:pt idx="199">
                  <c:v>0.99966109431952577</c:v>
                </c:pt>
                <c:pt idx="200">
                  <c:v>0.95082928145079293</c:v>
                </c:pt>
                <c:pt idx="201">
                  <c:v>1.0106876327092398</c:v>
                </c:pt>
                <c:pt idx="202">
                  <c:v>1.0547937862680952</c:v>
                </c:pt>
                <c:pt idx="203">
                  <c:v>1.0303778798337286</c:v>
                </c:pt>
                <c:pt idx="204">
                  <c:v>1.0248646106388717</c:v>
                </c:pt>
                <c:pt idx="205">
                  <c:v>0.98075845708001608</c:v>
                </c:pt>
                <c:pt idx="206">
                  <c:v>1.0311654897187081</c:v>
                </c:pt>
                <c:pt idx="207">
                  <c:v>1.018563731559035</c:v>
                </c:pt>
                <c:pt idx="208">
                  <c:v>1.0043867536294029</c:v>
                </c:pt>
                <c:pt idx="209">
                  <c:v>1.0122628524791988</c:v>
                </c:pt>
                <c:pt idx="210">
                  <c:v>1.0075371931693213</c:v>
                </c:pt>
                <c:pt idx="211">
                  <c:v>1.0043867536294029</c:v>
                </c:pt>
                <c:pt idx="212">
                  <c:v>1.018563731559035</c:v>
                </c:pt>
                <c:pt idx="213">
                  <c:v>0.99966109431952577</c:v>
                </c:pt>
                <c:pt idx="214">
                  <c:v>0.94925406168083359</c:v>
                </c:pt>
                <c:pt idx="215">
                  <c:v>0.97445757800017985</c:v>
                </c:pt>
                <c:pt idx="216">
                  <c:v>0.93665230352116069</c:v>
                </c:pt>
                <c:pt idx="217">
                  <c:v>1.0264398304088307</c:v>
                </c:pt>
                <c:pt idx="218">
                  <c:v>1.0508557368431972</c:v>
                </c:pt>
                <c:pt idx="219">
                  <c:v>1.0327407094886674</c:v>
                </c:pt>
                <c:pt idx="220">
                  <c:v>1.0705459839676861</c:v>
                </c:pt>
                <c:pt idx="221">
                  <c:v>1.0303778798337286</c:v>
                </c:pt>
                <c:pt idx="222">
                  <c:v>1.0918114508621344</c:v>
                </c:pt>
                <c:pt idx="223">
                  <c:v>1.3131298285413915</c:v>
                </c:pt>
                <c:pt idx="224">
                  <c:v>0.79015686491496229</c:v>
                </c:pt>
                <c:pt idx="225">
                  <c:v>0.75077637066598424</c:v>
                </c:pt>
                <c:pt idx="226">
                  <c:v>0.74762593112606601</c:v>
                </c:pt>
                <c:pt idx="227">
                  <c:v>0.85474087548328637</c:v>
                </c:pt>
                <c:pt idx="228">
                  <c:v>0.82481169985406311</c:v>
                </c:pt>
                <c:pt idx="229">
                  <c:v>0.8933337598472848</c:v>
                </c:pt>
                <c:pt idx="230">
                  <c:v>0.90199746858205998</c:v>
                </c:pt>
                <c:pt idx="231">
                  <c:v>0.88151961157259151</c:v>
                </c:pt>
                <c:pt idx="232">
                  <c:v>0.91774966628165133</c:v>
                </c:pt>
                <c:pt idx="233">
                  <c:v>0.97760801754009807</c:v>
                </c:pt>
                <c:pt idx="234">
                  <c:v>0.96815669892034328</c:v>
                </c:pt>
                <c:pt idx="235">
                  <c:v>0.96343103961046594</c:v>
                </c:pt>
                <c:pt idx="236">
                  <c:v>0.93822752329112002</c:v>
                </c:pt>
                <c:pt idx="237">
                  <c:v>0.91144878720181466</c:v>
                </c:pt>
                <c:pt idx="238">
                  <c:v>0.91932488605161045</c:v>
                </c:pt>
                <c:pt idx="239">
                  <c:v>0.89569658950222364</c:v>
                </c:pt>
                <c:pt idx="240">
                  <c:v>0.83741345801373601</c:v>
                </c:pt>
                <c:pt idx="241">
                  <c:v>0.85159043594336792</c:v>
                </c:pt>
                <c:pt idx="242">
                  <c:v>0.88309483134255062</c:v>
                </c:pt>
                <c:pt idx="243">
                  <c:v>0.88309483134255062</c:v>
                </c:pt>
                <c:pt idx="244">
                  <c:v>0.87679395226271395</c:v>
                </c:pt>
                <c:pt idx="245">
                  <c:v>0.84371433709357258</c:v>
                </c:pt>
                <c:pt idx="246">
                  <c:v>0.89727180927218275</c:v>
                </c:pt>
                <c:pt idx="247">
                  <c:v>0.98548411638989375</c:v>
                </c:pt>
                <c:pt idx="248">
                  <c:v>0.88782049065242785</c:v>
                </c:pt>
                <c:pt idx="249">
                  <c:v>0.91932488605161045</c:v>
                </c:pt>
                <c:pt idx="250">
                  <c:v>0.91459922674173288</c:v>
                </c:pt>
              </c:numCache>
            </c:numRef>
          </c:val>
          <c:smooth val="0"/>
          <c:extLst>
            <c:ext xmlns:c16="http://schemas.microsoft.com/office/drawing/2014/chart" uri="{C3380CC4-5D6E-409C-BE32-E72D297353CC}">
              <c16:uniqueId val="{00000000-D431-4517-8C1B-2C836EED604B}"/>
            </c:ext>
          </c:extLst>
        </c:ser>
        <c:ser>
          <c:idx val="1"/>
          <c:order val="1"/>
          <c:tx>
            <c:v>TTD</c:v>
          </c:tx>
          <c:spPr>
            <a:ln w="22225" cap="rnd">
              <a:solidFill>
                <a:srgbClr val="C00000"/>
              </a:solidFill>
              <a:prstDash val="solid"/>
              <a:round/>
            </a:ln>
            <a:effectLst/>
          </c:spPr>
          <c:marker>
            <c:symbol val="none"/>
          </c:marker>
          <c:cat>
            <c:numRef>
              <c:f>'Multiples Trade'!$S$5:$S$255</c:f>
              <c:numCache>
                <c:formatCode>m/d/yy</c:formatCode>
                <c:ptCount val="251"/>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pt idx="65">
                  <c:v>46204</c:v>
                </c:pt>
                <c:pt idx="66">
                  <c:v>46203</c:v>
                </c:pt>
                <c:pt idx="67">
                  <c:v>46202</c:v>
                </c:pt>
                <c:pt idx="68">
                  <c:v>46199</c:v>
                </c:pt>
                <c:pt idx="69">
                  <c:v>46198</c:v>
                </c:pt>
                <c:pt idx="70">
                  <c:v>46197</c:v>
                </c:pt>
                <c:pt idx="71">
                  <c:v>46196</c:v>
                </c:pt>
                <c:pt idx="72">
                  <c:v>46195</c:v>
                </c:pt>
                <c:pt idx="73">
                  <c:v>46191</c:v>
                </c:pt>
                <c:pt idx="74">
                  <c:v>46190</c:v>
                </c:pt>
                <c:pt idx="75">
                  <c:v>46189</c:v>
                </c:pt>
                <c:pt idx="76">
                  <c:v>46188</c:v>
                </c:pt>
                <c:pt idx="77">
                  <c:v>46185</c:v>
                </c:pt>
                <c:pt idx="78">
                  <c:v>46184</c:v>
                </c:pt>
                <c:pt idx="79">
                  <c:v>46183</c:v>
                </c:pt>
                <c:pt idx="80">
                  <c:v>46182</c:v>
                </c:pt>
                <c:pt idx="81">
                  <c:v>46181</c:v>
                </c:pt>
                <c:pt idx="82">
                  <c:v>46178</c:v>
                </c:pt>
                <c:pt idx="83">
                  <c:v>46177</c:v>
                </c:pt>
                <c:pt idx="84">
                  <c:v>46176</c:v>
                </c:pt>
                <c:pt idx="85">
                  <c:v>46175</c:v>
                </c:pt>
                <c:pt idx="86">
                  <c:v>46174</c:v>
                </c:pt>
                <c:pt idx="87">
                  <c:v>46171</c:v>
                </c:pt>
                <c:pt idx="88">
                  <c:v>46170</c:v>
                </c:pt>
                <c:pt idx="89">
                  <c:v>46169</c:v>
                </c:pt>
                <c:pt idx="90">
                  <c:v>46168</c:v>
                </c:pt>
                <c:pt idx="91">
                  <c:v>46164</c:v>
                </c:pt>
                <c:pt idx="92">
                  <c:v>46163</c:v>
                </c:pt>
                <c:pt idx="93">
                  <c:v>46162</c:v>
                </c:pt>
                <c:pt idx="94">
                  <c:v>46161</c:v>
                </c:pt>
                <c:pt idx="95">
                  <c:v>46160</c:v>
                </c:pt>
                <c:pt idx="96">
                  <c:v>46157</c:v>
                </c:pt>
                <c:pt idx="97">
                  <c:v>46156</c:v>
                </c:pt>
                <c:pt idx="98">
                  <c:v>46155</c:v>
                </c:pt>
                <c:pt idx="99">
                  <c:v>46154</c:v>
                </c:pt>
                <c:pt idx="100">
                  <c:v>46153</c:v>
                </c:pt>
                <c:pt idx="101">
                  <c:v>46150</c:v>
                </c:pt>
                <c:pt idx="102">
                  <c:v>46149</c:v>
                </c:pt>
                <c:pt idx="103">
                  <c:v>46148</c:v>
                </c:pt>
                <c:pt idx="104">
                  <c:v>46147</c:v>
                </c:pt>
                <c:pt idx="105">
                  <c:v>46146</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46118</c:v>
                </c:pt>
                <c:pt idx="126">
                  <c:v>46114</c:v>
                </c:pt>
                <c:pt idx="127">
                  <c:v>46113</c:v>
                </c:pt>
                <c:pt idx="128">
                  <c:v>46112</c:v>
                </c:pt>
                <c:pt idx="129">
                  <c:v>46111</c:v>
                </c:pt>
                <c:pt idx="130">
                  <c:v>46108</c:v>
                </c:pt>
                <c:pt idx="131">
                  <c:v>46107</c:v>
                </c:pt>
                <c:pt idx="132">
                  <c:v>46106</c:v>
                </c:pt>
                <c:pt idx="133">
                  <c:v>46105</c:v>
                </c:pt>
                <c:pt idx="134">
                  <c:v>46104</c:v>
                </c:pt>
                <c:pt idx="135">
                  <c:v>46101</c:v>
                </c:pt>
                <c:pt idx="136">
                  <c:v>46100</c:v>
                </c:pt>
                <c:pt idx="137">
                  <c:v>46099</c:v>
                </c:pt>
                <c:pt idx="138">
                  <c:v>46098</c:v>
                </c:pt>
                <c:pt idx="139">
                  <c:v>46097</c:v>
                </c:pt>
                <c:pt idx="140">
                  <c:v>46094</c:v>
                </c:pt>
                <c:pt idx="141">
                  <c:v>46093</c:v>
                </c:pt>
                <c:pt idx="142">
                  <c:v>46092</c:v>
                </c:pt>
                <c:pt idx="143">
                  <c:v>46091</c:v>
                </c:pt>
                <c:pt idx="144">
                  <c:v>46090</c:v>
                </c:pt>
                <c:pt idx="145">
                  <c:v>46087</c:v>
                </c:pt>
                <c:pt idx="146">
                  <c:v>46086</c:v>
                </c:pt>
                <c:pt idx="147">
                  <c:v>46085</c:v>
                </c:pt>
                <c:pt idx="148">
                  <c:v>46084</c:v>
                </c:pt>
                <c:pt idx="149">
                  <c:v>46083</c:v>
                </c:pt>
                <c:pt idx="150">
                  <c:v>46080</c:v>
                </c:pt>
                <c:pt idx="151">
                  <c:v>46079</c:v>
                </c:pt>
                <c:pt idx="152">
                  <c:v>46078</c:v>
                </c:pt>
                <c:pt idx="153">
                  <c:v>46077</c:v>
                </c:pt>
                <c:pt idx="154">
                  <c:v>46076</c:v>
                </c:pt>
                <c:pt idx="155">
                  <c:v>46073</c:v>
                </c:pt>
                <c:pt idx="156">
                  <c:v>46072</c:v>
                </c:pt>
                <c:pt idx="157">
                  <c:v>46071</c:v>
                </c:pt>
                <c:pt idx="158">
                  <c:v>46070</c:v>
                </c:pt>
                <c:pt idx="159">
                  <c:v>46066</c:v>
                </c:pt>
                <c:pt idx="160">
                  <c:v>46065</c:v>
                </c:pt>
                <c:pt idx="161">
                  <c:v>46064</c:v>
                </c:pt>
                <c:pt idx="162">
                  <c:v>46063</c:v>
                </c:pt>
                <c:pt idx="163">
                  <c:v>46062</c:v>
                </c:pt>
                <c:pt idx="164">
                  <c:v>46059</c:v>
                </c:pt>
                <c:pt idx="165">
                  <c:v>46058</c:v>
                </c:pt>
                <c:pt idx="166">
                  <c:v>46057</c:v>
                </c:pt>
                <c:pt idx="167">
                  <c:v>46056</c:v>
                </c:pt>
                <c:pt idx="168">
                  <c:v>46055</c:v>
                </c:pt>
                <c:pt idx="169">
                  <c:v>46052</c:v>
                </c:pt>
                <c:pt idx="170">
                  <c:v>46051</c:v>
                </c:pt>
                <c:pt idx="171">
                  <c:v>46050</c:v>
                </c:pt>
                <c:pt idx="172">
                  <c:v>46049</c:v>
                </c:pt>
                <c:pt idx="173">
                  <c:v>46048</c:v>
                </c:pt>
                <c:pt idx="174">
                  <c:v>46045</c:v>
                </c:pt>
                <c:pt idx="175">
                  <c:v>46044</c:v>
                </c:pt>
                <c:pt idx="176">
                  <c:v>46043</c:v>
                </c:pt>
                <c:pt idx="177">
                  <c:v>46042</c:v>
                </c:pt>
                <c:pt idx="178">
                  <c:v>46038</c:v>
                </c:pt>
                <c:pt idx="179">
                  <c:v>46037</c:v>
                </c:pt>
                <c:pt idx="180">
                  <c:v>46036</c:v>
                </c:pt>
                <c:pt idx="181">
                  <c:v>46035</c:v>
                </c:pt>
                <c:pt idx="182">
                  <c:v>46034</c:v>
                </c:pt>
                <c:pt idx="183">
                  <c:v>46031</c:v>
                </c:pt>
                <c:pt idx="184">
                  <c:v>46030</c:v>
                </c:pt>
                <c:pt idx="185">
                  <c:v>46029</c:v>
                </c:pt>
                <c:pt idx="186">
                  <c:v>46028</c:v>
                </c:pt>
                <c:pt idx="187">
                  <c:v>46027</c:v>
                </c:pt>
                <c:pt idx="188">
                  <c:v>46024</c:v>
                </c:pt>
                <c:pt idx="189">
                  <c:v>46022</c:v>
                </c:pt>
                <c:pt idx="190">
                  <c:v>46021</c:v>
                </c:pt>
                <c:pt idx="191">
                  <c:v>46020</c:v>
                </c:pt>
                <c:pt idx="192">
                  <c:v>46017</c:v>
                </c:pt>
                <c:pt idx="193">
                  <c:v>46015</c:v>
                </c:pt>
                <c:pt idx="194">
                  <c:v>46014</c:v>
                </c:pt>
                <c:pt idx="195">
                  <c:v>46013</c:v>
                </c:pt>
                <c:pt idx="196">
                  <c:v>46010</c:v>
                </c:pt>
                <c:pt idx="197">
                  <c:v>46009</c:v>
                </c:pt>
                <c:pt idx="198">
                  <c:v>46008</c:v>
                </c:pt>
                <c:pt idx="199">
                  <c:v>46007</c:v>
                </c:pt>
                <c:pt idx="200">
                  <c:v>46006</c:v>
                </c:pt>
                <c:pt idx="201">
                  <c:v>46003</c:v>
                </c:pt>
                <c:pt idx="202">
                  <c:v>46002</c:v>
                </c:pt>
                <c:pt idx="203">
                  <c:v>46001</c:v>
                </c:pt>
                <c:pt idx="204">
                  <c:v>46000</c:v>
                </c:pt>
                <c:pt idx="205">
                  <c:v>45999</c:v>
                </c:pt>
                <c:pt idx="206">
                  <c:v>45996</c:v>
                </c:pt>
                <c:pt idx="207">
                  <c:v>45995</c:v>
                </c:pt>
                <c:pt idx="208">
                  <c:v>45994</c:v>
                </c:pt>
                <c:pt idx="209">
                  <c:v>45993</c:v>
                </c:pt>
                <c:pt idx="210">
                  <c:v>45992</c:v>
                </c:pt>
                <c:pt idx="211">
                  <c:v>45989</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45966</c:v>
                </c:pt>
                <c:pt idx="228">
                  <c:v>45965</c:v>
                </c:pt>
                <c:pt idx="229">
                  <c:v>45964</c:v>
                </c:pt>
                <c:pt idx="230">
                  <c:v>45961</c:v>
                </c:pt>
                <c:pt idx="231">
                  <c:v>45960</c:v>
                </c:pt>
                <c:pt idx="232">
                  <c:v>45959</c:v>
                </c:pt>
                <c:pt idx="233">
                  <c:v>45958</c:v>
                </c:pt>
                <c:pt idx="234">
                  <c:v>45957</c:v>
                </c:pt>
                <c:pt idx="235">
                  <c:v>45954</c:v>
                </c:pt>
                <c:pt idx="236">
                  <c:v>45953</c:v>
                </c:pt>
                <c:pt idx="237">
                  <c:v>45952</c:v>
                </c:pt>
                <c:pt idx="238">
                  <c:v>45951</c:v>
                </c:pt>
                <c:pt idx="239">
                  <c:v>45950</c:v>
                </c:pt>
                <c:pt idx="240">
                  <c:v>45947</c:v>
                </c:pt>
                <c:pt idx="241">
                  <c:v>45946</c:v>
                </c:pt>
                <c:pt idx="242">
                  <c:v>45945</c:v>
                </c:pt>
                <c:pt idx="243">
                  <c:v>45944</c:v>
                </c:pt>
                <c:pt idx="244">
                  <c:v>45943</c:v>
                </c:pt>
                <c:pt idx="245">
                  <c:v>45940</c:v>
                </c:pt>
                <c:pt idx="246">
                  <c:v>45939</c:v>
                </c:pt>
                <c:pt idx="247">
                  <c:v>45938</c:v>
                </c:pt>
                <c:pt idx="248">
                  <c:v>45937</c:v>
                </c:pt>
                <c:pt idx="249">
                  <c:v>45936</c:v>
                </c:pt>
                <c:pt idx="250">
                  <c:v>45933</c:v>
                </c:pt>
              </c:numCache>
            </c:numRef>
          </c:cat>
          <c:val>
            <c:numRef>
              <c:f>'Multiples Trade'!$AA$5:$AA$255</c:f>
              <c:numCache>
                <c:formatCode>0.0\x;\(0.0\x\)</c:formatCode>
                <c:ptCount val="251"/>
                <c:pt idx="0">
                  <c:v>1.4677668561600625</c:v>
                </c:pt>
                <c:pt idx="1">
                  <c:v>1.4927616577206517</c:v>
                </c:pt>
                <c:pt idx="2">
                  <c:v>1.5044258984489267</c:v>
                </c:pt>
                <c:pt idx="3">
                  <c:v>1.4844300572004556</c:v>
                </c:pt>
                <c:pt idx="4">
                  <c:v>1.5327533402175944</c:v>
                </c:pt>
                <c:pt idx="5">
                  <c:v>1.5760776629226154</c:v>
                </c:pt>
                <c:pt idx="6">
                  <c:v>1.5810766232347337</c:v>
                </c:pt>
                <c:pt idx="7">
                  <c:v>1.5894082237549296</c:v>
                </c:pt>
                <c:pt idx="8">
                  <c:v>1.6727242289568935</c:v>
                </c:pt>
                <c:pt idx="9">
                  <c:v>1.7893666362396432</c:v>
                </c:pt>
                <c:pt idx="10">
                  <c:v>1.7960319166557999</c:v>
                </c:pt>
                <c:pt idx="11">
                  <c:v>1.8526868001931351</c:v>
                </c:pt>
                <c:pt idx="12">
                  <c:v>1.8910121625860385</c:v>
                </c:pt>
                <c:pt idx="13">
                  <c:v>1.9759944878920417</c:v>
                </c:pt>
                <c:pt idx="14">
                  <c:v>1.970995527579924</c:v>
                </c:pt>
                <c:pt idx="15">
                  <c:v>1.8660173610254494</c:v>
                </c:pt>
                <c:pt idx="16">
                  <c:v>1.8043635171759966</c:v>
                </c:pt>
                <c:pt idx="17">
                  <c:v>1.7893666362396432</c:v>
                </c:pt>
                <c:pt idx="18">
                  <c:v>1.8126951176961927</c:v>
                </c:pt>
                <c:pt idx="19">
                  <c:v>1.881014241961803</c:v>
                </c:pt>
                <c:pt idx="20">
                  <c:v>1.9909913688283951</c:v>
                </c:pt>
                <c:pt idx="21">
                  <c:v>1.9010100832102745</c:v>
                </c:pt>
                <c:pt idx="22">
                  <c:v>1.7727034351992501</c:v>
                </c:pt>
                <c:pt idx="23">
                  <c:v>1.7627055145750148</c:v>
                </c:pt>
                <c:pt idx="24">
                  <c:v>1.7377107130144256</c:v>
                </c:pt>
                <c:pt idx="25">
                  <c:v>1.7127159114538364</c:v>
                </c:pt>
                <c:pt idx="26">
                  <c:v>1.6477294273963043</c:v>
                </c:pt>
                <c:pt idx="27">
                  <c:v>1.6843884696851683</c:v>
                </c:pt>
                <c:pt idx="28">
                  <c:v>1.687721109893247</c:v>
                </c:pt>
                <c:pt idx="29">
                  <c:v>1.6727242289568935</c:v>
                </c:pt>
                <c:pt idx="30">
                  <c:v>1.6960527104134433</c:v>
                </c:pt>
                <c:pt idx="31">
                  <c:v>1.7327117527023075</c:v>
                </c:pt>
                <c:pt idx="32">
                  <c:v>1.7127159114538364</c:v>
                </c:pt>
                <c:pt idx="33">
                  <c:v>1.7093832712457575</c:v>
                </c:pt>
                <c:pt idx="34">
                  <c:v>1.8326909589446643</c:v>
                </c:pt>
                <c:pt idx="35">
                  <c:v>1.9026764033143138</c:v>
                </c:pt>
                <c:pt idx="36">
                  <c:v>1.7243801521821109</c:v>
                </c:pt>
                <c:pt idx="37">
                  <c:v>1.7360443929103864</c:v>
                </c:pt>
                <c:pt idx="38">
                  <c:v>1.7077169511417183</c:v>
                </c:pt>
                <c:pt idx="39">
                  <c:v>1.7760360754073286</c:v>
                </c:pt>
                <c:pt idx="40">
                  <c:v>2.4209019556705282</c:v>
                </c:pt>
                <c:pt idx="41">
                  <c:v>2.6358572490915946</c:v>
                </c:pt>
                <c:pt idx="42">
                  <c:v>2.6991774130450872</c:v>
                </c:pt>
                <c:pt idx="43">
                  <c:v>2.5258801222250025</c:v>
                </c:pt>
                <c:pt idx="44">
                  <c:v>2.4825557995199814</c:v>
                </c:pt>
                <c:pt idx="45">
                  <c:v>2.5225474820169245</c:v>
                </c:pt>
                <c:pt idx="46">
                  <c:v>2.6575194104441051</c:v>
                </c:pt>
                <c:pt idx="47">
                  <c:v>2.6275256485713991</c:v>
                </c:pt>
                <c:pt idx="48">
                  <c:v>2.4558946778553525</c:v>
                </c:pt>
                <c:pt idx="49">
                  <c:v>2.3575817917170356</c:v>
                </c:pt>
                <c:pt idx="50">
                  <c:v>2.2742657865150719</c:v>
                </c:pt>
                <c:pt idx="51">
                  <c:v>2.4059050747341746</c:v>
                </c:pt>
                <c:pt idx="52">
                  <c:v>2.5175485217048061</c:v>
                </c:pt>
                <c:pt idx="53">
                  <c:v>2.5825350057623377</c:v>
                </c:pt>
                <c:pt idx="54">
                  <c:v>2.5742034052421414</c:v>
                </c:pt>
                <c:pt idx="55">
                  <c:v>2.6625183707562239</c:v>
                </c:pt>
                <c:pt idx="56">
                  <c:v>2.7041763733572051</c:v>
                </c:pt>
                <c:pt idx="57">
                  <c:v>2.6325246088835161</c:v>
                </c:pt>
                <c:pt idx="58">
                  <c:v>2.7741618177268546</c:v>
                </c:pt>
                <c:pt idx="59">
                  <c:v>2.7308374950218339</c:v>
                </c:pt>
                <c:pt idx="60">
                  <c:v>2.7674965373106981</c:v>
                </c:pt>
                <c:pt idx="61">
                  <c:v>2.6541867702360267</c:v>
                </c:pt>
                <c:pt idx="62">
                  <c:v>2.6725162913804588</c:v>
                </c:pt>
                <c:pt idx="63">
                  <c:v>2.6941784527329693</c:v>
                </c:pt>
                <c:pt idx="64">
                  <c:v>2.6591857305481454</c:v>
                </c:pt>
                <c:pt idx="65">
                  <c:v>2.6675173310683404</c:v>
                </c:pt>
                <c:pt idx="66">
                  <c:v>2.4892210799361383</c:v>
                </c:pt>
                <c:pt idx="67">
                  <c:v>2.5842013258663772</c:v>
                </c:pt>
                <c:pt idx="68">
                  <c:v>2.5375443629532781</c:v>
                </c:pt>
                <c:pt idx="69">
                  <c:v>2.364247072133193</c:v>
                </c:pt>
                <c:pt idx="70">
                  <c:v>2.4259009159826457</c:v>
                </c:pt>
                <c:pt idx="71">
                  <c:v>2.4642262783755493</c:v>
                </c:pt>
                <c:pt idx="72">
                  <c:v>2.479223159311903</c:v>
                </c:pt>
                <c:pt idx="73">
                  <c:v>2.5608728444098272</c:v>
                </c:pt>
                <c:pt idx="74">
                  <c:v>2.5025516407684525</c:v>
                </c:pt>
                <c:pt idx="75">
                  <c:v>2.6358572490915946</c:v>
                </c:pt>
                <c:pt idx="76">
                  <c:v>2.6875131723168124</c:v>
                </c:pt>
                <c:pt idx="77">
                  <c:v>2.6891794924208514</c:v>
                </c:pt>
                <c:pt idx="78">
                  <c:v>2.6258593284673593</c:v>
                </c:pt>
                <c:pt idx="79">
                  <c:v>2.6908458125248909</c:v>
                </c:pt>
                <c:pt idx="80">
                  <c:v>2.7908250187672472</c:v>
                </c:pt>
                <c:pt idx="81">
                  <c:v>2.7141742939814408</c:v>
                </c:pt>
                <c:pt idx="82">
                  <c:v>2.800822939391483</c:v>
                </c:pt>
                <c:pt idx="83">
                  <c:v>2.9807855106277246</c:v>
                </c:pt>
                <c:pt idx="84">
                  <c:v>2.9024684657378788</c:v>
                </c:pt>
                <c:pt idx="85">
                  <c:v>2.9924497513560002</c:v>
                </c:pt>
                <c:pt idx="86">
                  <c:v>3.3457096134123261</c:v>
                </c:pt>
                <c:pt idx="87">
                  <c:v>3.0691004761418066</c:v>
                </c:pt>
                <c:pt idx="88">
                  <c:v>3.0007813518761961</c:v>
                </c:pt>
                <c:pt idx="89">
                  <c:v>3.1907418437366735</c:v>
                </c:pt>
                <c:pt idx="90">
                  <c:v>3.1724123225922414</c:v>
                </c:pt>
                <c:pt idx="91">
                  <c:v>3.2057387246730271</c:v>
                </c:pt>
                <c:pt idx="92">
                  <c:v>3.0224435132287075</c:v>
                </c:pt>
                <c:pt idx="93">
                  <c:v>2.9791191905236856</c:v>
                </c:pt>
                <c:pt idx="94">
                  <c:v>3.0024476719802355</c:v>
                </c:pt>
                <c:pt idx="95">
                  <c:v>3.187409203528595</c:v>
                </c:pt>
                <c:pt idx="96">
                  <c:v>3.0007813518761961</c:v>
                </c:pt>
                <c:pt idx="97">
                  <c:v>2.8774736641772898</c:v>
                </c:pt>
                <c:pt idx="98">
                  <c:v>2.8908042250096031</c:v>
                </c:pt>
                <c:pt idx="99">
                  <c:v>2.9991150317721567</c:v>
                </c:pt>
                <c:pt idx="100">
                  <c:v>3.0624351957256493</c:v>
                </c:pt>
                <c:pt idx="101">
                  <c:v>3.3223811319557761</c:v>
                </c:pt>
                <c:pt idx="102">
                  <c:v>3.3907002562213866</c:v>
                </c:pt>
                <c:pt idx="103">
                  <c:v>3.4773489016314296</c:v>
                </c:pt>
                <c:pt idx="104">
                  <c:v>3.5773281078737855</c:v>
                </c:pt>
                <c:pt idx="105">
                  <c:v>3.4923457825677828</c:v>
                </c:pt>
                <c:pt idx="106">
                  <c:v>3.5156742640243315</c:v>
                </c:pt>
                <c:pt idx="107">
                  <c:v>3.4073634572617792</c:v>
                </c:pt>
                <c:pt idx="108">
                  <c:v>3.5373364253768429</c:v>
                </c:pt>
                <c:pt idx="109">
                  <c:v>3.3473759335163655</c:v>
                </c:pt>
                <c:pt idx="110">
                  <c:v>3.3323790525800119</c:v>
                </c:pt>
                <c:pt idx="111">
                  <c:v>3.4706836212152719</c:v>
                </c:pt>
                <c:pt idx="112">
                  <c:v>3.2457304071699697</c:v>
                </c:pt>
                <c:pt idx="113">
                  <c:v>3.4023644969496614</c:v>
                </c:pt>
                <c:pt idx="114">
                  <c:v>3.3423769732042476</c:v>
                </c:pt>
                <c:pt idx="115">
                  <c:v>3.4840141820475861</c:v>
                </c:pt>
                <c:pt idx="116">
                  <c:v>3.2207356056093799</c:v>
                </c:pt>
                <c:pt idx="117">
                  <c:v>3.2690588886265202</c:v>
                </c:pt>
                <c:pt idx="118">
                  <c:v>3.2057387246730271</c:v>
                </c:pt>
                <c:pt idx="119">
                  <c:v>2.9791191905236856</c:v>
                </c:pt>
                <c:pt idx="120">
                  <c:v>3.0124455926044704</c:v>
                </c:pt>
                <c:pt idx="121">
                  <c:v>2.8241514208480329</c:v>
                </c:pt>
                <c:pt idx="122">
                  <c:v>2.9108000662580751</c:v>
                </c:pt>
                <c:pt idx="123">
                  <c:v>2.8508125425126614</c:v>
                </c:pt>
                <c:pt idx="124">
                  <c:v>2.9257969471944287</c:v>
                </c:pt>
                <c:pt idx="125">
                  <c:v>3.1774112829043593</c:v>
                </c:pt>
                <c:pt idx="126">
                  <c:v>3.1507501612397308</c:v>
                </c:pt>
                <c:pt idx="127">
                  <c:v>3.1390859205114561</c:v>
                </c:pt>
                <c:pt idx="128">
                  <c:v>3.2573946478982445</c:v>
                </c:pt>
                <c:pt idx="129">
                  <c:v>3.1440848808235744</c:v>
                </c:pt>
                <c:pt idx="130">
                  <c:v>3.0224435132287075</c:v>
                </c:pt>
                <c:pt idx="131">
                  <c:v>3.0990942380145126</c:v>
                </c:pt>
                <c:pt idx="132">
                  <c:v>3.1374196004074166</c:v>
                </c:pt>
                <c:pt idx="133">
                  <c:v>3.1990734442568698</c:v>
                </c:pt>
                <c:pt idx="134">
                  <c:v>3.4673509810071934</c:v>
                </c:pt>
                <c:pt idx="135">
                  <c:v>3.4940121026718218</c:v>
                </c:pt>
                <c:pt idx="136">
                  <c:v>3.394032896429465</c:v>
                </c:pt>
                <c:pt idx="137">
                  <c:v>3.4006981768456224</c:v>
                </c:pt>
                <c:pt idx="138">
                  <c:v>3.6539788326595919</c:v>
                </c:pt>
                <c:pt idx="139">
                  <c:v>3.9889091735714866</c:v>
                </c:pt>
                <c:pt idx="140">
                  <c:v>4.0322334962765076</c:v>
                </c:pt>
                <c:pt idx="141">
                  <c:v>3.8964284077973068</c:v>
                </c:pt>
                <c:pt idx="142">
                  <c:v>4.0222355756522719</c:v>
                </c:pt>
                <c:pt idx="143">
                  <c:v>4.0855557396057653</c:v>
                </c:pt>
                <c:pt idx="144">
                  <c:v>4.2355245489692992</c:v>
                </c:pt>
                <c:pt idx="145">
                  <c:v>4.3554995964601275</c:v>
                </c:pt>
                <c:pt idx="146">
                  <c:v>4.4404819217661302</c:v>
                </c:pt>
                <c:pt idx="147">
                  <c:v>3.670642033699985</c:v>
                </c:pt>
                <c:pt idx="148">
                  <c:v>3.6423145919313171</c:v>
                </c:pt>
                <c:pt idx="149">
                  <c:v>3.529004824856647</c:v>
                </c:pt>
                <c:pt idx="150">
                  <c:v>3.4456888196546824</c:v>
                </c:pt>
                <c:pt idx="151">
                  <c:v>3.4673509810071934</c:v>
                </c:pt>
                <c:pt idx="152">
                  <c:v>3.6689757135959464</c:v>
                </c:pt>
                <c:pt idx="153">
                  <c:v>3.6323166713070822</c:v>
                </c:pt>
                <c:pt idx="154">
                  <c:v>3.5040100232960572</c:v>
                </c:pt>
                <c:pt idx="155">
                  <c:v>3.6589777929717098</c:v>
                </c:pt>
                <c:pt idx="156">
                  <c:v>3.6823062744282598</c:v>
                </c:pt>
                <c:pt idx="157">
                  <c:v>3.7256305971332808</c:v>
                </c:pt>
                <c:pt idx="158">
                  <c:v>3.6856389146363391</c:v>
                </c:pt>
                <c:pt idx="159">
                  <c:v>3.7772865203584978</c:v>
                </c:pt>
                <c:pt idx="160">
                  <c:v>3.8322750837917945</c:v>
                </c:pt>
                <c:pt idx="161">
                  <c:v>4.0139039751320764</c:v>
                </c:pt>
                <c:pt idx="162">
                  <c:v>4.1638727844956103</c:v>
                </c:pt>
                <c:pt idx="163">
                  <c:v>3.9822438931553292</c:v>
                </c:pt>
                <c:pt idx="164">
                  <c:v>3.9822438931553292</c:v>
                </c:pt>
                <c:pt idx="165">
                  <c:v>3.8489382848321867</c:v>
                </c:pt>
                <c:pt idx="166">
                  <c:v>4.0205692555482324</c:v>
                </c:pt>
                <c:pt idx="167">
                  <c:v>4.0055723746118792</c:v>
                </c:pt>
                <c:pt idx="168">
                  <c:v>4.4338166413499733</c:v>
                </c:pt>
                <c:pt idx="169">
                  <c:v>4.5304632073842512</c:v>
                </c:pt>
                <c:pt idx="170">
                  <c:v>4.683764656955864</c:v>
                </c:pt>
                <c:pt idx="171">
                  <c:v>4.7870765034062996</c:v>
                </c:pt>
                <c:pt idx="172">
                  <c:v>4.8403987467355556</c:v>
                </c:pt>
                <c:pt idx="173">
                  <c:v>5.1103426035899195</c:v>
                </c:pt>
                <c:pt idx="174">
                  <c:v>5.5669143120966806</c:v>
                </c:pt>
                <c:pt idx="175">
                  <c:v>5.6119049549057411</c:v>
                </c:pt>
                <c:pt idx="176">
                  <c:v>5.3636232594038891</c:v>
                </c:pt>
                <c:pt idx="177">
                  <c:v>5.1669974871272535</c:v>
                </c:pt>
                <c:pt idx="178">
                  <c:v>5.388618060964478</c:v>
                </c:pt>
                <c:pt idx="179">
                  <c:v>5.513592068767422</c:v>
                </c:pt>
                <c:pt idx="180">
                  <c:v>5.6635608781309594</c:v>
                </c:pt>
                <c:pt idx="181">
                  <c:v>5.665227198234998</c:v>
                </c:pt>
                <c:pt idx="182">
                  <c:v>5.6252355157380549</c:v>
                </c:pt>
                <c:pt idx="183">
                  <c:v>5.690221999795587</c:v>
                </c:pt>
                <c:pt idx="184">
                  <c:v>5.6918883198996264</c:v>
                </c:pt>
                <c:pt idx="185">
                  <c:v>5.9168415339449281</c:v>
                </c:pt>
                <c:pt idx="186">
                  <c:v>6.0984704252852096</c:v>
                </c:pt>
                <c:pt idx="187">
                  <c:v>6.1601242691346627</c:v>
                </c:pt>
                <c:pt idx="188">
                  <c:v>5.7552084838531181</c:v>
                </c:pt>
                <c:pt idx="189">
                  <c:v>5.8018654467662181</c:v>
                </c:pt>
                <c:pt idx="190">
                  <c:v>5.8285265684308465</c:v>
                </c:pt>
                <c:pt idx="191">
                  <c:v>5.873517211239907</c:v>
                </c:pt>
                <c:pt idx="192">
                  <c:v>5.8601866504075932</c:v>
                </c:pt>
                <c:pt idx="193">
                  <c:v>5.8285265684308465</c:v>
                </c:pt>
                <c:pt idx="194">
                  <c:v>5.715216801356175</c:v>
                </c:pt>
                <c:pt idx="195">
                  <c:v>5.690221999795587</c:v>
                </c:pt>
                <c:pt idx="196">
                  <c:v>5.6852230394834686</c:v>
                </c:pt>
                <c:pt idx="197">
                  <c:v>5.690221999795587</c:v>
                </c:pt>
                <c:pt idx="198">
                  <c:v>5.6702261585471172</c:v>
                </c:pt>
                <c:pt idx="199">
                  <c:v>5.5819111930330338</c:v>
                </c:pt>
                <c:pt idx="200">
                  <c:v>5.5069267883512651</c:v>
                </c:pt>
                <c:pt idx="201">
                  <c:v>5.5835775131370733</c:v>
                </c:pt>
                <c:pt idx="202">
                  <c:v>5.6452313569865264</c:v>
                </c:pt>
                <c:pt idx="203">
                  <c:v>6.0118217798751665</c:v>
                </c:pt>
                <c:pt idx="204">
                  <c:v>6.0418155417478738</c:v>
                </c:pt>
                <c:pt idx="205">
                  <c:v>6.0334839412276775</c:v>
                </c:pt>
                <c:pt idx="206">
                  <c:v>6.1501263485104269</c:v>
                </c:pt>
                <c:pt idx="207">
                  <c:v>6.0334839412276775</c:v>
                </c:pt>
                <c:pt idx="208">
                  <c:v>5.9101762535287712</c:v>
                </c:pt>
                <c:pt idx="209">
                  <c:v>6.1334631474700343</c:v>
                </c:pt>
                <c:pt idx="210">
                  <c:v>6.0718093036205811</c:v>
                </c:pt>
                <c:pt idx="211">
                  <c:v>6.0684766634125022</c:v>
                </c:pt>
                <c:pt idx="212">
                  <c:v>5.9934922587307353</c:v>
                </c:pt>
                <c:pt idx="213">
                  <c:v>5.9901596185226564</c:v>
                </c:pt>
                <c:pt idx="214">
                  <c:v>5.9851606582105399</c:v>
                </c:pt>
                <c:pt idx="215">
                  <c:v>6.0834735443488555</c:v>
                </c:pt>
                <c:pt idx="216">
                  <c:v>5.8668519308237501</c:v>
                </c:pt>
                <c:pt idx="217">
                  <c:v>6.1734548299669765</c:v>
                </c:pt>
                <c:pt idx="218">
                  <c:v>6.2201117928800764</c:v>
                </c:pt>
                <c:pt idx="219">
                  <c:v>6.1767874701750554</c:v>
                </c:pt>
                <c:pt idx="220">
                  <c:v>6.4633945280698111</c:v>
                </c:pt>
                <c:pt idx="221">
                  <c:v>6.6200286178495009</c:v>
                </c:pt>
                <c:pt idx="222">
                  <c:v>6.7733300674211163</c:v>
                </c:pt>
                <c:pt idx="223">
                  <c:v>6.8416491916867272</c:v>
                </c:pt>
                <c:pt idx="224">
                  <c:v>6.6850151019070339</c:v>
                </c:pt>
                <c:pt idx="225">
                  <c:v>6.6416907792020128</c:v>
                </c:pt>
                <c:pt idx="226">
                  <c:v>7.1249236093734032</c:v>
                </c:pt>
                <c:pt idx="227">
                  <c:v>7.4248612281004727</c:v>
                </c:pt>
                <c:pt idx="228">
                  <c:v>7.3482105033146663</c:v>
                </c:pt>
                <c:pt idx="229">
                  <c:v>7.6614786828740487</c:v>
                </c:pt>
                <c:pt idx="230">
                  <c:v>7.8547718149426053</c:v>
                </c:pt>
                <c:pt idx="231">
                  <c:v>7.6364838813134606</c:v>
                </c:pt>
                <c:pt idx="232">
                  <c:v>7.8014495716133485</c:v>
                </c:pt>
                <c:pt idx="233">
                  <c:v>8.0863903094040648</c:v>
                </c:pt>
                <c:pt idx="234">
                  <c:v>8.4096564095876847</c:v>
                </c:pt>
                <c:pt idx="235">
                  <c:v>8.1413788728373628</c:v>
                </c:pt>
                <c:pt idx="236">
                  <c:v>8.4963050549977268</c:v>
                </c:pt>
                <c:pt idx="237">
                  <c:v>8.4563133725007837</c:v>
                </c:pt>
                <c:pt idx="238">
                  <c:v>8.4613123328129021</c:v>
                </c:pt>
                <c:pt idx="239">
                  <c:v>8.2238617179873046</c:v>
                </c:pt>
                <c:pt idx="240">
                  <c:v>7.8047822118214265</c:v>
                </c:pt>
                <c:pt idx="241">
                  <c:v>7.7914516509891136</c:v>
                </c:pt>
                <c:pt idx="242">
                  <c:v>7.9914100634738263</c:v>
                </c:pt>
                <c:pt idx="243">
                  <c:v>7.9297562196243732</c:v>
                </c:pt>
                <c:pt idx="244">
                  <c:v>8.0205706652945139</c:v>
                </c:pt>
                <c:pt idx="245">
                  <c:v>8.2013663965827757</c:v>
                </c:pt>
                <c:pt idx="246">
                  <c:v>8.4896397745815708</c:v>
                </c:pt>
                <c:pt idx="247">
                  <c:v>8.4863071343734919</c:v>
                </c:pt>
                <c:pt idx="248">
                  <c:v>8.3896605683392131</c:v>
                </c:pt>
                <c:pt idx="249">
                  <c:v>8.331339364697838</c:v>
                </c:pt>
                <c:pt idx="250">
                  <c:v>8.0663944681555932</c:v>
                </c:pt>
              </c:numCache>
            </c:numRef>
          </c:val>
          <c:smooth val="0"/>
          <c:extLst>
            <c:ext xmlns:c16="http://schemas.microsoft.com/office/drawing/2014/chart" uri="{C3380CC4-5D6E-409C-BE32-E72D297353CC}">
              <c16:uniqueId val="{00000001-D431-4517-8C1B-2C836EED604B}"/>
            </c:ext>
          </c:extLst>
        </c:ser>
        <c:dLbls>
          <c:showLegendKey val="0"/>
          <c:showVal val="0"/>
          <c:showCatName val="0"/>
          <c:showSerName val="0"/>
          <c:showPercent val="0"/>
          <c:showBubbleSize val="0"/>
        </c:dLbls>
        <c:marker val="1"/>
        <c:smooth val="0"/>
        <c:axId val="869534543"/>
        <c:axId val="869548943"/>
      </c:lineChart>
      <c:dateAx>
        <c:axId val="869534543"/>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48943"/>
        <c:crosses val="autoZero"/>
        <c:auto val="0"/>
        <c:lblOffset val="100"/>
        <c:baseTimeUnit val="days"/>
        <c:majorUnit val="2"/>
        <c:majorTimeUnit val="months"/>
      </c:dateAx>
      <c:valAx>
        <c:axId val="869548943"/>
        <c:scaling>
          <c:orientation val="minMax"/>
        </c:scaling>
        <c:delete val="0"/>
        <c:axPos val="l"/>
        <c:majorGridlines>
          <c:spPr>
            <a:ln w="9525" cap="flat" cmpd="sng" algn="ctr">
              <a:solidFill>
                <a:srgbClr val="D9D9D9"/>
              </a:solidFill>
              <a:prstDash val="solid"/>
              <a:round/>
            </a:ln>
            <a:effectLst/>
          </c:spPr>
        </c:majorGridlines>
        <c:numFmt formatCode="0.0&quot;x&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534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'Multiples Trade'!$AG$4</c:f>
          <c:strCache>
            <c:ptCount val="1"/>
            <c:pt idx="0">
              <c:v>EV / LTM Adj. EBITDA: PUBM vs TTD (10/3/25 – 10/2/26)</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v>PUBM earnings</c:v>
          </c:tx>
          <c:spPr>
            <a:solidFill>
              <a:srgbClr val="1F3864"/>
            </a:solidFill>
            <a:ln w="25400">
              <a:noFill/>
            </a:ln>
            <a:effectLst/>
          </c:spPr>
          <c:invertIfNegative val="0"/>
          <c:cat>
            <c:numRef>
              <c:f>'Multiples Trade'!$S$5:$S$255</c:f>
              <c:numCache>
                <c:formatCode>m/d/yy</c:formatCode>
                <c:ptCount val="251"/>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pt idx="65">
                  <c:v>46204</c:v>
                </c:pt>
                <c:pt idx="66">
                  <c:v>46203</c:v>
                </c:pt>
                <c:pt idx="67">
                  <c:v>46202</c:v>
                </c:pt>
                <c:pt idx="68">
                  <c:v>46199</c:v>
                </c:pt>
                <c:pt idx="69">
                  <c:v>46198</c:v>
                </c:pt>
                <c:pt idx="70">
                  <c:v>46197</c:v>
                </c:pt>
                <c:pt idx="71">
                  <c:v>46196</c:v>
                </c:pt>
                <c:pt idx="72">
                  <c:v>46195</c:v>
                </c:pt>
                <c:pt idx="73">
                  <c:v>46191</c:v>
                </c:pt>
                <c:pt idx="74">
                  <c:v>46190</c:v>
                </c:pt>
                <c:pt idx="75">
                  <c:v>46189</c:v>
                </c:pt>
                <c:pt idx="76">
                  <c:v>46188</c:v>
                </c:pt>
                <c:pt idx="77">
                  <c:v>46185</c:v>
                </c:pt>
                <c:pt idx="78">
                  <c:v>46184</c:v>
                </c:pt>
                <c:pt idx="79">
                  <c:v>46183</c:v>
                </c:pt>
                <c:pt idx="80">
                  <c:v>46182</c:v>
                </c:pt>
                <c:pt idx="81">
                  <c:v>46181</c:v>
                </c:pt>
                <c:pt idx="82">
                  <c:v>46178</c:v>
                </c:pt>
                <c:pt idx="83">
                  <c:v>46177</c:v>
                </c:pt>
                <c:pt idx="84">
                  <c:v>46176</c:v>
                </c:pt>
                <c:pt idx="85">
                  <c:v>46175</c:v>
                </c:pt>
                <c:pt idx="86">
                  <c:v>46174</c:v>
                </c:pt>
                <c:pt idx="87">
                  <c:v>46171</c:v>
                </c:pt>
                <c:pt idx="88">
                  <c:v>46170</c:v>
                </c:pt>
                <c:pt idx="89">
                  <c:v>46169</c:v>
                </c:pt>
                <c:pt idx="90">
                  <c:v>46168</c:v>
                </c:pt>
                <c:pt idx="91">
                  <c:v>46164</c:v>
                </c:pt>
                <c:pt idx="92">
                  <c:v>46163</c:v>
                </c:pt>
                <c:pt idx="93">
                  <c:v>46162</c:v>
                </c:pt>
                <c:pt idx="94">
                  <c:v>46161</c:v>
                </c:pt>
                <c:pt idx="95">
                  <c:v>46160</c:v>
                </c:pt>
                <c:pt idx="96">
                  <c:v>46157</c:v>
                </c:pt>
                <c:pt idx="97">
                  <c:v>46156</c:v>
                </c:pt>
                <c:pt idx="98">
                  <c:v>46155</c:v>
                </c:pt>
                <c:pt idx="99">
                  <c:v>46154</c:v>
                </c:pt>
                <c:pt idx="100">
                  <c:v>46153</c:v>
                </c:pt>
                <c:pt idx="101">
                  <c:v>46150</c:v>
                </c:pt>
                <c:pt idx="102">
                  <c:v>46149</c:v>
                </c:pt>
                <c:pt idx="103">
                  <c:v>46148</c:v>
                </c:pt>
                <c:pt idx="104">
                  <c:v>46147</c:v>
                </c:pt>
                <c:pt idx="105">
                  <c:v>46146</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46118</c:v>
                </c:pt>
                <c:pt idx="126">
                  <c:v>46114</c:v>
                </c:pt>
                <c:pt idx="127">
                  <c:v>46113</c:v>
                </c:pt>
                <c:pt idx="128">
                  <c:v>46112</c:v>
                </c:pt>
                <c:pt idx="129">
                  <c:v>46111</c:v>
                </c:pt>
                <c:pt idx="130">
                  <c:v>46108</c:v>
                </c:pt>
                <c:pt idx="131">
                  <c:v>46107</c:v>
                </c:pt>
                <c:pt idx="132">
                  <c:v>46106</c:v>
                </c:pt>
                <c:pt idx="133">
                  <c:v>46105</c:v>
                </c:pt>
                <c:pt idx="134">
                  <c:v>46104</c:v>
                </c:pt>
                <c:pt idx="135">
                  <c:v>46101</c:v>
                </c:pt>
                <c:pt idx="136">
                  <c:v>46100</c:v>
                </c:pt>
                <c:pt idx="137">
                  <c:v>46099</c:v>
                </c:pt>
                <c:pt idx="138">
                  <c:v>46098</c:v>
                </c:pt>
                <c:pt idx="139">
                  <c:v>46097</c:v>
                </c:pt>
                <c:pt idx="140">
                  <c:v>46094</c:v>
                </c:pt>
                <c:pt idx="141">
                  <c:v>46093</c:v>
                </c:pt>
                <c:pt idx="142">
                  <c:v>46092</c:v>
                </c:pt>
                <c:pt idx="143">
                  <c:v>46091</c:v>
                </c:pt>
                <c:pt idx="144">
                  <c:v>46090</c:v>
                </c:pt>
                <c:pt idx="145">
                  <c:v>46087</c:v>
                </c:pt>
                <c:pt idx="146">
                  <c:v>46086</c:v>
                </c:pt>
                <c:pt idx="147">
                  <c:v>46085</c:v>
                </c:pt>
                <c:pt idx="148">
                  <c:v>46084</c:v>
                </c:pt>
                <c:pt idx="149">
                  <c:v>46083</c:v>
                </c:pt>
                <c:pt idx="150">
                  <c:v>46080</c:v>
                </c:pt>
                <c:pt idx="151">
                  <c:v>46079</c:v>
                </c:pt>
                <c:pt idx="152">
                  <c:v>46078</c:v>
                </c:pt>
                <c:pt idx="153">
                  <c:v>46077</c:v>
                </c:pt>
                <c:pt idx="154">
                  <c:v>46076</c:v>
                </c:pt>
                <c:pt idx="155">
                  <c:v>46073</c:v>
                </c:pt>
                <c:pt idx="156">
                  <c:v>46072</c:v>
                </c:pt>
                <c:pt idx="157">
                  <c:v>46071</c:v>
                </c:pt>
                <c:pt idx="158">
                  <c:v>46070</c:v>
                </c:pt>
                <c:pt idx="159">
                  <c:v>46066</c:v>
                </c:pt>
                <c:pt idx="160">
                  <c:v>46065</c:v>
                </c:pt>
                <c:pt idx="161">
                  <c:v>46064</c:v>
                </c:pt>
                <c:pt idx="162">
                  <c:v>46063</c:v>
                </c:pt>
                <c:pt idx="163">
                  <c:v>46062</c:v>
                </c:pt>
                <c:pt idx="164">
                  <c:v>46059</c:v>
                </c:pt>
                <c:pt idx="165">
                  <c:v>46058</c:v>
                </c:pt>
                <c:pt idx="166">
                  <c:v>46057</c:v>
                </c:pt>
                <c:pt idx="167">
                  <c:v>46056</c:v>
                </c:pt>
                <c:pt idx="168">
                  <c:v>46055</c:v>
                </c:pt>
                <c:pt idx="169">
                  <c:v>46052</c:v>
                </c:pt>
                <c:pt idx="170">
                  <c:v>46051</c:v>
                </c:pt>
                <c:pt idx="171">
                  <c:v>46050</c:v>
                </c:pt>
                <c:pt idx="172">
                  <c:v>46049</c:v>
                </c:pt>
                <c:pt idx="173">
                  <c:v>46048</c:v>
                </c:pt>
                <c:pt idx="174">
                  <c:v>46045</c:v>
                </c:pt>
                <c:pt idx="175">
                  <c:v>46044</c:v>
                </c:pt>
                <c:pt idx="176">
                  <c:v>46043</c:v>
                </c:pt>
                <c:pt idx="177">
                  <c:v>46042</c:v>
                </c:pt>
                <c:pt idx="178">
                  <c:v>46038</c:v>
                </c:pt>
                <c:pt idx="179">
                  <c:v>46037</c:v>
                </c:pt>
                <c:pt idx="180">
                  <c:v>46036</c:v>
                </c:pt>
                <c:pt idx="181">
                  <c:v>46035</c:v>
                </c:pt>
                <c:pt idx="182">
                  <c:v>46034</c:v>
                </c:pt>
                <c:pt idx="183">
                  <c:v>46031</c:v>
                </c:pt>
                <c:pt idx="184">
                  <c:v>46030</c:v>
                </c:pt>
                <c:pt idx="185">
                  <c:v>46029</c:v>
                </c:pt>
                <c:pt idx="186">
                  <c:v>46028</c:v>
                </c:pt>
                <c:pt idx="187">
                  <c:v>46027</c:v>
                </c:pt>
                <c:pt idx="188">
                  <c:v>46024</c:v>
                </c:pt>
                <c:pt idx="189">
                  <c:v>46022</c:v>
                </c:pt>
                <c:pt idx="190">
                  <c:v>46021</c:v>
                </c:pt>
                <c:pt idx="191">
                  <c:v>46020</c:v>
                </c:pt>
                <c:pt idx="192">
                  <c:v>46017</c:v>
                </c:pt>
                <c:pt idx="193">
                  <c:v>46015</c:v>
                </c:pt>
                <c:pt idx="194">
                  <c:v>46014</c:v>
                </c:pt>
                <c:pt idx="195">
                  <c:v>46013</c:v>
                </c:pt>
                <c:pt idx="196">
                  <c:v>46010</c:v>
                </c:pt>
                <c:pt idx="197">
                  <c:v>46009</c:v>
                </c:pt>
                <c:pt idx="198">
                  <c:v>46008</c:v>
                </c:pt>
                <c:pt idx="199">
                  <c:v>46007</c:v>
                </c:pt>
                <c:pt idx="200">
                  <c:v>46006</c:v>
                </c:pt>
                <c:pt idx="201">
                  <c:v>46003</c:v>
                </c:pt>
                <c:pt idx="202">
                  <c:v>46002</c:v>
                </c:pt>
                <c:pt idx="203">
                  <c:v>46001</c:v>
                </c:pt>
                <c:pt idx="204">
                  <c:v>46000</c:v>
                </c:pt>
                <c:pt idx="205">
                  <c:v>45999</c:v>
                </c:pt>
                <c:pt idx="206">
                  <c:v>45996</c:v>
                </c:pt>
                <c:pt idx="207">
                  <c:v>45995</c:v>
                </c:pt>
                <c:pt idx="208">
                  <c:v>45994</c:v>
                </c:pt>
                <c:pt idx="209">
                  <c:v>45993</c:v>
                </c:pt>
                <c:pt idx="210">
                  <c:v>45992</c:v>
                </c:pt>
                <c:pt idx="211">
                  <c:v>45989</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45966</c:v>
                </c:pt>
                <c:pt idx="228">
                  <c:v>45965</c:v>
                </c:pt>
                <c:pt idx="229">
                  <c:v>45964</c:v>
                </c:pt>
                <c:pt idx="230">
                  <c:v>45961</c:v>
                </c:pt>
                <c:pt idx="231">
                  <c:v>45960</c:v>
                </c:pt>
                <c:pt idx="232">
                  <c:v>45959</c:v>
                </c:pt>
                <c:pt idx="233">
                  <c:v>45958</c:v>
                </c:pt>
                <c:pt idx="234">
                  <c:v>45957</c:v>
                </c:pt>
                <c:pt idx="235">
                  <c:v>45954</c:v>
                </c:pt>
                <c:pt idx="236">
                  <c:v>45953</c:v>
                </c:pt>
                <c:pt idx="237">
                  <c:v>45952</c:v>
                </c:pt>
                <c:pt idx="238">
                  <c:v>45951</c:v>
                </c:pt>
                <c:pt idx="239">
                  <c:v>45950</c:v>
                </c:pt>
                <c:pt idx="240">
                  <c:v>45947</c:v>
                </c:pt>
                <c:pt idx="241">
                  <c:v>45946</c:v>
                </c:pt>
                <c:pt idx="242">
                  <c:v>45945</c:v>
                </c:pt>
                <c:pt idx="243">
                  <c:v>45944</c:v>
                </c:pt>
                <c:pt idx="244">
                  <c:v>45943</c:v>
                </c:pt>
                <c:pt idx="245">
                  <c:v>45940</c:v>
                </c:pt>
                <c:pt idx="246">
                  <c:v>45939</c:v>
                </c:pt>
                <c:pt idx="247">
                  <c:v>45938</c:v>
                </c:pt>
                <c:pt idx="248">
                  <c:v>45937</c:v>
                </c:pt>
                <c:pt idx="249">
                  <c:v>45936</c:v>
                </c:pt>
                <c:pt idx="250">
                  <c:v>45933</c:v>
                </c:pt>
              </c:numCache>
            </c:numRef>
          </c:cat>
          <c:val>
            <c:numRef>
              <c:f>'Multiples Trade'!$AK$5:$AK$255</c:f>
              <c:numCache>
                <c:formatCode>0.0\x</c:formatCode>
                <c:ptCount val="25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8.0760290319416743</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5.6635335273155256</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3.3031598391473502</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3.7350263183705494</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numCache>
            </c:numRef>
          </c:val>
          <c:extLst>
            <c:ext xmlns:c16="http://schemas.microsoft.com/office/drawing/2014/chart" uri="{C3380CC4-5D6E-409C-BE32-E72D297353CC}">
              <c16:uniqueId val="{00000002-5457-4AA3-B908-A623D0057CF9}"/>
            </c:ext>
          </c:extLst>
        </c:ser>
        <c:ser>
          <c:idx val="3"/>
          <c:order val="3"/>
          <c:tx>
            <c:v>TTD earnings</c:v>
          </c:tx>
          <c:spPr>
            <a:solidFill>
              <a:srgbClr val="C00000"/>
            </a:solidFill>
            <a:ln w="25400">
              <a:noFill/>
            </a:ln>
            <a:effectLst/>
          </c:spPr>
          <c:invertIfNegative val="0"/>
          <c:cat>
            <c:numRef>
              <c:f>'Multiples Trade'!$S$5:$S$255</c:f>
              <c:numCache>
                <c:formatCode>m/d/yy</c:formatCode>
                <c:ptCount val="251"/>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pt idx="65">
                  <c:v>46204</c:v>
                </c:pt>
                <c:pt idx="66">
                  <c:v>46203</c:v>
                </c:pt>
                <c:pt idx="67">
                  <c:v>46202</c:v>
                </c:pt>
                <c:pt idx="68">
                  <c:v>46199</c:v>
                </c:pt>
                <c:pt idx="69">
                  <c:v>46198</c:v>
                </c:pt>
                <c:pt idx="70">
                  <c:v>46197</c:v>
                </c:pt>
                <c:pt idx="71">
                  <c:v>46196</c:v>
                </c:pt>
                <c:pt idx="72">
                  <c:v>46195</c:v>
                </c:pt>
                <c:pt idx="73">
                  <c:v>46191</c:v>
                </c:pt>
                <c:pt idx="74">
                  <c:v>46190</c:v>
                </c:pt>
                <c:pt idx="75">
                  <c:v>46189</c:v>
                </c:pt>
                <c:pt idx="76">
                  <c:v>46188</c:v>
                </c:pt>
                <c:pt idx="77">
                  <c:v>46185</c:v>
                </c:pt>
                <c:pt idx="78">
                  <c:v>46184</c:v>
                </c:pt>
                <c:pt idx="79">
                  <c:v>46183</c:v>
                </c:pt>
                <c:pt idx="80">
                  <c:v>46182</c:v>
                </c:pt>
                <c:pt idx="81">
                  <c:v>46181</c:v>
                </c:pt>
                <c:pt idx="82">
                  <c:v>46178</c:v>
                </c:pt>
                <c:pt idx="83">
                  <c:v>46177</c:v>
                </c:pt>
                <c:pt idx="84">
                  <c:v>46176</c:v>
                </c:pt>
                <c:pt idx="85">
                  <c:v>46175</c:v>
                </c:pt>
                <c:pt idx="86">
                  <c:v>46174</c:v>
                </c:pt>
                <c:pt idx="87">
                  <c:v>46171</c:v>
                </c:pt>
                <c:pt idx="88">
                  <c:v>46170</c:v>
                </c:pt>
                <c:pt idx="89">
                  <c:v>46169</c:v>
                </c:pt>
                <c:pt idx="90">
                  <c:v>46168</c:v>
                </c:pt>
                <c:pt idx="91">
                  <c:v>46164</c:v>
                </c:pt>
                <c:pt idx="92">
                  <c:v>46163</c:v>
                </c:pt>
                <c:pt idx="93">
                  <c:v>46162</c:v>
                </c:pt>
                <c:pt idx="94">
                  <c:v>46161</c:v>
                </c:pt>
                <c:pt idx="95">
                  <c:v>46160</c:v>
                </c:pt>
                <c:pt idx="96">
                  <c:v>46157</c:v>
                </c:pt>
                <c:pt idx="97">
                  <c:v>46156</c:v>
                </c:pt>
                <c:pt idx="98">
                  <c:v>46155</c:v>
                </c:pt>
                <c:pt idx="99">
                  <c:v>46154</c:v>
                </c:pt>
                <c:pt idx="100">
                  <c:v>46153</c:v>
                </c:pt>
                <c:pt idx="101">
                  <c:v>46150</c:v>
                </c:pt>
                <c:pt idx="102">
                  <c:v>46149</c:v>
                </c:pt>
                <c:pt idx="103">
                  <c:v>46148</c:v>
                </c:pt>
                <c:pt idx="104">
                  <c:v>46147</c:v>
                </c:pt>
                <c:pt idx="105">
                  <c:v>46146</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46118</c:v>
                </c:pt>
                <c:pt idx="126">
                  <c:v>46114</c:v>
                </c:pt>
                <c:pt idx="127">
                  <c:v>46113</c:v>
                </c:pt>
                <c:pt idx="128">
                  <c:v>46112</c:v>
                </c:pt>
                <c:pt idx="129">
                  <c:v>46111</c:v>
                </c:pt>
                <c:pt idx="130">
                  <c:v>46108</c:v>
                </c:pt>
                <c:pt idx="131">
                  <c:v>46107</c:v>
                </c:pt>
                <c:pt idx="132">
                  <c:v>46106</c:v>
                </c:pt>
                <c:pt idx="133">
                  <c:v>46105</c:v>
                </c:pt>
                <c:pt idx="134">
                  <c:v>46104</c:v>
                </c:pt>
                <c:pt idx="135">
                  <c:v>46101</c:v>
                </c:pt>
                <c:pt idx="136">
                  <c:v>46100</c:v>
                </c:pt>
                <c:pt idx="137">
                  <c:v>46099</c:v>
                </c:pt>
                <c:pt idx="138">
                  <c:v>46098</c:v>
                </c:pt>
                <c:pt idx="139">
                  <c:v>46097</c:v>
                </c:pt>
                <c:pt idx="140">
                  <c:v>46094</c:v>
                </c:pt>
                <c:pt idx="141">
                  <c:v>46093</c:v>
                </c:pt>
                <c:pt idx="142">
                  <c:v>46092</c:v>
                </c:pt>
                <c:pt idx="143">
                  <c:v>46091</c:v>
                </c:pt>
                <c:pt idx="144">
                  <c:v>46090</c:v>
                </c:pt>
                <c:pt idx="145">
                  <c:v>46087</c:v>
                </c:pt>
                <c:pt idx="146">
                  <c:v>46086</c:v>
                </c:pt>
                <c:pt idx="147">
                  <c:v>46085</c:v>
                </c:pt>
                <c:pt idx="148">
                  <c:v>46084</c:v>
                </c:pt>
                <c:pt idx="149">
                  <c:v>46083</c:v>
                </c:pt>
                <c:pt idx="150">
                  <c:v>46080</c:v>
                </c:pt>
                <c:pt idx="151">
                  <c:v>46079</c:v>
                </c:pt>
                <c:pt idx="152">
                  <c:v>46078</c:v>
                </c:pt>
                <c:pt idx="153">
                  <c:v>46077</c:v>
                </c:pt>
                <c:pt idx="154">
                  <c:v>46076</c:v>
                </c:pt>
                <c:pt idx="155">
                  <c:v>46073</c:v>
                </c:pt>
                <c:pt idx="156">
                  <c:v>46072</c:v>
                </c:pt>
                <c:pt idx="157">
                  <c:v>46071</c:v>
                </c:pt>
                <c:pt idx="158">
                  <c:v>46070</c:v>
                </c:pt>
                <c:pt idx="159">
                  <c:v>46066</c:v>
                </c:pt>
                <c:pt idx="160">
                  <c:v>46065</c:v>
                </c:pt>
                <c:pt idx="161">
                  <c:v>46064</c:v>
                </c:pt>
                <c:pt idx="162">
                  <c:v>46063</c:v>
                </c:pt>
                <c:pt idx="163">
                  <c:v>46062</c:v>
                </c:pt>
                <c:pt idx="164">
                  <c:v>46059</c:v>
                </c:pt>
                <c:pt idx="165">
                  <c:v>46058</c:v>
                </c:pt>
                <c:pt idx="166">
                  <c:v>46057</c:v>
                </c:pt>
                <c:pt idx="167">
                  <c:v>46056</c:v>
                </c:pt>
                <c:pt idx="168">
                  <c:v>46055</c:v>
                </c:pt>
                <c:pt idx="169">
                  <c:v>46052</c:v>
                </c:pt>
                <c:pt idx="170">
                  <c:v>46051</c:v>
                </c:pt>
                <c:pt idx="171">
                  <c:v>46050</c:v>
                </c:pt>
                <c:pt idx="172">
                  <c:v>46049</c:v>
                </c:pt>
                <c:pt idx="173">
                  <c:v>46048</c:v>
                </c:pt>
                <c:pt idx="174">
                  <c:v>46045</c:v>
                </c:pt>
                <c:pt idx="175">
                  <c:v>46044</c:v>
                </c:pt>
                <c:pt idx="176">
                  <c:v>46043</c:v>
                </c:pt>
                <c:pt idx="177">
                  <c:v>46042</c:v>
                </c:pt>
                <c:pt idx="178">
                  <c:v>46038</c:v>
                </c:pt>
                <c:pt idx="179">
                  <c:v>46037</c:v>
                </c:pt>
                <c:pt idx="180">
                  <c:v>46036</c:v>
                </c:pt>
                <c:pt idx="181">
                  <c:v>46035</c:v>
                </c:pt>
                <c:pt idx="182">
                  <c:v>46034</c:v>
                </c:pt>
                <c:pt idx="183">
                  <c:v>46031</c:v>
                </c:pt>
                <c:pt idx="184">
                  <c:v>46030</c:v>
                </c:pt>
                <c:pt idx="185">
                  <c:v>46029</c:v>
                </c:pt>
                <c:pt idx="186">
                  <c:v>46028</c:v>
                </c:pt>
                <c:pt idx="187">
                  <c:v>46027</c:v>
                </c:pt>
                <c:pt idx="188">
                  <c:v>46024</c:v>
                </c:pt>
                <c:pt idx="189">
                  <c:v>46022</c:v>
                </c:pt>
                <c:pt idx="190">
                  <c:v>46021</c:v>
                </c:pt>
                <c:pt idx="191">
                  <c:v>46020</c:v>
                </c:pt>
                <c:pt idx="192">
                  <c:v>46017</c:v>
                </c:pt>
                <c:pt idx="193">
                  <c:v>46015</c:v>
                </c:pt>
                <c:pt idx="194">
                  <c:v>46014</c:v>
                </c:pt>
                <c:pt idx="195">
                  <c:v>46013</c:v>
                </c:pt>
                <c:pt idx="196">
                  <c:v>46010</c:v>
                </c:pt>
                <c:pt idx="197">
                  <c:v>46009</c:v>
                </c:pt>
                <c:pt idx="198">
                  <c:v>46008</c:v>
                </c:pt>
                <c:pt idx="199">
                  <c:v>46007</c:v>
                </c:pt>
                <c:pt idx="200">
                  <c:v>46006</c:v>
                </c:pt>
                <c:pt idx="201">
                  <c:v>46003</c:v>
                </c:pt>
                <c:pt idx="202">
                  <c:v>46002</c:v>
                </c:pt>
                <c:pt idx="203">
                  <c:v>46001</c:v>
                </c:pt>
                <c:pt idx="204">
                  <c:v>46000</c:v>
                </c:pt>
                <c:pt idx="205">
                  <c:v>45999</c:v>
                </c:pt>
                <c:pt idx="206">
                  <c:v>45996</c:v>
                </c:pt>
                <c:pt idx="207">
                  <c:v>45995</c:v>
                </c:pt>
                <c:pt idx="208">
                  <c:v>45994</c:v>
                </c:pt>
                <c:pt idx="209">
                  <c:v>45993</c:v>
                </c:pt>
                <c:pt idx="210">
                  <c:v>45992</c:v>
                </c:pt>
                <c:pt idx="211">
                  <c:v>45989</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45966</c:v>
                </c:pt>
                <c:pt idx="228">
                  <c:v>45965</c:v>
                </c:pt>
                <c:pt idx="229">
                  <c:v>45964</c:v>
                </c:pt>
                <c:pt idx="230">
                  <c:v>45961</c:v>
                </c:pt>
                <c:pt idx="231">
                  <c:v>45960</c:v>
                </c:pt>
                <c:pt idx="232">
                  <c:v>45959</c:v>
                </c:pt>
                <c:pt idx="233">
                  <c:v>45958</c:v>
                </c:pt>
                <c:pt idx="234">
                  <c:v>45957</c:v>
                </c:pt>
                <c:pt idx="235">
                  <c:v>45954</c:v>
                </c:pt>
                <c:pt idx="236">
                  <c:v>45953</c:v>
                </c:pt>
                <c:pt idx="237">
                  <c:v>45952</c:v>
                </c:pt>
                <c:pt idx="238">
                  <c:v>45951</c:v>
                </c:pt>
                <c:pt idx="239">
                  <c:v>45950</c:v>
                </c:pt>
                <c:pt idx="240">
                  <c:v>45947</c:v>
                </c:pt>
                <c:pt idx="241">
                  <c:v>45946</c:v>
                </c:pt>
                <c:pt idx="242">
                  <c:v>45945</c:v>
                </c:pt>
                <c:pt idx="243">
                  <c:v>45944</c:v>
                </c:pt>
                <c:pt idx="244">
                  <c:v>45943</c:v>
                </c:pt>
                <c:pt idx="245">
                  <c:v>45940</c:v>
                </c:pt>
                <c:pt idx="246">
                  <c:v>45939</c:v>
                </c:pt>
                <c:pt idx="247">
                  <c:v>45938</c:v>
                </c:pt>
                <c:pt idx="248">
                  <c:v>45937</c:v>
                </c:pt>
                <c:pt idx="249">
                  <c:v>45936</c:v>
                </c:pt>
                <c:pt idx="250">
                  <c:v>45933</c:v>
                </c:pt>
              </c:numCache>
            </c:numRef>
          </c:cat>
          <c:val>
            <c:numRef>
              <c:f>'Multiples Trade'!$AL$5:$AL$255</c:f>
              <c:numCache>
                <c:formatCode>0.0\x</c:formatCode>
                <c:ptCount val="25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11.715518829308227</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16.408682971756036</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17.755346909537458</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34.479784076954566</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numCache>
            </c:numRef>
          </c:val>
          <c:extLst>
            <c:ext xmlns:c16="http://schemas.microsoft.com/office/drawing/2014/chart" uri="{C3380CC4-5D6E-409C-BE32-E72D297353CC}">
              <c16:uniqueId val="{00000003-5457-4AA3-B908-A623D0057CF9}"/>
            </c:ext>
          </c:extLst>
        </c:ser>
        <c:dLbls>
          <c:showLegendKey val="0"/>
          <c:showVal val="0"/>
          <c:showCatName val="0"/>
          <c:showSerName val="0"/>
          <c:showPercent val="0"/>
          <c:showBubbleSize val="0"/>
        </c:dLbls>
        <c:gapWidth val="500"/>
        <c:axId val="1650760911"/>
        <c:axId val="1650775791"/>
      </c:barChart>
      <c:lineChart>
        <c:grouping val="standard"/>
        <c:varyColors val="0"/>
        <c:ser>
          <c:idx val="0"/>
          <c:order val="0"/>
          <c:tx>
            <c:v>PUBM</c:v>
          </c:tx>
          <c:spPr>
            <a:ln w="22225" cap="rnd">
              <a:solidFill>
                <a:srgbClr val="1F3864"/>
              </a:solidFill>
              <a:prstDash val="solid"/>
              <a:round/>
            </a:ln>
            <a:effectLst/>
          </c:spPr>
          <c:marker>
            <c:symbol val="none"/>
          </c:marker>
          <c:cat>
            <c:numRef>
              <c:f>'Multiples Trade'!$S$5:$S$255</c:f>
              <c:numCache>
                <c:formatCode>m/d/yy</c:formatCode>
                <c:ptCount val="251"/>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pt idx="65">
                  <c:v>46204</c:v>
                </c:pt>
                <c:pt idx="66">
                  <c:v>46203</c:v>
                </c:pt>
                <c:pt idx="67">
                  <c:v>46202</c:v>
                </c:pt>
                <c:pt idx="68">
                  <c:v>46199</c:v>
                </c:pt>
                <c:pt idx="69">
                  <c:v>46198</c:v>
                </c:pt>
                <c:pt idx="70">
                  <c:v>46197</c:v>
                </c:pt>
                <c:pt idx="71">
                  <c:v>46196</c:v>
                </c:pt>
                <c:pt idx="72">
                  <c:v>46195</c:v>
                </c:pt>
                <c:pt idx="73">
                  <c:v>46191</c:v>
                </c:pt>
                <c:pt idx="74">
                  <c:v>46190</c:v>
                </c:pt>
                <c:pt idx="75">
                  <c:v>46189</c:v>
                </c:pt>
                <c:pt idx="76">
                  <c:v>46188</c:v>
                </c:pt>
                <c:pt idx="77">
                  <c:v>46185</c:v>
                </c:pt>
                <c:pt idx="78">
                  <c:v>46184</c:v>
                </c:pt>
                <c:pt idx="79">
                  <c:v>46183</c:v>
                </c:pt>
                <c:pt idx="80">
                  <c:v>46182</c:v>
                </c:pt>
                <c:pt idx="81">
                  <c:v>46181</c:v>
                </c:pt>
                <c:pt idx="82">
                  <c:v>46178</c:v>
                </c:pt>
                <c:pt idx="83">
                  <c:v>46177</c:v>
                </c:pt>
                <c:pt idx="84">
                  <c:v>46176</c:v>
                </c:pt>
                <c:pt idx="85">
                  <c:v>46175</c:v>
                </c:pt>
                <c:pt idx="86">
                  <c:v>46174</c:v>
                </c:pt>
                <c:pt idx="87">
                  <c:v>46171</c:v>
                </c:pt>
                <c:pt idx="88">
                  <c:v>46170</c:v>
                </c:pt>
                <c:pt idx="89">
                  <c:v>46169</c:v>
                </c:pt>
                <c:pt idx="90">
                  <c:v>46168</c:v>
                </c:pt>
                <c:pt idx="91">
                  <c:v>46164</c:v>
                </c:pt>
                <c:pt idx="92">
                  <c:v>46163</c:v>
                </c:pt>
                <c:pt idx="93">
                  <c:v>46162</c:v>
                </c:pt>
                <c:pt idx="94">
                  <c:v>46161</c:v>
                </c:pt>
                <c:pt idx="95">
                  <c:v>46160</c:v>
                </c:pt>
                <c:pt idx="96">
                  <c:v>46157</c:v>
                </c:pt>
                <c:pt idx="97">
                  <c:v>46156</c:v>
                </c:pt>
                <c:pt idx="98">
                  <c:v>46155</c:v>
                </c:pt>
                <c:pt idx="99">
                  <c:v>46154</c:v>
                </c:pt>
                <c:pt idx="100">
                  <c:v>46153</c:v>
                </c:pt>
                <c:pt idx="101">
                  <c:v>46150</c:v>
                </c:pt>
                <c:pt idx="102">
                  <c:v>46149</c:v>
                </c:pt>
                <c:pt idx="103">
                  <c:v>46148</c:v>
                </c:pt>
                <c:pt idx="104">
                  <c:v>46147</c:v>
                </c:pt>
                <c:pt idx="105">
                  <c:v>46146</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46118</c:v>
                </c:pt>
                <c:pt idx="126">
                  <c:v>46114</c:v>
                </c:pt>
                <c:pt idx="127">
                  <c:v>46113</c:v>
                </c:pt>
                <c:pt idx="128">
                  <c:v>46112</c:v>
                </c:pt>
                <c:pt idx="129">
                  <c:v>46111</c:v>
                </c:pt>
                <c:pt idx="130">
                  <c:v>46108</c:v>
                </c:pt>
                <c:pt idx="131">
                  <c:v>46107</c:v>
                </c:pt>
                <c:pt idx="132">
                  <c:v>46106</c:v>
                </c:pt>
                <c:pt idx="133">
                  <c:v>46105</c:v>
                </c:pt>
                <c:pt idx="134">
                  <c:v>46104</c:v>
                </c:pt>
                <c:pt idx="135">
                  <c:v>46101</c:v>
                </c:pt>
                <c:pt idx="136">
                  <c:v>46100</c:v>
                </c:pt>
                <c:pt idx="137">
                  <c:v>46099</c:v>
                </c:pt>
                <c:pt idx="138">
                  <c:v>46098</c:v>
                </c:pt>
                <c:pt idx="139">
                  <c:v>46097</c:v>
                </c:pt>
                <c:pt idx="140">
                  <c:v>46094</c:v>
                </c:pt>
                <c:pt idx="141">
                  <c:v>46093</c:v>
                </c:pt>
                <c:pt idx="142">
                  <c:v>46092</c:v>
                </c:pt>
                <c:pt idx="143">
                  <c:v>46091</c:v>
                </c:pt>
                <c:pt idx="144">
                  <c:v>46090</c:v>
                </c:pt>
                <c:pt idx="145">
                  <c:v>46087</c:v>
                </c:pt>
                <c:pt idx="146">
                  <c:v>46086</c:v>
                </c:pt>
                <c:pt idx="147">
                  <c:v>46085</c:v>
                </c:pt>
                <c:pt idx="148">
                  <c:v>46084</c:v>
                </c:pt>
                <c:pt idx="149">
                  <c:v>46083</c:v>
                </c:pt>
                <c:pt idx="150">
                  <c:v>46080</c:v>
                </c:pt>
                <c:pt idx="151">
                  <c:v>46079</c:v>
                </c:pt>
                <c:pt idx="152">
                  <c:v>46078</c:v>
                </c:pt>
                <c:pt idx="153">
                  <c:v>46077</c:v>
                </c:pt>
                <c:pt idx="154">
                  <c:v>46076</c:v>
                </c:pt>
                <c:pt idx="155">
                  <c:v>46073</c:v>
                </c:pt>
                <c:pt idx="156">
                  <c:v>46072</c:v>
                </c:pt>
                <c:pt idx="157">
                  <c:v>46071</c:v>
                </c:pt>
                <c:pt idx="158">
                  <c:v>46070</c:v>
                </c:pt>
                <c:pt idx="159">
                  <c:v>46066</c:v>
                </c:pt>
                <c:pt idx="160">
                  <c:v>46065</c:v>
                </c:pt>
                <c:pt idx="161">
                  <c:v>46064</c:v>
                </c:pt>
                <c:pt idx="162">
                  <c:v>46063</c:v>
                </c:pt>
                <c:pt idx="163">
                  <c:v>46062</c:v>
                </c:pt>
                <c:pt idx="164">
                  <c:v>46059</c:v>
                </c:pt>
                <c:pt idx="165">
                  <c:v>46058</c:v>
                </c:pt>
                <c:pt idx="166">
                  <c:v>46057</c:v>
                </c:pt>
                <c:pt idx="167">
                  <c:v>46056</c:v>
                </c:pt>
                <c:pt idx="168">
                  <c:v>46055</c:v>
                </c:pt>
                <c:pt idx="169">
                  <c:v>46052</c:v>
                </c:pt>
                <c:pt idx="170">
                  <c:v>46051</c:v>
                </c:pt>
                <c:pt idx="171">
                  <c:v>46050</c:v>
                </c:pt>
                <c:pt idx="172">
                  <c:v>46049</c:v>
                </c:pt>
                <c:pt idx="173">
                  <c:v>46048</c:v>
                </c:pt>
                <c:pt idx="174">
                  <c:v>46045</c:v>
                </c:pt>
                <c:pt idx="175">
                  <c:v>46044</c:v>
                </c:pt>
                <c:pt idx="176">
                  <c:v>46043</c:v>
                </c:pt>
                <c:pt idx="177">
                  <c:v>46042</c:v>
                </c:pt>
                <c:pt idx="178">
                  <c:v>46038</c:v>
                </c:pt>
                <c:pt idx="179">
                  <c:v>46037</c:v>
                </c:pt>
                <c:pt idx="180">
                  <c:v>46036</c:v>
                </c:pt>
                <c:pt idx="181">
                  <c:v>46035</c:v>
                </c:pt>
                <c:pt idx="182">
                  <c:v>46034</c:v>
                </c:pt>
                <c:pt idx="183">
                  <c:v>46031</c:v>
                </c:pt>
                <c:pt idx="184">
                  <c:v>46030</c:v>
                </c:pt>
                <c:pt idx="185">
                  <c:v>46029</c:v>
                </c:pt>
                <c:pt idx="186">
                  <c:v>46028</c:v>
                </c:pt>
                <c:pt idx="187">
                  <c:v>46027</c:v>
                </c:pt>
                <c:pt idx="188">
                  <c:v>46024</c:v>
                </c:pt>
                <c:pt idx="189">
                  <c:v>46022</c:v>
                </c:pt>
                <c:pt idx="190">
                  <c:v>46021</c:v>
                </c:pt>
                <c:pt idx="191">
                  <c:v>46020</c:v>
                </c:pt>
                <c:pt idx="192">
                  <c:v>46017</c:v>
                </c:pt>
                <c:pt idx="193">
                  <c:v>46015</c:v>
                </c:pt>
                <c:pt idx="194">
                  <c:v>46014</c:v>
                </c:pt>
                <c:pt idx="195">
                  <c:v>46013</c:v>
                </c:pt>
                <c:pt idx="196">
                  <c:v>46010</c:v>
                </c:pt>
                <c:pt idx="197">
                  <c:v>46009</c:v>
                </c:pt>
                <c:pt idx="198">
                  <c:v>46008</c:v>
                </c:pt>
                <c:pt idx="199">
                  <c:v>46007</c:v>
                </c:pt>
                <c:pt idx="200">
                  <c:v>46006</c:v>
                </c:pt>
                <c:pt idx="201">
                  <c:v>46003</c:v>
                </c:pt>
                <c:pt idx="202">
                  <c:v>46002</c:v>
                </c:pt>
                <c:pt idx="203">
                  <c:v>46001</c:v>
                </c:pt>
                <c:pt idx="204">
                  <c:v>46000</c:v>
                </c:pt>
                <c:pt idx="205">
                  <c:v>45999</c:v>
                </c:pt>
                <c:pt idx="206">
                  <c:v>45996</c:v>
                </c:pt>
                <c:pt idx="207">
                  <c:v>45995</c:v>
                </c:pt>
                <c:pt idx="208">
                  <c:v>45994</c:v>
                </c:pt>
                <c:pt idx="209">
                  <c:v>45993</c:v>
                </c:pt>
                <c:pt idx="210">
                  <c:v>45992</c:v>
                </c:pt>
                <c:pt idx="211">
                  <c:v>45989</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45966</c:v>
                </c:pt>
                <c:pt idx="228">
                  <c:v>45965</c:v>
                </c:pt>
                <c:pt idx="229">
                  <c:v>45964</c:v>
                </c:pt>
                <c:pt idx="230">
                  <c:v>45961</c:v>
                </c:pt>
                <c:pt idx="231">
                  <c:v>45960</c:v>
                </c:pt>
                <c:pt idx="232">
                  <c:v>45959</c:v>
                </c:pt>
                <c:pt idx="233">
                  <c:v>45958</c:v>
                </c:pt>
                <c:pt idx="234">
                  <c:v>45957</c:v>
                </c:pt>
                <c:pt idx="235">
                  <c:v>45954</c:v>
                </c:pt>
                <c:pt idx="236">
                  <c:v>45953</c:v>
                </c:pt>
                <c:pt idx="237">
                  <c:v>45952</c:v>
                </c:pt>
                <c:pt idx="238">
                  <c:v>45951</c:v>
                </c:pt>
                <c:pt idx="239">
                  <c:v>45950</c:v>
                </c:pt>
                <c:pt idx="240">
                  <c:v>45947</c:v>
                </c:pt>
                <c:pt idx="241">
                  <c:v>45946</c:v>
                </c:pt>
                <c:pt idx="242">
                  <c:v>45945</c:v>
                </c:pt>
                <c:pt idx="243">
                  <c:v>45944</c:v>
                </c:pt>
                <c:pt idx="244">
                  <c:v>45943</c:v>
                </c:pt>
                <c:pt idx="245">
                  <c:v>45940</c:v>
                </c:pt>
                <c:pt idx="246">
                  <c:v>45939</c:v>
                </c:pt>
                <c:pt idx="247">
                  <c:v>45938</c:v>
                </c:pt>
                <c:pt idx="248">
                  <c:v>45937</c:v>
                </c:pt>
                <c:pt idx="249">
                  <c:v>45936</c:v>
                </c:pt>
                <c:pt idx="250">
                  <c:v>45933</c:v>
                </c:pt>
              </c:numCache>
            </c:numRef>
          </c:cat>
          <c:val>
            <c:numRef>
              <c:f>'Multiples Trade'!$AB$5:$AB$255</c:f>
              <c:numCache>
                <c:formatCode>0.0\x;\(0.0\x\)</c:formatCode>
                <c:ptCount val="251"/>
                <c:pt idx="0">
                  <c:v>11.754340079118581</c:v>
                </c:pt>
                <c:pt idx="1">
                  <c:v>12.320234086376564</c:v>
                </c:pt>
                <c:pt idx="2">
                  <c:v>11.9851652662896</c:v>
                </c:pt>
                <c:pt idx="3">
                  <c:v>12.037287082747573</c:v>
                </c:pt>
                <c:pt idx="4">
                  <c:v>11.746894105338868</c:v>
                </c:pt>
                <c:pt idx="5">
                  <c:v>11.888367607153366</c:v>
                </c:pt>
                <c:pt idx="6">
                  <c:v>11.851137738254813</c:v>
                </c:pt>
                <c:pt idx="7">
                  <c:v>11.035803609376531</c:v>
                </c:pt>
                <c:pt idx="8">
                  <c:v>11.270351783437405</c:v>
                </c:pt>
                <c:pt idx="9">
                  <c:v>11.35225749501422</c:v>
                </c:pt>
                <c:pt idx="10">
                  <c:v>11.10654036028378</c:v>
                </c:pt>
                <c:pt idx="11">
                  <c:v>10.942728937130152</c:v>
                </c:pt>
                <c:pt idx="12">
                  <c:v>10.585322195704057</c:v>
                </c:pt>
                <c:pt idx="13">
                  <c:v>10.533200379246084</c:v>
                </c:pt>
                <c:pt idx="14">
                  <c:v>10.391726877431589</c:v>
                </c:pt>
                <c:pt idx="15">
                  <c:v>10.317267139634483</c:v>
                </c:pt>
                <c:pt idx="16">
                  <c:v>10.123671821362016</c:v>
                </c:pt>
                <c:pt idx="17">
                  <c:v>10.086441952463463</c:v>
                </c:pt>
                <c:pt idx="18">
                  <c:v>10.168347664040276</c:v>
                </c:pt>
                <c:pt idx="19">
                  <c:v>10.324713113414195</c:v>
                </c:pt>
                <c:pt idx="20">
                  <c:v>10.667227907280871</c:v>
                </c:pt>
                <c:pt idx="21">
                  <c:v>10.979958806028703</c:v>
                </c:pt>
                <c:pt idx="22">
                  <c:v>10.153455716480858</c:v>
                </c:pt>
                <c:pt idx="23">
                  <c:v>10.421510772550429</c:v>
                </c:pt>
                <c:pt idx="24">
                  <c:v>10.562984274364926</c:v>
                </c:pt>
                <c:pt idx="25">
                  <c:v>10.213023506718542</c:v>
                </c:pt>
                <c:pt idx="26">
                  <c:v>10.138563768921438</c:v>
                </c:pt>
                <c:pt idx="27">
                  <c:v>10.361942982312748</c:v>
                </c:pt>
                <c:pt idx="28">
                  <c:v>10.220469480498251</c:v>
                </c:pt>
                <c:pt idx="29">
                  <c:v>10.257699349396802</c:v>
                </c:pt>
                <c:pt idx="30">
                  <c:v>10.242807401837382</c:v>
                </c:pt>
                <c:pt idx="31">
                  <c:v>10.533200379246084</c:v>
                </c:pt>
                <c:pt idx="32">
                  <c:v>10.965066858469282</c:v>
                </c:pt>
                <c:pt idx="33">
                  <c:v>10.898053094451889</c:v>
                </c:pt>
                <c:pt idx="34">
                  <c:v>11.13632425540262</c:v>
                </c:pt>
                <c:pt idx="35">
                  <c:v>10.905499068231602</c:v>
                </c:pt>
                <c:pt idx="36">
                  <c:v>10.831039330434498</c:v>
                </c:pt>
                <c:pt idx="37">
                  <c:v>11.181000098080883</c:v>
                </c:pt>
                <c:pt idx="38">
                  <c:v>11.262905809657699</c:v>
                </c:pt>
                <c:pt idx="39">
                  <c:v>11.277797757217119</c:v>
                </c:pt>
                <c:pt idx="40">
                  <c:v>8.0760290319416743</c:v>
                </c:pt>
                <c:pt idx="41">
                  <c:v>8.0983669532808058</c:v>
                </c:pt>
                <c:pt idx="42">
                  <c:v>8.1951646124170399</c:v>
                </c:pt>
                <c:pt idx="43">
                  <c:v>7.6888383953967372</c:v>
                </c:pt>
                <c:pt idx="44">
                  <c:v>7.4207833393271647</c:v>
                </c:pt>
                <c:pt idx="45">
                  <c:v>7.5250269722431096</c:v>
                </c:pt>
                <c:pt idx="46">
                  <c:v>7.7930820283126803</c:v>
                </c:pt>
                <c:pt idx="47">
                  <c:v>7.7409602118547092</c:v>
                </c:pt>
                <c:pt idx="48">
                  <c:v>7.56225684114166</c:v>
                </c:pt>
                <c:pt idx="49">
                  <c:v>7.3612155490894828</c:v>
                </c:pt>
                <c:pt idx="50">
                  <c:v>7.1974041259358552</c:v>
                </c:pt>
                <c:pt idx="51">
                  <c:v>7.4580132082257169</c:v>
                </c:pt>
                <c:pt idx="52">
                  <c:v>7.6590545002778958</c:v>
                </c:pt>
                <c:pt idx="53">
                  <c:v>7.7856360545329713</c:v>
                </c:pt>
                <c:pt idx="54">
                  <c:v>7.5175809984633997</c:v>
                </c:pt>
                <c:pt idx="55">
                  <c:v>8.18771863863733</c:v>
                </c:pt>
                <c:pt idx="56">
                  <c:v>8.3143001928924054</c:v>
                </c:pt>
                <c:pt idx="57">
                  <c:v>8.2323944813155894</c:v>
                </c:pt>
                <c:pt idx="58">
                  <c:v>8.1430427959590652</c:v>
                </c:pt>
                <c:pt idx="59">
                  <c:v>8.1281508483996472</c:v>
                </c:pt>
                <c:pt idx="60">
                  <c:v>8.1355968221793571</c:v>
                </c:pt>
                <c:pt idx="61">
                  <c:v>7.8377578709909441</c:v>
                </c:pt>
                <c:pt idx="62">
                  <c:v>7.9568934514663088</c:v>
                </c:pt>
                <c:pt idx="63">
                  <c:v>8.1058129270605139</c:v>
                </c:pt>
                <c:pt idx="64">
                  <c:v>8.1281508483996472</c:v>
                </c:pt>
                <c:pt idx="65">
                  <c:v>8.3366381142315369</c:v>
                </c:pt>
                <c:pt idx="66">
                  <c:v>7.807973975872101</c:v>
                </c:pt>
                <c:pt idx="67">
                  <c:v>7.7707441069735506</c:v>
                </c:pt>
                <c:pt idx="68">
                  <c:v>7.4580132082257169</c:v>
                </c:pt>
                <c:pt idx="69">
                  <c:v>6.6091721973387374</c:v>
                </c:pt>
                <c:pt idx="70">
                  <c:v>6.914457122306862</c:v>
                </c:pt>
                <c:pt idx="71">
                  <c:v>6.6091721973387374</c:v>
                </c:pt>
                <c:pt idx="72">
                  <c:v>6.4528067479648223</c:v>
                </c:pt>
                <c:pt idx="73">
                  <c:v>6.4528067479648223</c:v>
                </c:pt>
                <c:pt idx="74">
                  <c:v>6.4528067479648223</c:v>
                </c:pt>
                <c:pt idx="75">
                  <c:v>6.6612940137967094</c:v>
                </c:pt>
                <c:pt idx="76">
                  <c:v>6.579388302219896</c:v>
                </c:pt>
                <c:pt idx="77">
                  <c:v>6.4900366168633727</c:v>
                </c:pt>
                <c:pt idx="78">
                  <c:v>6.43046882662569</c:v>
                </c:pt>
                <c:pt idx="79">
                  <c:v>6.3634550626082964</c:v>
                </c:pt>
                <c:pt idx="80">
                  <c:v>6.6091721973387374</c:v>
                </c:pt>
                <c:pt idx="81">
                  <c:v>6.4081309052865594</c:v>
                </c:pt>
                <c:pt idx="82">
                  <c:v>6.631510118677868</c:v>
                </c:pt>
                <c:pt idx="83">
                  <c:v>6.8846732271880207</c:v>
                </c:pt>
                <c:pt idx="84">
                  <c:v>6.5123745382025051</c:v>
                </c:pt>
                <c:pt idx="85">
                  <c:v>7.0038088076633844</c:v>
                </c:pt>
                <c:pt idx="86">
                  <c:v>7.1378363356981724</c:v>
                </c:pt>
                <c:pt idx="87">
                  <c:v>6.7357537515938146</c:v>
                </c:pt>
                <c:pt idx="88">
                  <c:v>6.5570503808807663</c:v>
                </c:pt>
                <c:pt idx="89">
                  <c:v>6.2666574034720632</c:v>
                </c:pt>
                <c:pt idx="90">
                  <c:v>5.8869127407068351</c:v>
                </c:pt>
                <c:pt idx="91">
                  <c:v>5.7528852126720489</c:v>
                </c:pt>
                <c:pt idx="92">
                  <c:v>5.641195605976395</c:v>
                </c:pt>
                <c:pt idx="93">
                  <c:v>5.395478471245954</c:v>
                </c:pt>
                <c:pt idx="94">
                  <c:v>5.5295059992807403</c:v>
                </c:pt>
                <c:pt idx="95">
                  <c:v>5.4178163925850846</c:v>
                </c:pt>
                <c:pt idx="96">
                  <c:v>5.2763428907705885</c:v>
                </c:pt>
                <c:pt idx="97">
                  <c:v>5.1274234151763816</c:v>
                </c:pt>
                <c:pt idx="98">
                  <c:v>5.0976395200575402</c:v>
                </c:pt>
                <c:pt idx="99">
                  <c:v>5.3210187334488497</c:v>
                </c:pt>
                <c:pt idx="100">
                  <c:v>5.395478471245954</c:v>
                </c:pt>
                <c:pt idx="101">
                  <c:v>6.0358322163010429</c:v>
                </c:pt>
                <c:pt idx="102">
                  <c:v>5.6635335273155256</c:v>
                </c:pt>
                <c:pt idx="103">
                  <c:v>5.589073789518423</c:v>
                </c:pt>
                <c:pt idx="104">
                  <c:v>5.7826691077908903</c:v>
                </c:pt>
                <c:pt idx="105">
                  <c:v>5.6709795010952364</c:v>
                </c:pt>
                <c:pt idx="106">
                  <c:v>5.6560875535358157</c:v>
                </c:pt>
                <c:pt idx="107">
                  <c:v>5.3210187334488497</c:v>
                </c:pt>
                <c:pt idx="108">
                  <c:v>5.2763428907705885</c:v>
                </c:pt>
                <c:pt idx="109">
                  <c:v>5.3210187334488497</c:v>
                </c:pt>
                <c:pt idx="110">
                  <c:v>5.2837888645502993</c:v>
                </c:pt>
                <c:pt idx="111">
                  <c:v>5.2018831529734841</c:v>
                </c:pt>
                <c:pt idx="112">
                  <c:v>4.85936835910681</c:v>
                </c:pt>
                <c:pt idx="113">
                  <c:v>5.1274234151763816</c:v>
                </c:pt>
                <c:pt idx="114">
                  <c:v>5.0901935462778303</c:v>
                </c:pt>
                <c:pt idx="115">
                  <c:v>5.4029244450256648</c:v>
                </c:pt>
                <c:pt idx="116">
                  <c:v>5.3433566547879821</c:v>
                </c:pt>
                <c:pt idx="117">
                  <c:v>5.3284647072285605</c:v>
                </c:pt>
                <c:pt idx="118">
                  <c:v>5.254004969431457</c:v>
                </c:pt>
                <c:pt idx="119">
                  <c:v>4.5838673292575267</c:v>
                </c:pt>
                <c:pt idx="120">
                  <c:v>4.4796236963415828</c:v>
                </c:pt>
                <c:pt idx="121">
                  <c:v>4.3455961683067974</c:v>
                </c:pt>
                <c:pt idx="122">
                  <c:v>4.3307042207473758</c:v>
                </c:pt>
                <c:pt idx="123">
                  <c:v>4.3009203256285353</c:v>
                </c:pt>
                <c:pt idx="124">
                  <c:v>4.3604881158662181</c:v>
                </c:pt>
                <c:pt idx="125">
                  <c:v>4.3679340896459271</c:v>
                </c:pt>
                <c:pt idx="126">
                  <c:v>4.1966766927125896</c:v>
                </c:pt>
                <c:pt idx="127">
                  <c:v>4.1520008500343284</c:v>
                </c:pt>
                <c:pt idx="128">
                  <c:v>4.1296629286951969</c:v>
                </c:pt>
                <c:pt idx="129">
                  <c:v>4.0849870860169339</c:v>
                </c:pt>
                <c:pt idx="130">
                  <c:v>4.1371089024749068</c:v>
                </c:pt>
                <c:pt idx="131">
                  <c:v>4.2264605878314319</c:v>
                </c:pt>
                <c:pt idx="132">
                  <c:v>4.077541112237224</c:v>
                </c:pt>
                <c:pt idx="133">
                  <c:v>3.9956354006604111</c:v>
                </c:pt>
                <c:pt idx="134">
                  <c:v>4.0477572171183835</c:v>
                </c:pt>
                <c:pt idx="135">
                  <c:v>3.9844664399908458</c:v>
                </c:pt>
                <c:pt idx="136">
                  <c:v>4.0477572171183835</c:v>
                </c:pt>
                <c:pt idx="137">
                  <c:v>4.077541112237224</c:v>
                </c:pt>
                <c:pt idx="138">
                  <c:v>4.1222169549154861</c:v>
                </c:pt>
                <c:pt idx="139">
                  <c:v>4.1371089024749068</c:v>
                </c:pt>
                <c:pt idx="140">
                  <c:v>4.0179733219995413</c:v>
                </c:pt>
                <c:pt idx="141">
                  <c:v>4.077541112237224</c:v>
                </c:pt>
                <c:pt idx="142">
                  <c:v>4.3083662994082443</c:v>
                </c:pt>
                <c:pt idx="143">
                  <c:v>4.3679340896459271</c:v>
                </c:pt>
                <c:pt idx="144">
                  <c:v>4.5913133030372393</c:v>
                </c:pt>
                <c:pt idx="145">
                  <c:v>4.6732190146140509</c:v>
                </c:pt>
                <c:pt idx="146">
                  <c:v>4.6434351194952095</c:v>
                </c:pt>
                <c:pt idx="147">
                  <c:v>4.5391914865792655</c:v>
                </c:pt>
                <c:pt idx="148">
                  <c:v>4.2115686402720094</c:v>
                </c:pt>
                <c:pt idx="149">
                  <c:v>4.1296629286951969</c:v>
                </c:pt>
                <c:pt idx="150">
                  <c:v>4.070095138457515</c:v>
                </c:pt>
                <c:pt idx="151">
                  <c:v>3.3031598391473502</c:v>
                </c:pt>
                <c:pt idx="152">
                  <c:v>2.9383071239415437</c:v>
                </c:pt>
                <c:pt idx="153">
                  <c:v>2.8042795959067579</c:v>
                </c:pt>
                <c:pt idx="154">
                  <c:v>2.7298198581096544</c:v>
                </c:pt>
                <c:pt idx="155">
                  <c:v>2.9308611501618334</c:v>
                </c:pt>
                <c:pt idx="156">
                  <c:v>2.9234151763821221</c:v>
                </c:pt>
                <c:pt idx="157">
                  <c:v>2.9383071239415437</c:v>
                </c:pt>
                <c:pt idx="158">
                  <c:v>2.7223738843299441</c:v>
                </c:pt>
                <c:pt idx="159">
                  <c:v>2.9085232288227023</c:v>
                </c:pt>
                <c:pt idx="160">
                  <c:v>2.8042795959067579</c:v>
                </c:pt>
                <c:pt idx="161">
                  <c:v>2.9383071239415437</c:v>
                </c:pt>
                <c:pt idx="162">
                  <c:v>3.0202128355183575</c:v>
                </c:pt>
                <c:pt idx="163">
                  <c:v>2.9308611501618334</c:v>
                </c:pt>
                <c:pt idx="164">
                  <c:v>2.8712933599241506</c:v>
                </c:pt>
                <c:pt idx="165">
                  <c:v>2.7149279105502337</c:v>
                </c:pt>
                <c:pt idx="166">
                  <c:v>2.9457530977212532</c:v>
                </c:pt>
                <c:pt idx="167">
                  <c:v>3.0202128355183575</c:v>
                </c:pt>
                <c:pt idx="168">
                  <c:v>3.3999574982835847</c:v>
                </c:pt>
                <c:pt idx="169">
                  <c:v>3.4446333409618464</c:v>
                </c:pt>
                <c:pt idx="170">
                  <c:v>3.5861068427763421</c:v>
                </c:pt>
                <c:pt idx="171">
                  <c:v>3.608444764115474</c:v>
                </c:pt>
                <c:pt idx="172">
                  <c:v>3.7201343708111287</c:v>
                </c:pt>
                <c:pt idx="173">
                  <c:v>3.7722561872691012</c:v>
                </c:pt>
                <c:pt idx="174">
                  <c:v>3.7945941086082322</c:v>
                </c:pt>
                <c:pt idx="175">
                  <c:v>3.8392699512864943</c:v>
                </c:pt>
                <c:pt idx="176">
                  <c:v>3.5935528165560533</c:v>
                </c:pt>
                <c:pt idx="177">
                  <c:v>3.6493976199038807</c:v>
                </c:pt>
                <c:pt idx="178">
                  <c:v>3.7052424232517081</c:v>
                </c:pt>
                <c:pt idx="179">
                  <c:v>3.8764998201850451</c:v>
                </c:pt>
                <c:pt idx="180">
                  <c:v>3.9360676104227288</c:v>
                </c:pt>
                <c:pt idx="181">
                  <c:v>4.2487985091705616</c:v>
                </c:pt>
                <c:pt idx="182">
                  <c:v>4.4275018798836099</c:v>
                </c:pt>
                <c:pt idx="183">
                  <c:v>4.271136430509693</c:v>
                </c:pt>
                <c:pt idx="184">
                  <c:v>4.4126099323241901</c:v>
                </c:pt>
                <c:pt idx="185">
                  <c:v>4.4945156439010034</c:v>
                </c:pt>
                <c:pt idx="186">
                  <c:v>4.613651224376369</c:v>
                </c:pt>
                <c:pt idx="187">
                  <c:v>4.561529407918397</c:v>
                </c:pt>
                <c:pt idx="188">
                  <c:v>4.4349478536633207</c:v>
                </c:pt>
                <c:pt idx="189">
                  <c:v>4.6434351194952095</c:v>
                </c:pt>
                <c:pt idx="190">
                  <c:v>4.710448883512603</c:v>
                </c:pt>
                <c:pt idx="191">
                  <c:v>4.710448883512603</c:v>
                </c:pt>
                <c:pt idx="192">
                  <c:v>4.7253408310720237</c:v>
                </c:pt>
                <c:pt idx="193">
                  <c:v>4.7476787524111543</c:v>
                </c:pt>
                <c:pt idx="194">
                  <c:v>4.6881109621734716</c:v>
                </c:pt>
                <c:pt idx="195">
                  <c:v>4.710448883512603</c:v>
                </c:pt>
                <c:pt idx="196">
                  <c:v>4.613651224376369</c:v>
                </c:pt>
                <c:pt idx="197">
                  <c:v>4.7551247261908642</c:v>
                </c:pt>
                <c:pt idx="198">
                  <c:v>4.6806649883937617</c:v>
                </c:pt>
                <c:pt idx="199">
                  <c:v>4.7253408310720237</c:v>
                </c:pt>
                <c:pt idx="200">
                  <c:v>4.4945156439010034</c:v>
                </c:pt>
                <c:pt idx="201">
                  <c:v>4.7774626475299966</c:v>
                </c:pt>
                <c:pt idx="202">
                  <c:v>4.9859499133618854</c:v>
                </c:pt>
                <c:pt idx="203">
                  <c:v>4.8705373197763757</c:v>
                </c:pt>
                <c:pt idx="204">
                  <c:v>4.8444764115473893</c:v>
                </c:pt>
                <c:pt idx="205">
                  <c:v>4.6359891457154987</c:v>
                </c:pt>
                <c:pt idx="206">
                  <c:v>4.8742603066662298</c:v>
                </c:pt>
                <c:pt idx="207">
                  <c:v>4.814692516428547</c:v>
                </c:pt>
                <c:pt idx="208">
                  <c:v>4.7476787524111543</c:v>
                </c:pt>
                <c:pt idx="209">
                  <c:v>4.7849086213097065</c:v>
                </c:pt>
                <c:pt idx="210">
                  <c:v>4.762570699970575</c:v>
                </c:pt>
                <c:pt idx="211">
                  <c:v>4.7476787524111543</c:v>
                </c:pt>
                <c:pt idx="212">
                  <c:v>4.814692516428547</c:v>
                </c:pt>
                <c:pt idx="213">
                  <c:v>4.7253408310720237</c:v>
                </c:pt>
                <c:pt idx="214">
                  <c:v>4.4870696701212927</c:v>
                </c:pt>
                <c:pt idx="215">
                  <c:v>4.6062052505966591</c:v>
                </c:pt>
                <c:pt idx="216">
                  <c:v>4.4275018798836099</c:v>
                </c:pt>
                <c:pt idx="217">
                  <c:v>4.8519223853270992</c:v>
                </c:pt>
                <c:pt idx="218">
                  <c:v>4.9673349789126089</c:v>
                </c:pt>
                <c:pt idx="219">
                  <c:v>4.8817062804459415</c:v>
                </c:pt>
                <c:pt idx="220">
                  <c:v>5.060409651158988</c:v>
                </c:pt>
                <c:pt idx="221">
                  <c:v>4.8705373197763757</c:v>
                </c:pt>
                <c:pt idx="222">
                  <c:v>5.1609302971850779</c:v>
                </c:pt>
                <c:pt idx="223">
                  <c:v>6.2070896132343805</c:v>
                </c:pt>
                <c:pt idx="224">
                  <c:v>3.7350263183705494</c:v>
                </c:pt>
                <c:pt idx="225">
                  <c:v>3.5488769738777912</c:v>
                </c:pt>
                <c:pt idx="226">
                  <c:v>3.5339850263183705</c:v>
                </c:pt>
                <c:pt idx="227">
                  <c:v>4.0403112433386736</c:v>
                </c:pt>
                <c:pt idx="228">
                  <c:v>3.8988377415241771</c:v>
                </c:pt>
                <c:pt idx="229">
                  <c:v>4.2227376009415751</c:v>
                </c:pt>
                <c:pt idx="230">
                  <c:v>4.2636904567299823</c:v>
                </c:pt>
                <c:pt idx="231">
                  <c:v>4.1668927975937491</c:v>
                </c:pt>
                <c:pt idx="232">
                  <c:v>4.3381501945270866</c:v>
                </c:pt>
                <c:pt idx="233">
                  <c:v>4.6210971981560798</c:v>
                </c:pt>
                <c:pt idx="234">
                  <c:v>4.5764213554778177</c:v>
                </c:pt>
                <c:pt idx="235">
                  <c:v>4.5540834341386862</c:v>
                </c:pt>
                <c:pt idx="236">
                  <c:v>4.4349478536633207</c:v>
                </c:pt>
                <c:pt idx="237">
                  <c:v>4.3083662994082443</c:v>
                </c:pt>
                <c:pt idx="238">
                  <c:v>4.3455961683067974</c:v>
                </c:pt>
                <c:pt idx="239">
                  <c:v>4.2339065616111418</c:v>
                </c:pt>
                <c:pt idx="240">
                  <c:v>3.9584055317618598</c:v>
                </c:pt>
                <c:pt idx="241">
                  <c:v>4.0254192957792521</c:v>
                </c:pt>
                <c:pt idx="242">
                  <c:v>4.174338771373459</c:v>
                </c:pt>
                <c:pt idx="243">
                  <c:v>4.174338771373459</c:v>
                </c:pt>
                <c:pt idx="244">
                  <c:v>4.1445548762546167</c:v>
                </c:pt>
                <c:pt idx="245">
                  <c:v>3.9881894268807008</c:v>
                </c:pt>
                <c:pt idx="246">
                  <c:v>4.2413525353908526</c:v>
                </c:pt>
                <c:pt idx="247">
                  <c:v>4.6583270670546311</c:v>
                </c:pt>
                <c:pt idx="248">
                  <c:v>4.1966766927125896</c:v>
                </c:pt>
                <c:pt idx="249">
                  <c:v>4.3455961683067974</c:v>
                </c:pt>
                <c:pt idx="250">
                  <c:v>4.323258246967665</c:v>
                </c:pt>
              </c:numCache>
            </c:numRef>
          </c:val>
          <c:smooth val="0"/>
          <c:extLst>
            <c:ext xmlns:c16="http://schemas.microsoft.com/office/drawing/2014/chart" uri="{C3380CC4-5D6E-409C-BE32-E72D297353CC}">
              <c16:uniqueId val="{00000000-5457-4AA3-B908-A623D0057CF9}"/>
            </c:ext>
          </c:extLst>
        </c:ser>
        <c:ser>
          <c:idx val="1"/>
          <c:order val="1"/>
          <c:tx>
            <c:v>TTD</c:v>
          </c:tx>
          <c:spPr>
            <a:ln w="22225" cap="rnd">
              <a:solidFill>
                <a:srgbClr val="C00000"/>
              </a:solidFill>
              <a:prstDash val="solid"/>
              <a:round/>
            </a:ln>
            <a:effectLst/>
          </c:spPr>
          <c:marker>
            <c:symbol val="none"/>
          </c:marker>
          <c:cat>
            <c:numRef>
              <c:f>'Multiples Trade'!$S$5:$S$255</c:f>
              <c:numCache>
                <c:formatCode>m/d/yy</c:formatCode>
                <c:ptCount val="251"/>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pt idx="65">
                  <c:v>46204</c:v>
                </c:pt>
                <c:pt idx="66">
                  <c:v>46203</c:v>
                </c:pt>
                <c:pt idx="67">
                  <c:v>46202</c:v>
                </c:pt>
                <c:pt idx="68">
                  <c:v>46199</c:v>
                </c:pt>
                <c:pt idx="69">
                  <c:v>46198</c:v>
                </c:pt>
                <c:pt idx="70">
                  <c:v>46197</c:v>
                </c:pt>
                <c:pt idx="71">
                  <c:v>46196</c:v>
                </c:pt>
                <c:pt idx="72">
                  <c:v>46195</c:v>
                </c:pt>
                <c:pt idx="73">
                  <c:v>46191</c:v>
                </c:pt>
                <c:pt idx="74">
                  <c:v>46190</c:v>
                </c:pt>
                <c:pt idx="75">
                  <c:v>46189</c:v>
                </c:pt>
                <c:pt idx="76">
                  <c:v>46188</c:v>
                </c:pt>
                <c:pt idx="77">
                  <c:v>46185</c:v>
                </c:pt>
                <c:pt idx="78">
                  <c:v>46184</c:v>
                </c:pt>
                <c:pt idx="79">
                  <c:v>46183</c:v>
                </c:pt>
                <c:pt idx="80">
                  <c:v>46182</c:v>
                </c:pt>
                <c:pt idx="81">
                  <c:v>46181</c:v>
                </c:pt>
                <c:pt idx="82">
                  <c:v>46178</c:v>
                </c:pt>
                <c:pt idx="83">
                  <c:v>46177</c:v>
                </c:pt>
                <c:pt idx="84">
                  <c:v>46176</c:v>
                </c:pt>
                <c:pt idx="85">
                  <c:v>46175</c:v>
                </c:pt>
                <c:pt idx="86">
                  <c:v>46174</c:v>
                </c:pt>
                <c:pt idx="87">
                  <c:v>46171</c:v>
                </c:pt>
                <c:pt idx="88">
                  <c:v>46170</c:v>
                </c:pt>
                <c:pt idx="89">
                  <c:v>46169</c:v>
                </c:pt>
                <c:pt idx="90">
                  <c:v>46168</c:v>
                </c:pt>
                <c:pt idx="91">
                  <c:v>46164</c:v>
                </c:pt>
                <c:pt idx="92">
                  <c:v>46163</c:v>
                </c:pt>
                <c:pt idx="93">
                  <c:v>46162</c:v>
                </c:pt>
                <c:pt idx="94">
                  <c:v>46161</c:v>
                </c:pt>
                <c:pt idx="95">
                  <c:v>46160</c:v>
                </c:pt>
                <c:pt idx="96">
                  <c:v>46157</c:v>
                </c:pt>
                <c:pt idx="97">
                  <c:v>46156</c:v>
                </c:pt>
                <c:pt idx="98">
                  <c:v>46155</c:v>
                </c:pt>
                <c:pt idx="99">
                  <c:v>46154</c:v>
                </c:pt>
                <c:pt idx="100">
                  <c:v>46153</c:v>
                </c:pt>
                <c:pt idx="101">
                  <c:v>46150</c:v>
                </c:pt>
                <c:pt idx="102">
                  <c:v>46149</c:v>
                </c:pt>
                <c:pt idx="103">
                  <c:v>46148</c:v>
                </c:pt>
                <c:pt idx="104">
                  <c:v>46147</c:v>
                </c:pt>
                <c:pt idx="105">
                  <c:v>46146</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46118</c:v>
                </c:pt>
                <c:pt idx="126">
                  <c:v>46114</c:v>
                </c:pt>
                <c:pt idx="127">
                  <c:v>46113</c:v>
                </c:pt>
                <c:pt idx="128">
                  <c:v>46112</c:v>
                </c:pt>
                <c:pt idx="129">
                  <c:v>46111</c:v>
                </c:pt>
                <c:pt idx="130">
                  <c:v>46108</c:v>
                </c:pt>
                <c:pt idx="131">
                  <c:v>46107</c:v>
                </c:pt>
                <c:pt idx="132">
                  <c:v>46106</c:v>
                </c:pt>
                <c:pt idx="133">
                  <c:v>46105</c:v>
                </c:pt>
                <c:pt idx="134">
                  <c:v>46104</c:v>
                </c:pt>
                <c:pt idx="135">
                  <c:v>46101</c:v>
                </c:pt>
                <c:pt idx="136">
                  <c:v>46100</c:v>
                </c:pt>
                <c:pt idx="137">
                  <c:v>46099</c:v>
                </c:pt>
                <c:pt idx="138">
                  <c:v>46098</c:v>
                </c:pt>
                <c:pt idx="139">
                  <c:v>46097</c:v>
                </c:pt>
                <c:pt idx="140">
                  <c:v>46094</c:v>
                </c:pt>
                <c:pt idx="141">
                  <c:v>46093</c:v>
                </c:pt>
                <c:pt idx="142">
                  <c:v>46092</c:v>
                </c:pt>
                <c:pt idx="143">
                  <c:v>46091</c:v>
                </c:pt>
                <c:pt idx="144">
                  <c:v>46090</c:v>
                </c:pt>
                <c:pt idx="145">
                  <c:v>46087</c:v>
                </c:pt>
                <c:pt idx="146">
                  <c:v>46086</c:v>
                </c:pt>
                <c:pt idx="147">
                  <c:v>46085</c:v>
                </c:pt>
                <c:pt idx="148">
                  <c:v>46084</c:v>
                </c:pt>
                <c:pt idx="149">
                  <c:v>46083</c:v>
                </c:pt>
                <c:pt idx="150">
                  <c:v>46080</c:v>
                </c:pt>
                <c:pt idx="151">
                  <c:v>46079</c:v>
                </c:pt>
                <c:pt idx="152">
                  <c:v>46078</c:v>
                </c:pt>
                <c:pt idx="153">
                  <c:v>46077</c:v>
                </c:pt>
                <c:pt idx="154">
                  <c:v>46076</c:v>
                </c:pt>
                <c:pt idx="155">
                  <c:v>46073</c:v>
                </c:pt>
                <c:pt idx="156">
                  <c:v>46072</c:v>
                </c:pt>
                <c:pt idx="157">
                  <c:v>46071</c:v>
                </c:pt>
                <c:pt idx="158">
                  <c:v>46070</c:v>
                </c:pt>
                <c:pt idx="159">
                  <c:v>46066</c:v>
                </c:pt>
                <c:pt idx="160">
                  <c:v>46065</c:v>
                </c:pt>
                <c:pt idx="161">
                  <c:v>46064</c:v>
                </c:pt>
                <c:pt idx="162">
                  <c:v>46063</c:v>
                </c:pt>
                <c:pt idx="163">
                  <c:v>46062</c:v>
                </c:pt>
                <c:pt idx="164">
                  <c:v>46059</c:v>
                </c:pt>
                <c:pt idx="165">
                  <c:v>46058</c:v>
                </c:pt>
                <c:pt idx="166">
                  <c:v>46057</c:v>
                </c:pt>
                <c:pt idx="167">
                  <c:v>46056</c:v>
                </c:pt>
                <c:pt idx="168">
                  <c:v>46055</c:v>
                </c:pt>
                <c:pt idx="169">
                  <c:v>46052</c:v>
                </c:pt>
                <c:pt idx="170">
                  <c:v>46051</c:v>
                </c:pt>
                <c:pt idx="171">
                  <c:v>46050</c:v>
                </c:pt>
                <c:pt idx="172">
                  <c:v>46049</c:v>
                </c:pt>
                <c:pt idx="173">
                  <c:v>46048</c:v>
                </c:pt>
                <c:pt idx="174">
                  <c:v>46045</c:v>
                </c:pt>
                <c:pt idx="175">
                  <c:v>46044</c:v>
                </c:pt>
                <c:pt idx="176">
                  <c:v>46043</c:v>
                </c:pt>
                <c:pt idx="177">
                  <c:v>46042</c:v>
                </c:pt>
                <c:pt idx="178">
                  <c:v>46038</c:v>
                </c:pt>
                <c:pt idx="179">
                  <c:v>46037</c:v>
                </c:pt>
                <c:pt idx="180">
                  <c:v>46036</c:v>
                </c:pt>
                <c:pt idx="181">
                  <c:v>46035</c:v>
                </c:pt>
                <c:pt idx="182">
                  <c:v>46034</c:v>
                </c:pt>
                <c:pt idx="183">
                  <c:v>46031</c:v>
                </c:pt>
                <c:pt idx="184">
                  <c:v>46030</c:v>
                </c:pt>
                <c:pt idx="185">
                  <c:v>46029</c:v>
                </c:pt>
                <c:pt idx="186">
                  <c:v>46028</c:v>
                </c:pt>
                <c:pt idx="187">
                  <c:v>46027</c:v>
                </c:pt>
                <c:pt idx="188">
                  <c:v>46024</c:v>
                </c:pt>
                <c:pt idx="189">
                  <c:v>46022</c:v>
                </c:pt>
                <c:pt idx="190">
                  <c:v>46021</c:v>
                </c:pt>
                <c:pt idx="191">
                  <c:v>46020</c:v>
                </c:pt>
                <c:pt idx="192">
                  <c:v>46017</c:v>
                </c:pt>
                <c:pt idx="193">
                  <c:v>46015</c:v>
                </c:pt>
                <c:pt idx="194">
                  <c:v>46014</c:v>
                </c:pt>
                <c:pt idx="195">
                  <c:v>46013</c:v>
                </c:pt>
                <c:pt idx="196">
                  <c:v>46010</c:v>
                </c:pt>
                <c:pt idx="197">
                  <c:v>46009</c:v>
                </c:pt>
                <c:pt idx="198">
                  <c:v>46008</c:v>
                </c:pt>
                <c:pt idx="199">
                  <c:v>46007</c:v>
                </c:pt>
                <c:pt idx="200">
                  <c:v>46006</c:v>
                </c:pt>
                <c:pt idx="201">
                  <c:v>46003</c:v>
                </c:pt>
                <c:pt idx="202">
                  <c:v>46002</c:v>
                </c:pt>
                <c:pt idx="203">
                  <c:v>46001</c:v>
                </c:pt>
                <c:pt idx="204">
                  <c:v>46000</c:v>
                </c:pt>
                <c:pt idx="205">
                  <c:v>45999</c:v>
                </c:pt>
                <c:pt idx="206">
                  <c:v>45996</c:v>
                </c:pt>
                <c:pt idx="207">
                  <c:v>45995</c:v>
                </c:pt>
                <c:pt idx="208">
                  <c:v>45994</c:v>
                </c:pt>
                <c:pt idx="209">
                  <c:v>45993</c:v>
                </c:pt>
                <c:pt idx="210">
                  <c:v>45992</c:v>
                </c:pt>
                <c:pt idx="211">
                  <c:v>45989</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45966</c:v>
                </c:pt>
                <c:pt idx="228">
                  <c:v>45965</c:v>
                </c:pt>
                <c:pt idx="229">
                  <c:v>45964</c:v>
                </c:pt>
                <c:pt idx="230">
                  <c:v>45961</c:v>
                </c:pt>
                <c:pt idx="231">
                  <c:v>45960</c:v>
                </c:pt>
                <c:pt idx="232">
                  <c:v>45959</c:v>
                </c:pt>
                <c:pt idx="233">
                  <c:v>45958</c:v>
                </c:pt>
                <c:pt idx="234">
                  <c:v>45957</c:v>
                </c:pt>
                <c:pt idx="235">
                  <c:v>45954</c:v>
                </c:pt>
                <c:pt idx="236">
                  <c:v>45953</c:v>
                </c:pt>
                <c:pt idx="237">
                  <c:v>45952</c:v>
                </c:pt>
                <c:pt idx="238">
                  <c:v>45951</c:v>
                </c:pt>
                <c:pt idx="239">
                  <c:v>45950</c:v>
                </c:pt>
                <c:pt idx="240">
                  <c:v>45947</c:v>
                </c:pt>
                <c:pt idx="241">
                  <c:v>45946</c:v>
                </c:pt>
                <c:pt idx="242">
                  <c:v>45945</c:v>
                </c:pt>
                <c:pt idx="243">
                  <c:v>45944</c:v>
                </c:pt>
                <c:pt idx="244">
                  <c:v>45943</c:v>
                </c:pt>
                <c:pt idx="245">
                  <c:v>45940</c:v>
                </c:pt>
                <c:pt idx="246">
                  <c:v>45939</c:v>
                </c:pt>
                <c:pt idx="247">
                  <c:v>45938</c:v>
                </c:pt>
                <c:pt idx="248">
                  <c:v>45937</c:v>
                </c:pt>
                <c:pt idx="249">
                  <c:v>45936</c:v>
                </c:pt>
                <c:pt idx="250">
                  <c:v>45933</c:v>
                </c:pt>
              </c:numCache>
            </c:numRef>
          </c:cat>
          <c:val>
            <c:numRef>
              <c:f>'Multiples Trade'!$AC$5:$AC$255</c:f>
              <c:numCache>
                <c:formatCode>0.0\x;\(0.0\x\)</c:formatCode>
                <c:ptCount val="251"/>
                <c:pt idx="0">
                  <c:v>7.1029932460090057</c:v>
                </c:pt>
                <c:pt idx="1">
                  <c:v>7.2239510847318869</c:v>
                </c:pt>
                <c:pt idx="2">
                  <c:v>7.2803980761358984</c:v>
                </c:pt>
                <c:pt idx="3">
                  <c:v>7.1836318051575949</c:v>
                </c:pt>
                <c:pt idx="4">
                  <c:v>7.4174836266884974</c:v>
                </c:pt>
                <c:pt idx="5">
                  <c:v>7.6271438804748257</c:v>
                </c:pt>
                <c:pt idx="6">
                  <c:v>7.6513354482194043</c:v>
                </c:pt>
                <c:pt idx="7">
                  <c:v>7.6916547277936962</c:v>
                </c:pt>
                <c:pt idx="8">
                  <c:v>8.0948475235366359</c:v>
                </c:pt>
                <c:pt idx="9">
                  <c:v>8.6593174375767514</c:v>
                </c:pt>
                <c:pt idx="10">
                  <c:v>8.6915728612361853</c:v>
                </c:pt>
                <c:pt idx="11">
                  <c:v>8.9657439623413833</c:v>
                </c:pt>
                <c:pt idx="12">
                  <c:v>9.1512126483831349</c:v>
                </c:pt>
                <c:pt idx="13">
                  <c:v>9.5624693000409327</c:v>
                </c:pt>
                <c:pt idx="14">
                  <c:v>9.5382777322963577</c:v>
                </c:pt>
                <c:pt idx="15">
                  <c:v>9.0302548096602546</c:v>
                </c:pt>
                <c:pt idx="16">
                  <c:v>8.7318921408104799</c:v>
                </c:pt>
                <c:pt idx="17">
                  <c:v>8.6593174375767514</c:v>
                </c:pt>
                <c:pt idx="18">
                  <c:v>8.7722114203847728</c:v>
                </c:pt>
                <c:pt idx="19">
                  <c:v>9.1028295128939831</c:v>
                </c:pt>
                <c:pt idx="20">
                  <c:v>9.6350440032746629</c:v>
                </c:pt>
                <c:pt idx="21">
                  <c:v>9.1995957838722902</c:v>
                </c:pt>
                <c:pt idx="22">
                  <c:v>8.5786788784281622</c:v>
                </c:pt>
                <c:pt idx="23">
                  <c:v>8.5302957429390105</c:v>
                </c:pt>
                <c:pt idx="24">
                  <c:v>8.4093379042161285</c:v>
                </c:pt>
                <c:pt idx="25">
                  <c:v>8.2883800654932482</c:v>
                </c:pt>
                <c:pt idx="26">
                  <c:v>7.9738896848137539</c:v>
                </c:pt>
                <c:pt idx="27">
                  <c:v>8.1512945149406466</c:v>
                </c:pt>
                <c:pt idx="28">
                  <c:v>8.1674222267703644</c:v>
                </c:pt>
                <c:pt idx="29">
                  <c:v>8.0948475235366359</c:v>
                </c:pt>
                <c:pt idx="30">
                  <c:v>8.207741506344659</c:v>
                </c:pt>
                <c:pt idx="31">
                  <c:v>8.3851463364715517</c:v>
                </c:pt>
                <c:pt idx="32">
                  <c:v>8.2883800654932482</c:v>
                </c:pt>
                <c:pt idx="33">
                  <c:v>8.2722523536635286</c:v>
                </c:pt>
                <c:pt idx="34">
                  <c:v>8.8689776913630798</c:v>
                </c:pt>
                <c:pt idx="35">
                  <c:v>9.2076596397871491</c:v>
                </c:pt>
                <c:pt idx="36">
                  <c:v>8.3448270568972571</c:v>
                </c:pt>
                <c:pt idx="37">
                  <c:v>8.4012740483012713</c:v>
                </c:pt>
                <c:pt idx="38">
                  <c:v>8.2641884977486697</c:v>
                </c:pt>
                <c:pt idx="39">
                  <c:v>8.5948065902578801</c:v>
                </c:pt>
                <c:pt idx="40">
                  <c:v>11.715518829308227</c:v>
                </c:pt>
                <c:pt idx="41">
                  <c:v>12.75575624232501</c:v>
                </c:pt>
                <c:pt idx="42">
                  <c:v>13.062182767089643</c:v>
                </c:pt>
                <c:pt idx="43">
                  <c:v>12.22354175194433</c:v>
                </c:pt>
                <c:pt idx="44">
                  <c:v>12.013881498158003</c:v>
                </c:pt>
                <c:pt idx="45">
                  <c:v>12.207414040114616</c:v>
                </c:pt>
                <c:pt idx="46">
                  <c:v>12.860586369218174</c:v>
                </c:pt>
                <c:pt idx="47">
                  <c:v>12.715436962750719</c:v>
                </c:pt>
                <c:pt idx="48">
                  <c:v>11.884859803520259</c:v>
                </c:pt>
                <c:pt idx="49">
                  <c:v>11.409092304543593</c:v>
                </c:pt>
                <c:pt idx="50">
                  <c:v>11.005899508800654</c:v>
                </c:pt>
                <c:pt idx="51">
                  <c:v>11.642944126074497</c:v>
                </c:pt>
                <c:pt idx="52">
                  <c:v>12.183222472370037</c:v>
                </c:pt>
                <c:pt idx="53">
                  <c:v>12.49771285304953</c:v>
                </c:pt>
                <c:pt idx="54">
                  <c:v>12.457393573475235</c:v>
                </c:pt>
                <c:pt idx="55">
                  <c:v>12.884777936962754</c:v>
                </c:pt>
                <c:pt idx="56">
                  <c:v>13.08637433483422</c:v>
                </c:pt>
                <c:pt idx="57">
                  <c:v>12.739628530495292</c:v>
                </c:pt>
                <c:pt idx="58">
                  <c:v>13.425056283258289</c:v>
                </c:pt>
                <c:pt idx="59">
                  <c:v>13.215396029471965</c:v>
                </c:pt>
                <c:pt idx="60">
                  <c:v>13.392800859598857</c:v>
                </c:pt>
                <c:pt idx="61">
                  <c:v>12.844458657388456</c:v>
                </c:pt>
                <c:pt idx="62">
                  <c:v>12.933161072451904</c:v>
                </c:pt>
                <c:pt idx="63">
                  <c:v>13.037991199345068</c:v>
                </c:pt>
                <c:pt idx="64">
                  <c:v>12.868650225133036</c:v>
                </c:pt>
                <c:pt idx="65">
                  <c:v>12.908969504707324</c:v>
                </c:pt>
                <c:pt idx="66">
                  <c:v>12.046136921817437</c:v>
                </c:pt>
                <c:pt idx="67">
                  <c:v>12.505776708964389</c:v>
                </c:pt>
                <c:pt idx="68">
                  <c:v>12.279988743348346</c:v>
                </c:pt>
                <c:pt idx="69">
                  <c:v>11.441347728203029</c:v>
                </c:pt>
                <c:pt idx="70">
                  <c:v>11.739710397052802</c:v>
                </c:pt>
                <c:pt idx="71">
                  <c:v>11.925179083094555</c:v>
                </c:pt>
                <c:pt idx="72">
                  <c:v>11.997753786328285</c:v>
                </c:pt>
                <c:pt idx="73">
                  <c:v>12.392882726156365</c:v>
                </c:pt>
                <c:pt idx="74">
                  <c:v>12.110647769136309</c:v>
                </c:pt>
                <c:pt idx="75">
                  <c:v>12.75575624232501</c:v>
                </c:pt>
                <c:pt idx="76">
                  <c:v>13.005735775685633</c:v>
                </c:pt>
                <c:pt idx="77">
                  <c:v>13.013799631600492</c:v>
                </c:pt>
                <c:pt idx="78">
                  <c:v>12.707373106835858</c:v>
                </c:pt>
                <c:pt idx="79">
                  <c:v>13.02186348751535</c:v>
                </c:pt>
                <c:pt idx="80">
                  <c:v>13.505694842406877</c:v>
                </c:pt>
                <c:pt idx="81">
                  <c:v>13.134757470323374</c:v>
                </c:pt>
                <c:pt idx="82">
                  <c:v>13.55407797789603</c:v>
                </c:pt>
                <c:pt idx="83">
                  <c:v>14.424974416700778</c:v>
                </c:pt>
                <c:pt idx="84">
                  <c:v>14.045973188702416</c:v>
                </c:pt>
                <c:pt idx="85">
                  <c:v>14.481421408104792</c:v>
                </c:pt>
                <c:pt idx="86">
                  <c:v>16.190958862054849</c:v>
                </c:pt>
                <c:pt idx="87">
                  <c:v>14.852358780188293</c:v>
                </c:pt>
                <c:pt idx="88">
                  <c:v>14.521740687679083</c:v>
                </c:pt>
                <c:pt idx="89">
                  <c:v>15.441020261972984</c:v>
                </c:pt>
                <c:pt idx="90">
                  <c:v>15.352317846909537</c:v>
                </c:pt>
                <c:pt idx="91">
                  <c:v>15.513594965206712</c:v>
                </c:pt>
                <c:pt idx="92">
                  <c:v>14.626570814572251</c:v>
                </c:pt>
                <c:pt idx="93">
                  <c:v>14.416910560785919</c:v>
                </c:pt>
                <c:pt idx="94">
                  <c:v>14.529804543593942</c:v>
                </c:pt>
                <c:pt idx="95">
                  <c:v>15.424892550143266</c:v>
                </c:pt>
                <c:pt idx="96">
                  <c:v>14.521740687679083</c:v>
                </c:pt>
                <c:pt idx="97">
                  <c:v>13.925015349979533</c:v>
                </c:pt>
                <c:pt idx="98">
                  <c:v>13.989526197298401</c:v>
                </c:pt>
                <c:pt idx="99">
                  <c:v>14.513676831764224</c:v>
                </c:pt>
                <c:pt idx="100">
                  <c:v>14.820103356528858</c:v>
                </c:pt>
                <c:pt idx="101">
                  <c:v>16.078064879246828</c:v>
                </c:pt>
                <c:pt idx="102">
                  <c:v>16.408682971756036</c:v>
                </c:pt>
                <c:pt idx="103">
                  <c:v>16.828003479328697</c:v>
                </c:pt>
                <c:pt idx="104">
                  <c:v>17.311834834220221</c:v>
                </c:pt>
                <c:pt idx="105">
                  <c:v>16.900578182562427</c:v>
                </c:pt>
                <c:pt idx="106">
                  <c:v>17.013472165370445</c:v>
                </c:pt>
                <c:pt idx="107">
                  <c:v>16.489321530904625</c:v>
                </c:pt>
                <c:pt idx="108">
                  <c:v>17.118302292263611</c:v>
                </c:pt>
                <c:pt idx="109">
                  <c:v>16.199022717969708</c:v>
                </c:pt>
                <c:pt idx="110">
                  <c:v>16.126448014735981</c:v>
                </c:pt>
                <c:pt idx="111">
                  <c:v>16.795748055669261</c:v>
                </c:pt>
                <c:pt idx="112">
                  <c:v>15.707127507163325</c:v>
                </c:pt>
                <c:pt idx="113">
                  <c:v>16.465129963160049</c:v>
                </c:pt>
                <c:pt idx="114">
                  <c:v>16.174831150225135</c:v>
                </c:pt>
                <c:pt idx="115">
                  <c:v>16.860258902988129</c:v>
                </c:pt>
                <c:pt idx="116">
                  <c:v>15.586169668440439</c:v>
                </c:pt>
                <c:pt idx="117">
                  <c:v>15.820021489971349</c:v>
                </c:pt>
                <c:pt idx="118">
                  <c:v>15.513594965206712</c:v>
                </c:pt>
                <c:pt idx="119">
                  <c:v>14.416910560785919</c:v>
                </c:pt>
                <c:pt idx="120">
                  <c:v>14.578187679083092</c:v>
                </c:pt>
                <c:pt idx="121">
                  <c:v>13.666971960704052</c:v>
                </c:pt>
                <c:pt idx="122">
                  <c:v>14.086292468276708</c:v>
                </c:pt>
                <c:pt idx="123">
                  <c:v>13.795993655341793</c:v>
                </c:pt>
                <c:pt idx="124">
                  <c:v>14.158867171510439</c:v>
                </c:pt>
                <c:pt idx="125">
                  <c:v>15.376509414654114</c:v>
                </c:pt>
                <c:pt idx="126">
                  <c:v>15.247487720016373</c:v>
                </c:pt>
                <c:pt idx="127">
                  <c:v>15.191040728612363</c:v>
                </c:pt>
                <c:pt idx="128">
                  <c:v>15.763574498567335</c:v>
                </c:pt>
                <c:pt idx="129">
                  <c:v>15.215232296356941</c:v>
                </c:pt>
                <c:pt idx="130">
                  <c:v>14.626570814572251</c:v>
                </c:pt>
                <c:pt idx="131">
                  <c:v>14.997508186655748</c:v>
                </c:pt>
                <c:pt idx="132">
                  <c:v>15.182976872697504</c:v>
                </c:pt>
                <c:pt idx="133">
                  <c:v>15.481339541547278</c:v>
                </c:pt>
                <c:pt idx="134">
                  <c:v>16.779620343839543</c:v>
                </c:pt>
                <c:pt idx="135">
                  <c:v>16.908642038477282</c:v>
                </c:pt>
                <c:pt idx="136">
                  <c:v>16.424810683585754</c:v>
                </c:pt>
                <c:pt idx="137">
                  <c:v>16.45706610724519</c:v>
                </c:pt>
                <c:pt idx="138">
                  <c:v>17.682772206303724</c:v>
                </c:pt>
                <c:pt idx="139">
                  <c:v>19.303607245190339</c:v>
                </c:pt>
                <c:pt idx="140">
                  <c:v>19.513267498976667</c:v>
                </c:pt>
                <c:pt idx="141">
                  <c:v>18.856063241915678</c:v>
                </c:pt>
                <c:pt idx="142">
                  <c:v>19.464884363487517</c:v>
                </c:pt>
                <c:pt idx="143">
                  <c:v>19.771310888252152</c:v>
                </c:pt>
                <c:pt idx="144">
                  <c:v>20.497057920589441</c:v>
                </c:pt>
                <c:pt idx="145">
                  <c:v>21.077655546459273</c:v>
                </c:pt>
                <c:pt idx="146">
                  <c:v>21.48891219811707</c:v>
                </c:pt>
                <c:pt idx="147">
                  <c:v>17.763410765452313</c:v>
                </c:pt>
                <c:pt idx="148">
                  <c:v>17.626325214899712</c:v>
                </c:pt>
                <c:pt idx="149">
                  <c:v>17.07798301268932</c:v>
                </c:pt>
                <c:pt idx="150">
                  <c:v>16.674790216946377</c:v>
                </c:pt>
                <c:pt idx="151">
                  <c:v>16.779620343839543</c:v>
                </c:pt>
                <c:pt idx="152">
                  <c:v>17.755346909537458</c:v>
                </c:pt>
                <c:pt idx="153">
                  <c:v>17.577942079410565</c:v>
                </c:pt>
                <c:pt idx="154">
                  <c:v>16.957025173966436</c:v>
                </c:pt>
                <c:pt idx="155">
                  <c:v>17.706963774048301</c:v>
                </c:pt>
                <c:pt idx="156">
                  <c:v>17.819857756856326</c:v>
                </c:pt>
                <c:pt idx="157">
                  <c:v>18.029518010642654</c:v>
                </c:pt>
                <c:pt idx="158">
                  <c:v>17.835985468686044</c:v>
                </c:pt>
                <c:pt idx="159">
                  <c:v>18.27949754400327</c:v>
                </c:pt>
                <c:pt idx="160">
                  <c:v>18.545604789193614</c:v>
                </c:pt>
                <c:pt idx="161">
                  <c:v>19.424565083913226</c:v>
                </c:pt>
                <c:pt idx="162">
                  <c:v>20.150312116250511</c:v>
                </c:pt>
                <c:pt idx="163">
                  <c:v>19.271351821530903</c:v>
                </c:pt>
                <c:pt idx="164">
                  <c:v>19.271351821530903</c:v>
                </c:pt>
                <c:pt idx="165">
                  <c:v>18.6262433483422</c:v>
                </c:pt>
                <c:pt idx="166">
                  <c:v>19.456820507572658</c:v>
                </c:pt>
                <c:pt idx="167">
                  <c:v>19.384245804338928</c:v>
                </c:pt>
                <c:pt idx="168">
                  <c:v>21.456656774457638</c:v>
                </c:pt>
                <c:pt idx="169">
                  <c:v>21.924360417519445</c:v>
                </c:pt>
                <c:pt idx="170">
                  <c:v>22.666235161686451</c:v>
                </c:pt>
                <c:pt idx="171">
                  <c:v>23.166194228407697</c:v>
                </c:pt>
                <c:pt idx="172">
                  <c:v>23.424237617683172</c:v>
                </c:pt>
                <c:pt idx="173">
                  <c:v>24.730582275890303</c:v>
                </c:pt>
                <c:pt idx="174">
                  <c:v>26.940078796561604</c:v>
                </c:pt>
                <c:pt idx="175">
                  <c:v>27.157802906262791</c:v>
                </c:pt>
                <c:pt idx="176">
                  <c:v>25.956288374948837</c:v>
                </c:pt>
                <c:pt idx="177">
                  <c:v>25.004753376995495</c:v>
                </c:pt>
                <c:pt idx="178">
                  <c:v>26.077246213671714</c:v>
                </c:pt>
                <c:pt idx="179">
                  <c:v>26.682035407286119</c:v>
                </c:pt>
                <c:pt idx="180">
                  <c:v>27.407782439623421</c:v>
                </c:pt>
                <c:pt idx="181">
                  <c:v>27.415846295538273</c:v>
                </c:pt>
                <c:pt idx="182">
                  <c:v>27.222313753581663</c:v>
                </c:pt>
                <c:pt idx="183">
                  <c:v>27.536804134261153</c:v>
                </c:pt>
                <c:pt idx="184">
                  <c:v>27.544867990176012</c:v>
                </c:pt>
                <c:pt idx="185">
                  <c:v>28.633488538681949</c:v>
                </c:pt>
                <c:pt idx="186">
                  <c:v>29.512448833401557</c:v>
                </c:pt>
                <c:pt idx="187">
                  <c:v>29.81081150225133</c:v>
                </c:pt>
                <c:pt idx="188">
                  <c:v>27.851294514940648</c:v>
                </c:pt>
                <c:pt idx="189">
                  <c:v>28.077082480556694</c:v>
                </c:pt>
                <c:pt idx="190">
                  <c:v>28.206104175194433</c:v>
                </c:pt>
                <c:pt idx="191">
                  <c:v>28.42382828489562</c:v>
                </c:pt>
                <c:pt idx="192">
                  <c:v>28.359317437576749</c:v>
                </c:pt>
                <c:pt idx="193">
                  <c:v>28.206104175194433</c:v>
                </c:pt>
                <c:pt idx="194">
                  <c:v>27.65776197298403</c:v>
                </c:pt>
                <c:pt idx="195">
                  <c:v>27.536804134261153</c:v>
                </c:pt>
                <c:pt idx="196">
                  <c:v>27.512612566516577</c:v>
                </c:pt>
                <c:pt idx="197">
                  <c:v>27.536804134261153</c:v>
                </c:pt>
                <c:pt idx="198">
                  <c:v>27.440037863282857</c:v>
                </c:pt>
                <c:pt idx="199">
                  <c:v>27.012653499795334</c:v>
                </c:pt>
                <c:pt idx="200">
                  <c:v>26.649779983626683</c:v>
                </c:pt>
                <c:pt idx="201">
                  <c:v>27.020717355710193</c:v>
                </c:pt>
                <c:pt idx="202">
                  <c:v>27.319080024559966</c:v>
                </c:pt>
                <c:pt idx="203">
                  <c:v>29.0931283258289</c:v>
                </c:pt>
                <c:pt idx="204">
                  <c:v>29.238277732296357</c:v>
                </c:pt>
                <c:pt idx="205">
                  <c:v>29.197958452722062</c:v>
                </c:pt>
                <c:pt idx="206">
                  <c:v>29.762428366762176</c:v>
                </c:pt>
                <c:pt idx="207">
                  <c:v>29.197958452722062</c:v>
                </c:pt>
                <c:pt idx="208">
                  <c:v>28.601233115022513</c:v>
                </c:pt>
                <c:pt idx="209">
                  <c:v>29.68178980761359</c:v>
                </c:pt>
                <c:pt idx="210">
                  <c:v>29.383427138763814</c:v>
                </c:pt>
                <c:pt idx="211">
                  <c:v>29.367299426934096</c:v>
                </c:pt>
                <c:pt idx="212">
                  <c:v>29.004425910765452</c:v>
                </c:pt>
                <c:pt idx="213">
                  <c:v>28.988298198935734</c:v>
                </c:pt>
                <c:pt idx="214">
                  <c:v>28.964106631191164</c:v>
                </c:pt>
                <c:pt idx="215">
                  <c:v>29.439874130167826</c:v>
                </c:pt>
                <c:pt idx="216">
                  <c:v>28.391572861236185</c:v>
                </c:pt>
                <c:pt idx="217">
                  <c:v>29.875322349570201</c:v>
                </c:pt>
                <c:pt idx="218">
                  <c:v>30.101110315186247</c:v>
                </c:pt>
                <c:pt idx="219">
                  <c:v>29.891450061399919</c:v>
                </c:pt>
                <c:pt idx="220">
                  <c:v>31.278433278755628</c:v>
                </c:pt>
                <c:pt idx="221">
                  <c:v>32.036435734752345</c:v>
                </c:pt>
                <c:pt idx="222">
                  <c:v>32.778310478919359</c:v>
                </c:pt>
                <c:pt idx="223">
                  <c:v>33.108928571428578</c:v>
                </c:pt>
                <c:pt idx="224">
                  <c:v>32.350926115431847</c:v>
                </c:pt>
                <c:pt idx="225">
                  <c:v>32.141265861645515</c:v>
                </c:pt>
                <c:pt idx="226">
                  <c:v>34.479784076954566</c:v>
                </c:pt>
                <c:pt idx="227">
                  <c:v>35.931278141629143</c:v>
                </c:pt>
                <c:pt idx="228">
                  <c:v>35.56034076954564</c:v>
                </c:pt>
                <c:pt idx="229">
                  <c:v>37.076345681539088</c:v>
                </c:pt>
                <c:pt idx="230">
                  <c:v>38.011752967662709</c:v>
                </c:pt>
                <c:pt idx="231">
                  <c:v>36.955387842816208</c:v>
                </c:pt>
                <c:pt idx="232">
                  <c:v>37.75370957838723</c:v>
                </c:pt>
                <c:pt idx="233">
                  <c:v>39.132628939828081</c:v>
                </c:pt>
                <c:pt idx="234">
                  <c:v>40.697016987310683</c:v>
                </c:pt>
                <c:pt idx="235">
                  <c:v>39.398736185018429</c:v>
                </c:pt>
                <c:pt idx="236">
                  <c:v>41.116337494883339</c:v>
                </c:pt>
                <c:pt idx="237">
                  <c:v>40.922804952926732</c:v>
                </c:pt>
                <c:pt idx="238">
                  <c:v>40.946996520671306</c:v>
                </c:pt>
                <c:pt idx="239">
                  <c:v>39.797897052803933</c:v>
                </c:pt>
                <c:pt idx="240">
                  <c:v>37.769837290216941</c:v>
                </c:pt>
                <c:pt idx="241">
                  <c:v>37.705326442898077</c:v>
                </c:pt>
                <c:pt idx="242">
                  <c:v>38.672989152681133</c:v>
                </c:pt>
                <c:pt idx="243">
                  <c:v>38.374626483831356</c:v>
                </c:pt>
                <c:pt idx="244">
                  <c:v>38.814106631191159</c:v>
                </c:pt>
                <c:pt idx="245">
                  <c:v>39.689034997953335</c:v>
                </c:pt>
                <c:pt idx="246">
                  <c:v>41.084082071223911</c:v>
                </c:pt>
                <c:pt idx="247">
                  <c:v>41.067954359394193</c:v>
                </c:pt>
                <c:pt idx="248">
                  <c:v>40.600250716332376</c:v>
                </c:pt>
                <c:pt idx="249">
                  <c:v>40.318015759312324</c:v>
                </c:pt>
                <c:pt idx="250">
                  <c:v>39.035862668849774</c:v>
                </c:pt>
              </c:numCache>
            </c:numRef>
          </c:val>
          <c:smooth val="0"/>
          <c:extLst>
            <c:ext xmlns:c16="http://schemas.microsoft.com/office/drawing/2014/chart" uri="{C3380CC4-5D6E-409C-BE32-E72D297353CC}">
              <c16:uniqueId val="{00000001-5457-4AA3-B908-A623D0057CF9}"/>
            </c:ext>
          </c:extLst>
        </c:ser>
        <c:dLbls>
          <c:showLegendKey val="0"/>
          <c:showVal val="0"/>
          <c:showCatName val="0"/>
          <c:showSerName val="0"/>
          <c:showPercent val="0"/>
          <c:showBubbleSize val="0"/>
        </c:dLbls>
        <c:marker val="1"/>
        <c:smooth val="0"/>
        <c:axId val="1650760911"/>
        <c:axId val="1650775791"/>
      </c:lineChart>
      <c:dateAx>
        <c:axId val="1650760911"/>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75791"/>
        <c:crosses val="autoZero"/>
        <c:auto val="0"/>
        <c:lblOffset val="100"/>
        <c:baseTimeUnit val="days"/>
        <c:majorUnit val="2"/>
        <c:majorTimeUnit val="months"/>
      </c:dateAx>
      <c:valAx>
        <c:axId val="1650775791"/>
        <c:scaling>
          <c:orientation val="minMax"/>
        </c:scaling>
        <c:delete val="0"/>
        <c:axPos val="l"/>
        <c:majorGridlines>
          <c:spPr>
            <a:ln w="9525" cap="flat" cmpd="sng" algn="ctr">
              <a:solidFill>
                <a:srgbClr val="D9D9D9"/>
              </a:solidFill>
              <a:prstDash val="solid"/>
              <a:round/>
            </a:ln>
            <a:effectLst/>
          </c:spPr>
        </c:majorGridlines>
        <c:numFmt formatCode="0.0&quot;x&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60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'Multiples Trade'!$AG$5</c:f>
          <c:strCache>
            <c:ptCount val="1"/>
            <c:pt idx="0">
              <c:v>PUBM vs TTD share price, 1 year (10/3/25 – 10/2/26)</c:v>
            </c:pt>
          </c:strCache>
        </c:strRef>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v>PUBM earnings</c:v>
          </c:tx>
          <c:spPr>
            <a:solidFill>
              <a:srgbClr val="1F3864"/>
            </a:solidFill>
            <a:ln w="25400">
              <a:noFill/>
            </a:ln>
            <a:effectLst/>
          </c:spPr>
          <c:invertIfNegative val="0"/>
          <c:cat>
            <c:numRef>
              <c:f>'Multiples Trade'!$S$5:$S$255</c:f>
              <c:numCache>
                <c:formatCode>m/d/yy</c:formatCode>
                <c:ptCount val="251"/>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pt idx="65">
                  <c:v>46204</c:v>
                </c:pt>
                <c:pt idx="66">
                  <c:v>46203</c:v>
                </c:pt>
                <c:pt idx="67">
                  <c:v>46202</c:v>
                </c:pt>
                <c:pt idx="68">
                  <c:v>46199</c:v>
                </c:pt>
                <c:pt idx="69">
                  <c:v>46198</c:v>
                </c:pt>
                <c:pt idx="70">
                  <c:v>46197</c:v>
                </c:pt>
                <c:pt idx="71">
                  <c:v>46196</c:v>
                </c:pt>
                <c:pt idx="72">
                  <c:v>46195</c:v>
                </c:pt>
                <c:pt idx="73">
                  <c:v>46191</c:v>
                </c:pt>
                <c:pt idx="74">
                  <c:v>46190</c:v>
                </c:pt>
                <c:pt idx="75">
                  <c:v>46189</c:v>
                </c:pt>
                <c:pt idx="76">
                  <c:v>46188</c:v>
                </c:pt>
                <c:pt idx="77">
                  <c:v>46185</c:v>
                </c:pt>
                <c:pt idx="78">
                  <c:v>46184</c:v>
                </c:pt>
                <c:pt idx="79">
                  <c:v>46183</c:v>
                </c:pt>
                <c:pt idx="80">
                  <c:v>46182</c:v>
                </c:pt>
                <c:pt idx="81">
                  <c:v>46181</c:v>
                </c:pt>
                <c:pt idx="82">
                  <c:v>46178</c:v>
                </c:pt>
                <c:pt idx="83">
                  <c:v>46177</c:v>
                </c:pt>
                <c:pt idx="84">
                  <c:v>46176</c:v>
                </c:pt>
                <c:pt idx="85">
                  <c:v>46175</c:v>
                </c:pt>
                <c:pt idx="86">
                  <c:v>46174</c:v>
                </c:pt>
                <c:pt idx="87">
                  <c:v>46171</c:v>
                </c:pt>
                <c:pt idx="88">
                  <c:v>46170</c:v>
                </c:pt>
                <c:pt idx="89">
                  <c:v>46169</c:v>
                </c:pt>
                <c:pt idx="90">
                  <c:v>46168</c:v>
                </c:pt>
                <c:pt idx="91">
                  <c:v>46164</c:v>
                </c:pt>
                <c:pt idx="92">
                  <c:v>46163</c:v>
                </c:pt>
                <c:pt idx="93">
                  <c:v>46162</c:v>
                </c:pt>
                <c:pt idx="94">
                  <c:v>46161</c:v>
                </c:pt>
                <c:pt idx="95">
                  <c:v>46160</c:v>
                </c:pt>
                <c:pt idx="96">
                  <c:v>46157</c:v>
                </c:pt>
                <c:pt idx="97">
                  <c:v>46156</c:v>
                </c:pt>
                <c:pt idx="98">
                  <c:v>46155</c:v>
                </c:pt>
                <c:pt idx="99">
                  <c:v>46154</c:v>
                </c:pt>
                <c:pt idx="100">
                  <c:v>46153</c:v>
                </c:pt>
                <c:pt idx="101">
                  <c:v>46150</c:v>
                </c:pt>
                <c:pt idx="102">
                  <c:v>46149</c:v>
                </c:pt>
                <c:pt idx="103">
                  <c:v>46148</c:v>
                </c:pt>
                <c:pt idx="104">
                  <c:v>46147</c:v>
                </c:pt>
                <c:pt idx="105">
                  <c:v>46146</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46118</c:v>
                </c:pt>
                <c:pt idx="126">
                  <c:v>46114</c:v>
                </c:pt>
                <c:pt idx="127">
                  <c:v>46113</c:v>
                </c:pt>
                <c:pt idx="128">
                  <c:v>46112</c:v>
                </c:pt>
                <c:pt idx="129">
                  <c:v>46111</c:v>
                </c:pt>
                <c:pt idx="130">
                  <c:v>46108</c:v>
                </c:pt>
                <c:pt idx="131">
                  <c:v>46107</c:v>
                </c:pt>
                <c:pt idx="132">
                  <c:v>46106</c:v>
                </c:pt>
                <c:pt idx="133">
                  <c:v>46105</c:v>
                </c:pt>
                <c:pt idx="134">
                  <c:v>46104</c:v>
                </c:pt>
                <c:pt idx="135">
                  <c:v>46101</c:v>
                </c:pt>
                <c:pt idx="136">
                  <c:v>46100</c:v>
                </c:pt>
                <c:pt idx="137">
                  <c:v>46099</c:v>
                </c:pt>
                <c:pt idx="138">
                  <c:v>46098</c:v>
                </c:pt>
                <c:pt idx="139">
                  <c:v>46097</c:v>
                </c:pt>
                <c:pt idx="140">
                  <c:v>46094</c:v>
                </c:pt>
                <c:pt idx="141">
                  <c:v>46093</c:v>
                </c:pt>
                <c:pt idx="142">
                  <c:v>46092</c:v>
                </c:pt>
                <c:pt idx="143">
                  <c:v>46091</c:v>
                </c:pt>
                <c:pt idx="144">
                  <c:v>46090</c:v>
                </c:pt>
                <c:pt idx="145">
                  <c:v>46087</c:v>
                </c:pt>
                <c:pt idx="146">
                  <c:v>46086</c:v>
                </c:pt>
                <c:pt idx="147">
                  <c:v>46085</c:v>
                </c:pt>
                <c:pt idx="148">
                  <c:v>46084</c:v>
                </c:pt>
                <c:pt idx="149">
                  <c:v>46083</c:v>
                </c:pt>
                <c:pt idx="150">
                  <c:v>46080</c:v>
                </c:pt>
                <c:pt idx="151">
                  <c:v>46079</c:v>
                </c:pt>
                <c:pt idx="152">
                  <c:v>46078</c:v>
                </c:pt>
                <c:pt idx="153">
                  <c:v>46077</c:v>
                </c:pt>
                <c:pt idx="154">
                  <c:v>46076</c:v>
                </c:pt>
                <c:pt idx="155">
                  <c:v>46073</c:v>
                </c:pt>
                <c:pt idx="156">
                  <c:v>46072</c:v>
                </c:pt>
                <c:pt idx="157">
                  <c:v>46071</c:v>
                </c:pt>
                <c:pt idx="158">
                  <c:v>46070</c:v>
                </c:pt>
                <c:pt idx="159">
                  <c:v>46066</c:v>
                </c:pt>
                <c:pt idx="160">
                  <c:v>46065</c:v>
                </c:pt>
                <c:pt idx="161">
                  <c:v>46064</c:v>
                </c:pt>
                <c:pt idx="162">
                  <c:v>46063</c:v>
                </c:pt>
                <c:pt idx="163">
                  <c:v>46062</c:v>
                </c:pt>
                <c:pt idx="164">
                  <c:v>46059</c:v>
                </c:pt>
                <c:pt idx="165">
                  <c:v>46058</c:v>
                </c:pt>
                <c:pt idx="166">
                  <c:v>46057</c:v>
                </c:pt>
                <c:pt idx="167">
                  <c:v>46056</c:v>
                </c:pt>
                <c:pt idx="168">
                  <c:v>46055</c:v>
                </c:pt>
                <c:pt idx="169">
                  <c:v>46052</c:v>
                </c:pt>
                <c:pt idx="170">
                  <c:v>46051</c:v>
                </c:pt>
                <c:pt idx="171">
                  <c:v>46050</c:v>
                </c:pt>
                <c:pt idx="172">
                  <c:v>46049</c:v>
                </c:pt>
                <c:pt idx="173">
                  <c:v>46048</c:v>
                </c:pt>
                <c:pt idx="174">
                  <c:v>46045</c:v>
                </c:pt>
                <c:pt idx="175">
                  <c:v>46044</c:v>
                </c:pt>
                <c:pt idx="176">
                  <c:v>46043</c:v>
                </c:pt>
                <c:pt idx="177">
                  <c:v>46042</c:v>
                </c:pt>
                <c:pt idx="178">
                  <c:v>46038</c:v>
                </c:pt>
                <c:pt idx="179">
                  <c:v>46037</c:v>
                </c:pt>
                <c:pt idx="180">
                  <c:v>46036</c:v>
                </c:pt>
                <c:pt idx="181">
                  <c:v>46035</c:v>
                </c:pt>
                <c:pt idx="182">
                  <c:v>46034</c:v>
                </c:pt>
                <c:pt idx="183">
                  <c:v>46031</c:v>
                </c:pt>
                <c:pt idx="184">
                  <c:v>46030</c:v>
                </c:pt>
                <c:pt idx="185">
                  <c:v>46029</c:v>
                </c:pt>
                <c:pt idx="186">
                  <c:v>46028</c:v>
                </c:pt>
                <c:pt idx="187">
                  <c:v>46027</c:v>
                </c:pt>
                <c:pt idx="188">
                  <c:v>46024</c:v>
                </c:pt>
                <c:pt idx="189">
                  <c:v>46022</c:v>
                </c:pt>
                <c:pt idx="190">
                  <c:v>46021</c:v>
                </c:pt>
                <c:pt idx="191">
                  <c:v>46020</c:v>
                </c:pt>
                <c:pt idx="192">
                  <c:v>46017</c:v>
                </c:pt>
                <c:pt idx="193">
                  <c:v>46015</c:v>
                </c:pt>
                <c:pt idx="194">
                  <c:v>46014</c:v>
                </c:pt>
                <c:pt idx="195">
                  <c:v>46013</c:v>
                </c:pt>
                <c:pt idx="196">
                  <c:v>46010</c:v>
                </c:pt>
                <c:pt idx="197">
                  <c:v>46009</c:v>
                </c:pt>
                <c:pt idx="198">
                  <c:v>46008</c:v>
                </c:pt>
                <c:pt idx="199">
                  <c:v>46007</c:v>
                </c:pt>
                <c:pt idx="200">
                  <c:v>46006</c:v>
                </c:pt>
                <c:pt idx="201">
                  <c:v>46003</c:v>
                </c:pt>
                <c:pt idx="202">
                  <c:v>46002</c:v>
                </c:pt>
                <c:pt idx="203">
                  <c:v>46001</c:v>
                </c:pt>
                <c:pt idx="204">
                  <c:v>46000</c:v>
                </c:pt>
                <c:pt idx="205">
                  <c:v>45999</c:v>
                </c:pt>
                <c:pt idx="206">
                  <c:v>45996</c:v>
                </c:pt>
                <c:pt idx="207">
                  <c:v>45995</c:v>
                </c:pt>
                <c:pt idx="208">
                  <c:v>45994</c:v>
                </c:pt>
                <c:pt idx="209">
                  <c:v>45993</c:v>
                </c:pt>
                <c:pt idx="210">
                  <c:v>45992</c:v>
                </c:pt>
                <c:pt idx="211">
                  <c:v>45989</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45966</c:v>
                </c:pt>
                <c:pt idx="228">
                  <c:v>45965</c:v>
                </c:pt>
                <c:pt idx="229">
                  <c:v>45964</c:v>
                </c:pt>
                <c:pt idx="230">
                  <c:v>45961</c:v>
                </c:pt>
                <c:pt idx="231">
                  <c:v>45960</c:v>
                </c:pt>
                <c:pt idx="232">
                  <c:v>45959</c:v>
                </c:pt>
                <c:pt idx="233">
                  <c:v>45958</c:v>
                </c:pt>
                <c:pt idx="234">
                  <c:v>45957</c:v>
                </c:pt>
                <c:pt idx="235">
                  <c:v>45954</c:v>
                </c:pt>
                <c:pt idx="236">
                  <c:v>45953</c:v>
                </c:pt>
                <c:pt idx="237">
                  <c:v>45952</c:v>
                </c:pt>
                <c:pt idx="238">
                  <c:v>45951</c:v>
                </c:pt>
                <c:pt idx="239">
                  <c:v>45950</c:v>
                </c:pt>
                <c:pt idx="240">
                  <c:v>45947</c:v>
                </c:pt>
                <c:pt idx="241">
                  <c:v>45946</c:v>
                </c:pt>
                <c:pt idx="242">
                  <c:v>45945</c:v>
                </c:pt>
                <c:pt idx="243">
                  <c:v>45944</c:v>
                </c:pt>
                <c:pt idx="244">
                  <c:v>45943</c:v>
                </c:pt>
                <c:pt idx="245">
                  <c:v>45940</c:v>
                </c:pt>
                <c:pt idx="246">
                  <c:v>45939</c:v>
                </c:pt>
                <c:pt idx="247">
                  <c:v>45938</c:v>
                </c:pt>
                <c:pt idx="248">
                  <c:v>45937</c:v>
                </c:pt>
                <c:pt idx="249">
                  <c:v>45936</c:v>
                </c:pt>
                <c:pt idx="250">
                  <c:v>45933</c:v>
                </c:pt>
              </c:numCache>
            </c:numRef>
          </c:cat>
          <c:val>
            <c:numRef>
              <c:f>'Multiples Trade'!$AM$5:$AM$255</c:f>
              <c:numCache>
                <c:formatCode>"$"0.00</c:formatCode>
                <c:ptCount val="25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13.48</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10.24</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7.07</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7.65</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numCache>
            </c:numRef>
          </c:val>
          <c:extLst>
            <c:ext xmlns:c16="http://schemas.microsoft.com/office/drawing/2014/chart" uri="{C3380CC4-5D6E-409C-BE32-E72D297353CC}">
              <c16:uniqueId val="{00000002-FB94-43C3-AD70-CE7857863540}"/>
            </c:ext>
          </c:extLst>
        </c:ser>
        <c:dLbls>
          <c:showLegendKey val="0"/>
          <c:showVal val="0"/>
          <c:showCatName val="0"/>
          <c:showSerName val="0"/>
          <c:showPercent val="0"/>
          <c:showBubbleSize val="0"/>
        </c:dLbls>
        <c:gapWidth val="500"/>
        <c:axId val="944511679"/>
        <c:axId val="944497759"/>
      </c:barChart>
      <c:barChart>
        <c:barDir val="col"/>
        <c:grouping val="clustered"/>
        <c:varyColors val="0"/>
        <c:ser>
          <c:idx val="3"/>
          <c:order val="3"/>
          <c:tx>
            <c:v>TTD earnings</c:v>
          </c:tx>
          <c:spPr>
            <a:solidFill>
              <a:srgbClr val="C00000"/>
            </a:solidFill>
            <a:ln w="25400">
              <a:noFill/>
            </a:ln>
            <a:effectLst/>
          </c:spPr>
          <c:invertIfNegative val="0"/>
          <c:cat>
            <c:numRef>
              <c:f>'Multiples Trade'!$S$5:$S$255</c:f>
              <c:numCache>
                <c:formatCode>m/d/yy</c:formatCode>
                <c:ptCount val="251"/>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pt idx="65">
                  <c:v>46204</c:v>
                </c:pt>
                <c:pt idx="66">
                  <c:v>46203</c:v>
                </c:pt>
                <c:pt idx="67">
                  <c:v>46202</c:v>
                </c:pt>
                <c:pt idx="68">
                  <c:v>46199</c:v>
                </c:pt>
                <c:pt idx="69">
                  <c:v>46198</c:v>
                </c:pt>
                <c:pt idx="70">
                  <c:v>46197</c:v>
                </c:pt>
                <c:pt idx="71">
                  <c:v>46196</c:v>
                </c:pt>
                <c:pt idx="72">
                  <c:v>46195</c:v>
                </c:pt>
                <c:pt idx="73">
                  <c:v>46191</c:v>
                </c:pt>
                <c:pt idx="74">
                  <c:v>46190</c:v>
                </c:pt>
                <c:pt idx="75">
                  <c:v>46189</c:v>
                </c:pt>
                <c:pt idx="76">
                  <c:v>46188</c:v>
                </c:pt>
                <c:pt idx="77">
                  <c:v>46185</c:v>
                </c:pt>
                <c:pt idx="78">
                  <c:v>46184</c:v>
                </c:pt>
                <c:pt idx="79">
                  <c:v>46183</c:v>
                </c:pt>
                <c:pt idx="80">
                  <c:v>46182</c:v>
                </c:pt>
                <c:pt idx="81">
                  <c:v>46181</c:v>
                </c:pt>
                <c:pt idx="82">
                  <c:v>46178</c:v>
                </c:pt>
                <c:pt idx="83">
                  <c:v>46177</c:v>
                </c:pt>
                <c:pt idx="84">
                  <c:v>46176</c:v>
                </c:pt>
                <c:pt idx="85">
                  <c:v>46175</c:v>
                </c:pt>
                <c:pt idx="86">
                  <c:v>46174</c:v>
                </c:pt>
                <c:pt idx="87">
                  <c:v>46171</c:v>
                </c:pt>
                <c:pt idx="88">
                  <c:v>46170</c:v>
                </c:pt>
                <c:pt idx="89">
                  <c:v>46169</c:v>
                </c:pt>
                <c:pt idx="90">
                  <c:v>46168</c:v>
                </c:pt>
                <c:pt idx="91">
                  <c:v>46164</c:v>
                </c:pt>
                <c:pt idx="92">
                  <c:v>46163</c:v>
                </c:pt>
                <c:pt idx="93">
                  <c:v>46162</c:v>
                </c:pt>
                <c:pt idx="94">
                  <c:v>46161</c:v>
                </c:pt>
                <c:pt idx="95">
                  <c:v>46160</c:v>
                </c:pt>
                <c:pt idx="96">
                  <c:v>46157</c:v>
                </c:pt>
                <c:pt idx="97">
                  <c:v>46156</c:v>
                </c:pt>
                <c:pt idx="98">
                  <c:v>46155</c:v>
                </c:pt>
                <c:pt idx="99">
                  <c:v>46154</c:v>
                </c:pt>
                <c:pt idx="100">
                  <c:v>46153</c:v>
                </c:pt>
                <c:pt idx="101">
                  <c:v>46150</c:v>
                </c:pt>
                <c:pt idx="102">
                  <c:v>46149</c:v>
                </c:pt>
                <c:pt idx="103">
                  <c:v>46148</c:v>
                </c:pt>
                <c:pt idx="104">
                  <c:v>46147</c:v>
                </c:pt>
                <c:pt idx="105">
                  <c:v>46146</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46118</c:v>
                </c:pt>
                <c:pt idx="126">
                  <c:v>46114</c:v>
                </c:pt>
                <c:pt idx="127">
                  <c:v>46113</c:v>
                </c:pt>
                <c:pt idx="128">
                  <c:v>46112</c:v>
                </c:pt>
                <c:pt idx="129">
                  <c:v>46111</c:v>
                </c:pt>
                <c:pt idx="130">
                  <c:v>46108</c:v>
                </c:pt>
                <c:pt idx="131">
                  <c:v>46107</c:v>
                </c:pt>
                <c:pt idx="132">
                  <c:v>46106</c:v>
                </c:pt>
                <c:pt idx="133">
                  <c:v>46105</c:v>
                </c:pt>
                <c:pt idx="134">
                  <c:v>46104</c:v>
                </c:pt>
                <c:pt idx="135">
                  <c:v>46101</c:v>
                </c:pt>
                <c:pt idx="136">
                  <c:v>46100</c:v>
                </c:pt>
                <c:pt idx="137">
                  <c:v>46099</c:v>
                </c:pt>
                <c:pt idx="138">
                  <c:v>46098</c:v>
                </c:pt>
                <c:pt idx="139">
                  <c:v>46097</c:v>
                </c:pt>
                <c:pt idx="140">
                  <c:v>46094</c:v>
                </c:pt>
                <c:pt idx="141">
                  <c:v>46093</c:v>
                </c:pt>
                <c:pt idx="142">
                  <c:v>46092</c:v>
                </c:pt>
                <c:pt idx="143">
                  <c:v>46091</c:v>
                </c:pt>
                <c:pt idx="144">
                  <c:v>46090</c:v>
                </c:pt>
                <c:pt idx="145">
                  <c:v>46087</c:v>
                </c:pt>
                <c:pt idx="146">
                  <c:v>46086</c:v>
                </c:pt>
                <c:pt idx="147">
                  <c:v>46085</c:v>
                </c:pt>
                <c:pt idx="148">
                  <c:v>46084</c:v>
                </c:pt>
                <c:pt idx="149">
                  <c:v>46083</c:v>
                </c:pt>
                <c:pt idx="150">
                  <c:v>46080</c:v>
                </c:pt>
                <c:pt idx="151">
                  <c:v>46079</c:v>
                </c:pt>
                <c:pt idx="152">
                  <c:v>46078</c:v>
                </c:pt>
                <c:pt idx="153">
                  <c:v>46077</c:v>
                </c:pt>
                <c:pt idx="154">
                  <c:v>46076</c:v>
                </c:pt>
                <c:pt idx="155">
                  <c:v>46073</c:v>
                </c:pt>
                <c:pt idx="156">
                  <c:v>46072</c:v>
                </c:pt>
                <c:pt idx="157">
                  <c:v>46071</c:v>
                </c:pt>
                <c:pt idx="158">
                  <c:v>46070</c:v>
                </c:pt>
                <c:pt idx="159">
                  <c:v>46066</c:v>
                </c:pt>
                <c:pt idx="160">
                  <c:v>46065</c:v>
                </c:pt>
                <c:pt idx="161">
                  <c:v>46064</c:v>
                </c:pt>
                <c:pt idx="162">
                  <c:v>46063</c:v>
                </c:pt>
                <c:pt idx="163">
                  <c:v>46062</c:v>
                </c:pt>
                <c:pt idx="164">
                  <c:v>46059</c:v>
                </c:pt>
                <c:pt idx="165">
                  <c:v>46058</c:v>
                </c:pt>
                <c:pt idx="166">
                  <c:v>46057</c:v>
                </c:pt>
                <c:pt idx="167">
                  <c:v>46056</c:v>
                </c:pt>
                <c:pt idx="168">
                  <c:v>46055</c:v>
                </c:pt>
                <c:pt idx="169">
                  <c:v>46052</c:v>
                </c:pt>
                <c:pt idx="170">
                  <c:v>46051</c:v>
                </c:pt>
                <c:pt idx="171">
                  <c:v>46050</c:v>
                </c:pt>
                <c:pt idx="172">
                  <c:v>46049</c:v>
                </c:pt>
                <c:pt idx="173">
                  <c:v>46048</c:v>
                </c:pt>
                <c:pt idx="174">
                  <c:v>46045</c:v>
                </c:pt>
                <c:pt idx="175">
                  <c:v>46044</c:v>
                </c:pt>
                <c:pt idx="176">
                  <c:v>46043</c:v>
                </c:pt>
                <c:pt idx="177">
                  <c:v>46042</c:v>
                </c:pt>
                <c:pt idx="178">
                  <c:v>46038</c:v>
                </c:pt>
                <c:pt idx="179">
                  <c:v>46037</c:v>
                </c:pt>
                <c:pt idx="180">
                  <c:v>46036</c:v>
                </c:pt>
                <c:pt idx="181">
                  <c:v>46035</c:v>
                </c:pt>
                <c:pt idx="182">
                  <c:v>46034</c:v>
                </c:pt>
                <c:pt idx="183">
                  <c:v>46031</c:v>
                </c:pt>
                <c:pt idx="184">
                  <c:v>46030</c:v>
                </c:pt>
                <c:pt idx="185">
                  <c:v>46029</c:v>
                </c:pt>
                <c:pt idx="186">
                  <c:v>46028</c:v>
                </c:pt>
                <c:pt idx="187">
                  <c:v>46027</c:v>
                </c:pt>
                <c:pt idx="188">
                  <c:v>46024</c:v>
                </c:pt>
                <c:pt idx="189">
                  <c:v>46022</c:v>
                </c:pt>
                <c:pt idx="190">
                  <c:v>46021</c:v>
                </c:pt>
                <c:pt idx="191">
                  <c:v>46020</c:v>
                </c:pt>
                <c:pt idx="192">
                  <c:v>46017</c:v>
                </c:pt>
                <c:pt idx="193">
                  <c:v>46015</c:v>
                </c:pt>
                <c:pt idx="194">
                  <c:v>46014</c:v>
                </c:pt>
                <c:pt idx="195">
                  <c:v>46013</c:v>
                </c:pt>
                <c:pt idx="196">
                  <c:v>46010</c:v>
                </c:pt>
                <c:pt idx="197">
                  <c:v>46009</c:v>
                </c:pt>
                <c:pt idx="198">
                  <c:v>46008</c:v>
                </c:pt>
                <c:pt idx="199">
                  <c:v>46007</c:v>
                </c:pt>
                <c:pt idx="200">
                  <c:v>46006</c:v>
                </c:pt>
                <c:pt idx="201">
                  <c:v>46003</c:v>
                </c:pt>
                <c:pt idx="202">
                  <c:v>46002</c:v>
                </c:pt>
                <c:pt idx="203">
                  <c:v>46001</c:v>
                </c:pt>
                <c:pt idx="204">
                  <c:v>46000</c:v>
                </c:pt>
                <c:pt idx="205">
                  <c:v>45999</c:v>
                </c:pt>
                <c:pt idx="206">
                  <c:v>45996</c:v>
                </c:pt>
                <c:pt idx="207">
                  <c:v>45995</c:v>
                </c:pt>
                <c:pt idx="208">
                  <c:v>45994</c:v>
                </c:pt>
                <c:pt idx="209">
                  <c:v>45993</c:v>
                </c:pt>
                <c:pt idx="210">
                  <c:v>45992</c:v>
                </c:pt>
                <c:pt idx="211">
                  <c:v>45989</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45966</c:v>
                </c:pt>
                <c:pt idx="228">
                  <c:v>45965</c:v>
                </c:pt>
                <c:pt idx="229">
                  <c:v>45964</c:v>
                </c:pt>
                <c:pt idx="230">
                  <c:v>45961</c:v>
                </c:pt>
                <c:pt idx="231">
                  <c:v>45960</c:v>
                </c:pt>
                <c:pt idx="232">
                  <c:v>45959</c:v>
                </c:pt>
                <c:pt idx="233">
                  <c:v>45958</c:v>
                </c:pt>
                <c:pt idx="234">
                  <c:v>45957</c:v>
                </c:pt>
                <c:pt idx="235">
                  <c:v>45954</c:v>
                </c:pt>
                <c:pt idx="236">
                  <c:v>45953</c:v>
                </c:pt>
                <c:pt idx="237">
                  <c:v>45952</c:v>
                </c:pt>
                <c:pt idx="238">
                  <c:v>45951</c:v>
                </c:pt>
                <c:pt idx="239">
                  <c:v>45950</c:v>
                </c:pt>
                <c:pt idx="240">
                  <c:v>45947</c:v>
                </c:pt>
                <c:pt idx="241">
                  <c:v>45946</c:v>
                </c:pt>
                <c:pt idx="242">
                  <c:v>45945</c:v>
                </c:pt>
                <c:pt idx="243">
                  <c:v>45944</c:v>
                </c:pt>
                <c:pt idx="244">
                  <c:v>45943</c:v>
                </c:pt>
                <c:pt idx="245">
                  <c:v>45940</c:v>
                </c:pt>
                <c:pt idx="246">
                  <c:v>45939</c:v>
                </c:pt>
                <c:pt idx="247">
                  <c:v>45938</c:v>
                </c:pt>
                <c:pt idx="248">
                  <c:v>45937</c:v>
                </c:pt>
                <c:pt idx="249">
                  <c:v>45936</c:v>
                </c:pt>
                <c:pt idx="250">
                  <c:v>45933</c:v>
                </c:pt>
              </c:numCache>
            </c:numRef>
          </c:cat>
          <c:val>
            <c:numRef>
              <c:f>'Multiples Trade'!$AN$5:$AN$255</c:f>
              <c:numCache>
                <c:formatCode>"$"0.00</c:formatCode>
                <c:ptCount val="25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17.670000000000002</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23.49</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25.16</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45.9</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numCache>
            </c:numRef>
          </c:val>
          <c:extLst>
            <c:ext xmlns:c16="http://schemas.microsoft.com/office/drawing/2014/chart" uri="{C3380CC4-5D6E-409C-BE32-E72D297353CC}">
              <c16:uniqueId val="{00000003-FB94-43C3-AD70-CE7857863540}"/>
            </c:ext>
          </c:extLst>
        </c:ser>
        <c:dLbls>
          <c:showLegendKey val="0"/>
          <c:showVal val="0"/>
          <c:showCatName val="0"/>
          <c:showSerName val="0"/>
          <c:showPercent val="0"/>
          <c:showBubbleSize val="0"/>
        </c:dLbls>
        <c:gapWidth val="150"/>
        <c:axId val="944534239"/>
        <c:axId val="944533759"/>
      </c:barChart>
      <c:lineChart>
        <c:grouping val="standard"/>
        <c:varyColors val="0"/>
        <c:ser>
          <c:idx val="0"/>
          <c:order val="0"/>
          <c:tx>
            <c:v>PUBM ($, left axis)</c:v>
          </c:tx>
          <c:spPr>
            <a:ln w="22225" cap="rnd">
              <a:solidFill>
                <a:srgbClr val="1F3864"/>
              </a:solidFill>
              <a:prstDash val="solid"/>
              <a:round/>
            </a:ln>
            <a:effectLst/>
          </c:spPr>
          <c:marker>
            <c:symbol val="none"/>
          </c:marker>
          <c:cat>
            <c:numRef>
              <c:f>'Multiples Trade'!$S$5:$S$255</c:f>
              <c:numCache>
                <c:formatCode>m/d/yy</c:formatCode>
                <c:ptCount val="251"/>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pt idx="65">
                  <c:v>46204</c:v>
                </c:pt>
                <c:pt idx="66">
                  <c:v>46203</c:v>
                </c:pt>
                <c:pt idx="67">
                  <c:v>46202</c:v>
                </c:pt>
                <c:pt idx="68">
                  <c:v>46199</c:v>
                </c:pt>
                <c:pt idx="69">
                  <c:v>46198</c:v>
                </c:pt>
                <c:pt idx="70">
                  <c:v>46197</c:v>
                </c:pt>
                <c:pt idx="71">
                  <c:v>46196</c:v>
                </c:pt>
                <c:pt idx="72">
                  <c:v>46195</c:v>
                </c:pt>
                <c:pt idx="73">
                  <c:v>46191</c:v>
                </c:pt>
                <c:pt idx="74">
                  <c:v>46190</c:v>
                </c:pt>
                <c:pt idx="75">
                  <c:v>46189</c:v>
                </c:pt>
                <c:pt idx="76">
                  <c:v>46188</c:v>
                </c:pt>
                <c:pt idx="77">
                  <c:v>46185</c:v>
                </c:pt>
                <c:pt idx="78">
                  <c:v>46184</c:v>
                </c:pt>
                <c:pt idx="79">
                  <c:v>46183</c:v>
                </c:pt>
                <c:pt idx="80">
                  <c:v>46182</c:v>
                </c:pt>
                <c:pt idx="81">
                  <c:v>46181</c:v>
                </c:pt>
                <c:pt idx="82">
                  <c:v>46178</c:v>
                </c:pt>
                <c:pt idx="83">
                  <c:v>46177</c:v>
                </c:pt>
                <c:pt idx="84">
                  <c:v>46176</c:v>
                </c:pt>
                <c:pt idx="85">
                  <c:v>46175</c:v>
                </c:pt>
                <c:pt idx="86">
                  <c:v>46174</c:v>
                </c:pt>
                <c:pt idx="87">
                  <c:v>46171</c:v>
                </c:pt>
                <c:pt idx="88">
                  <c:v>46170</c:v>
                </c:pt>
                <c:pt idx="89">
                  <c:v>46169</c:v>
                </c:pt>
                <c:pt idx="90">
                  <c:v>46168</c:v>
                </c:pt>
                <c:pt idx="91">
                  <c:v>46164</c:v>
                </c:pt>
                <c:pt idx="92">
                  <c:v>46163</c:v>
                </c:pt>
                <c:pt idx="93">
                  <c:v>46162</c:v>
                </c:pt>
                <c:pt idx="94">
                  <c:v>46161</c:v>
                </c:pt>
                <c:pt idx="95">
                  <c:v>46160</c:v>
                </c:pt>
                <c:pt idx="96">
                  <c:v>46157</c:v>
                </c:pt>
                <c:pt idx="97">
                  <c:v>46156</c:v>
                </c:pt>
                <c:pt idx="98">
                  <c:v>46155</c:v>
                </c:pt>
                <c:pt idx="99">
                  <c:v>46154</c:v>
                </c:pt>
                <c:pt idx="100">
                  <c:v>46153</c:v>
                </c:pt>
                <c:pt idx="101">
                  <c:v>46150</c:v>
                </c:pt>
                <c:pt idx="102">
                  <c:v>46149</c:v>
                </c:pt>
                <c:pt idx="103">
                  <c:v>46148</c:v>
                </c:pt>
                <c:pt idx="104">
                  <c:v>46147</c:v>
                </c:pt>
                <c:pt idx="105">
                  <c:v>46146</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46118</c:v>
                </c:pt>
                <c:pt idx="126">
                  <c:v>46114</c:v>
                </c:pt>
                <c:pt idx="127">
                  <c:v>46113</c:v>
                </c:pt>
                <c:pt idx="128">
                  <c:v>46112</c:v>
                </c:pt>
                <c:pt idx="129">
                  <c:v>46111</c:v>
                </c:pt>
                <c:pt idx="130">
                  <c:v>46108</c:v>
                </c:pt>
                <c:pt idx="131">
                  <c:v>46107</c:v>
                </c:pt>
                <c:pt idx="132">
                  <c:v>46106</c:v>
                </c:pt>
                <c:pt idx="133">
                  <c:v>46105</c:v>
                </c:pt>
                <c:pt idx="134">
                  <c:v>46104</c:v>
                </c:pt>
                <c:pt idx="135">
                  <c:v>46101</c:v>
                </c:pt>
                <c:pt idx="136">
                  <c:v>46100</c:v>
                </c:pt>
                <c:pt idx="137">
                  <c:v>46099</c:v>
                </c:pt>
                <c:pt idx="138">
                  <c:v>46098</c:v>
                </c:pt>
                <c:pt idx="139">
                  <c:v>46097</c:v>
                </c:pt>
                <c:pt idx="140">
                  <c:v>46094</c:v>
                </c:pt>
                <c:pt idx="141">
                  <c:v>46093</c:v>
                </c:pt>
                <c:pt idx="142">
                  <c:v>46092</c:v>
                </c:pt>
                <c:pt idx="143">
                  <c:v>46091</c:v>
                </c:pt>
                <c:pt idx="144">
                  <c:v>46090</c:v>
                </c:pt>
                <c:pt idx="145">
                  <c:v>46087</c:v>
                </c:pt>
                <c:pt idx="146">
                  <c:v>46086</c:v>
                </c:pt>
                <c:pt idx="147">
                  <c:v>46085</c:v>
                </c:pt>
                <c:pt idx="148">
                  <c:v>46084</c:v>
                </c:pt>
                <c:pt idx="149">
                  <c:v>46083</c:v>
                </c:pt>
                <c:pt idx="150">
                  <c:v>46080</c:v>
                </c:pt>
                <c:pt idx="151">
                  <c:v>46079</c:v>
                </c:pt>
                <c:pt idx="152">
                  <c:v>46078</c:v>
                </c:pt>
                <c:pt idx="153">
                  <c:v>46077</c:v>
                </c:pt>
                <c:pt idx="154">
                  <c:v>46076</c:v>
                </c:pt>
                <c:pt idx="155">
                  <c:v>46073</c:v>
                </c:pt>
                <c:pt idx="156">
                  <c:v>46072</c:v>
                </c:pt>
                <c:pt idx="157">
                  <c:v>46071</c:v>
                </c:pt>
                <c:pt idx="158">
                  <c:v>46070</c:v>
                </c:pt>
                <c:pt idx="159">
                  <c:v>46066</c:v>
                </c:pt>
                <c:pt idx="160">
                  <c:v>46065</c:v>
                </c:pt>
                <c:pt idx="161">
                  <c:v>46064</c:v>
                </c:pt>
                <c:pt idx="162">
                  <c:v>46063</c:v>
                </c:pt>
                <c:pt idx="163">
                  <c:v>46062</c:v>
                </c:pt>
                <c:pt idx="164">
                  <c:v>46059</c:v>
                </c:pt>
                <c:pt idx="165">
                  <c:v>46058</c:v>
                </c:pt>
                <c:pt idx="166">
                  <c:v>46057</c:v>
                </c:pt>
                <c:pt idx="167">
                  <c:v>46056</c:v>
                </c:pt>
                <c:pt idx="168">
                  <c:v>46055</c:v>
                </c:pt>
                <c:pt idx="169">
                  <c:v>46052</c:v>
                </c:pt>
                <c:pt idx="170">
                  <c:v>46051</c:v>
                </c:pt>
                <c:pt idx="171">
                  <c:v>46050</c:v>
                </c:pt>
                <c:pt idx="172">
                  <c:v>46049</c:v>
                </c:pt>
                <c:pt idx="173">
                  <c:v>46048</c:v>
                </c:pt>
                <c:pt idx="174">
                  <c:v>46045</c:v>
                </c:pt>
                <c:pt idx="175">
                  <c:v>46044</c:v>
                </c:pt>
                <c:pt idx="176">
                  <c:v>46043</c:v>
                </c:pt>
                <c:pt idx="177">
                  <c:v>46042</c:v>
                </c:pt>
                <c:pt idx="178">
                  <c:v>46038</c:v>
                </c:pt>
                <c:pt idx="179">
                  <c:v>46037</c:v>
                </c:pt>
                <c:pt idx="180">
                  <c:v>46036</c:v>
                </c:pt>
                <c:pt idx="181">
                  <c:v>46035</c:v>
                </c:pt>
                <c:pt idx="182">
                  <c:v>46034</c:v>
                </c:pt>
                <c:pt idx="183">
                  <c:v>46031</c:v>
                </c:pt>
                <c:pt idx="184">
                  <c:v>46030</c:v>
                </c:pt>
                <c:pt idx="185">
                  <c:v>46029</c:v>
                </c:pt>
                <c:pt idx="186">
                  <c:v>46028</c:v>
                </c:pt>
                <c:pt idx="187">
                  <c:v>46027</c:v>
                </c:pt>
                <c:pt idx="188">
                  <c:v>46024</c:v>
                </c:pt>
                <c:pt idx="189">
                  <c:v>46022</c:v>
                </c:pt>
                <c:pt idx="190">
                  <c:v>46021</c:v>
                </c:pt>
                <c:pt idx="191">
                  <c:v>46020</c:v>
                </c:pt>
                <c:pt idx="192">
                  <c:v>46017</c:v>
                </c:pt>
                <c:pt idx="193">
                  <c:v>46015</c:v>
                </c:pt>
                <c:pt idx="194">
                  <c:v>46014</c:v>
                </c:pt>
                <c:pt idx="195">
                  <c:v>46013</c:v>
                </c:pt>
                <c:pt idx="196">
                  <c:v>46010</c:v>
                </c:pt>
                <c:pt idx="197">
                  <c:v>46009</c:v>
                </c:pt>
                <c:pt idx="198">
                  <c:v>46008</c:v>
                </c:pt>
                <c:pt idx="199">
                  <c:v>46007</c:v>
                </c:pt>
                <c:pt idx="200">
                  <c:v>46006</c:v>
                </c:pt>
                <c:pt idx="201">
                  <c:v>46003</c:v>
                </c:pt>
                <c:pt idx="202">
                  <c:v>46002</c:v>
                </c:pt>
                <c:pt idx="203">
                  <c:v>46001</c:v>
                </c:pt>
                <c:pt idx="204">
                  <c:v>46000</c:v>
                </c:pt>
                <c:pt idx="205">
                  <c:v>45999</c:v>
                </c:pt>
                <c:pt idx="206">
                  <c:v>45996</c:v>
                </c:pt>
                <c:pt idx="207">
                  <c:v>45995</c:v>
                </c:pt>
                <c:pt idx="208">
                  <c:v>45994</c:v>
                </c:pt>
                <c:pt idx="209">
                  <c:v>45993</c:v>
                </c:pt>
                <c:pt idx="210">
                  <c:v>45992</c:v>
                </c:pt>
                <c:pt idx="211">
                  <c:v>45989</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45966</c:v>
                </c:pt>
                <c:pt idx="228">
                  <c:v>45965</c:v>
                </c:pt>
                <c:pt idx="229">
                  <c:v>45964</c:v>
                </c:pt>
                <c:pt idx="230">
                  <c:v>45961</c:v>
                </c:pt>
                <c:pt idx="231">
                  <c:v>45960</c:v>
                </c:pt>
                <c:pt idx="232">
                  <c:v>45959</c:v>
                </c:pt>
                <c:pt idx="233">
                  <c:v>45958</c:v>
                </c:pt>
                <c:pt idx="234">
                  <c:v>45957</c:v>
                </c:pt>
                <c:pt idx="235">
                  <c:v>45954</c:v>
                </c:pt>
                <c:pt idx="236">
                  <c:v>45953</c:v>
                </c:pt>
                <c:pt idx="237">
                  <c:v>45952</c:v>
                </c:pt>
                <c:pt idx="238">
                  <c:v>45951</c:v>
                </c:pt>
                <c:pt idx="239">
                  <c:v>45950</c:v>
                </c:pt>
                <c:pt idx="240">
                  <c:v>45947</c:v>
                </c:pt>
                <c:pt idx="241">
                  <c:v>45946</c:v>
                </c:pt>
                <c:pt idx="242">
                  <c:v>45945</c:v>
                </c:pt>
                <c:pt idx="243">
                  <c:v>45944</c:v>
                </c:pt>
                <c:pt idx="244">
                  <c:v>45943</c:v>
                </c:pt>
                <c:pt idx="245">
                  <c:v>45940</c:v>
                </c:pt>
                <c:pt idx="246">
                  <c:v>45939</c:v>
                </c:pt>
                <c:pt idx="247">
                  <c:v>45938</c:v>
                </c:pt>
                <c:pt idx="248">
                  <c:v>45937</c:v>
                </c:pt>
                <c:pt idx="249">
                  <c:v>45936</c:v>
                </c:pt>
                <c:pt idx="250">
                  <c:v>45933</c:v>
                </c:pt>
              </c:numCache>
            </c:numRef>
          </c:cat>
          <c:val>
            <c:numRef>
              <c:f>'Multiples Trade'!$T$5:$T$255</c:f>
              <c:numCache>
                <c:formatCode>"$"0.00</c:formatCode>
                <c:ptCount val="251"/>
                <c:pt idx="0">
                  <c:v>18.420000000000002</c:v>
                </c:pt>
                <c:pt idx="1">
                  <c:v>19.18</c:v>
                </c:pt>
                <c:pt idx="2">
                  <c:v>18.73</c:v>
                </c:pt>
                <c:pt idx="3">
                  <c:v>18.8</c:v>
                </c:pt>
                <c:pt idx="4">
                  <c:v>18.41</c:v>
                </c:pt>
                <c:pt idx="5">
                  <c:v>18.600000000000001</c:v>
                </c:pt>
                <c:pt idx="6">
                  <c:v>18.55</c:v>
                </c:pt>
                <c:pt idx="7">
                  <c:v>17.454999999999998</c:v>
                </c:pt>
                <c:pt idx="8">
                  <c:v>17.77</c:v>
                </c:pt>
                <c:pt idx="9">
                  <c:v>17.88</c:v>
                </c:pt>
                <c:pt idx="10">
                  <c:v>17.55</c:v>
                </c:pt>
                <c:pt idx="11">
                  <c:v>17.329999999999998</c:v>
                </c:pt>
                <c:pt idx="12">
                  <c:v>16.850000000000001</c:v>
                </c:pt>
                <c:pt idx="13">
                  <c:v>16.78</c:v>
                </c:pt>
                <c:pt idx="14">
                  <c:v>16.59</c:v>
                </c:pt>
                <c:pt idx="15">
                  <c:v>16.489999999999998</c:v>
                </c:pt>
                <c:pt idx="16">
                  <c:v>16.23</c:v>
                </c:pt>
                <c:pt idx="17">
                  <c:v>16.18</c:v>
                </c:pt>
                <c:pt idx="18">
                  <c:v>16.29</c:v>
                </c:pt>
                <c:pt idx="19">
                  <c:v>16.5</c:v>
                </c:pt>
                <c:pt idx="20">
                  <c:v>16.96</c:v>
                </c:pt>
                <c:pt idx="21">
                  <c:v>17.38</c:v>
                </c:pt>
                <c:pt idx="22">
                  <c:v>16.27</c:v>
                </c:pt>
                <c:pt idx="23">
                  <c:v>16.63</c:v>
                </c:pt>
                <c:pt idx="24">
                  <c:v>16.82</c:v>
                </c:pt>
                <c:pt idx="25">
                  <c:v>16.350000000000001</c:v>
                </c:pt>
                <c:pt idx="26">
                  <c:v>16.25</c:v>
                </c:pt>
                <c:pt idx="27">
                  <c:v>16.55</c:v>
                </c:pt>
                <c:pt idx="28">
                  <c:v>16.36</c:v>
                </c:pt>
                <c:pt idx="29">
                  <c:v>16.41</c:v>
                </c:pt>
                <c:pt idx="30">
                  <c:v>16.39</c:v>
                </c:pt>
                <c:pt idx="31">
                  <c:v>16.78</c:v>
                </c:pt>
                <c:pt idx="32">
                  <c:v>17.36</c:v>
                </c:pt>
                <c:pt idx="33">
                  <c:v>17.27</c:v>
                </c:pt>
                <c:pt idx="34">
                  <c:v>17.59</c:v>
                </c:pt>
                <c:pt idx="35">
                  <c:v>17.28</c:v>
                </c:pt>
                <c:pt idx="36">
                  <c:v>17.18</c:v>
                </c:pt>
                <c:pt idx="37">
                  <c:v>17.649999999999999</c:v>
                </c:pt>
                <c:pt idx="38">
                  <c:v>17.760000000000002</c:v>
                </c:pt>
                <c:pt idx="39">
                  <c:v>17.78</c:v>
                </c:pt>
                <c:pt idx="40">
                  <c:v>13.48</c:v>
                </c:pt>
                <c:pt idx="41">
                  <c:v>13.51</c:v>
                </c:pt>
                <c:pt idx="42">
                  <c:v>13.64</c:v>
                </c:pt>
                <c:pt idx="43">
                  <c:v>12.96</c:v>
                </c:pt>
                <c:pt idx="44">
                  <c:v>12.6</c:v>
                </c:pt>
                <c:pt idx="45">
                  <c:v>12.74</c:v>
                </c:pt>
                <c:pt idx="46">
                  <c:v>13.1</c:v>
                </c:pt>
                <c:pt idx="47">
                  <c:v>13.03</c:v>
                </c:pt>
                <c:pt idx="48">
                  <c:v>12.79</c:v>
                </c:pt>
                <c:pt idx="49">
                  <c:v>12.52</c:v>
                </c:pt>
                <c:pt idx="50">
                  <c:v>12.3</c:v>
                </c:pt>
                <c:pt idx="51">
                  <c:v>12.65</c:v>
                </c:pt>
                <c:pt idx="52">
                  <c:v>12.92</c:v>
                </c:pt>
                <c:pt idx="53">
                  <c:v>13.09</c:v>
                </c:pt>
                <c:pt idx="54">
                  <c:v>12.73</c:v>
                </c:pt>
                <c:pt idx="55">
                  <c:v>13.63</c:v>
                </c:pt>
                <c:pt idx="56">
                  <c:v>13.8</c:v>
                </c:pt>
                <c:pt idx="57">
                  <c:v>13.69</c:v>
                </c:pt>
                <c:pt idx="58">
                  <c:v>13.57</c:v>
                </c:pt>
                <c:pt idx="59">
                  <c:v>13.55</c:v>
                </c:pt>
                <c:pt idx="60">
                  <c:v>13.56</c:v>
                </c:pt>
                <c:pt idx="61">
                  <c:v>13.16</c:v>
                </c:pt>
                <c:pt idx="62">
                  <c:v>13.32</c:v>
                </c:pt>
                <c:pt idx="63">
                  <c:v>13.52</c:v>
                </c:pt>
                <c:pt idx="64">
                  <c:v>13.55</c:v>
                </c:pt>
                <c:pt idx="65">
                  <c:v>13.83</c:v>
                </c:pt>
                <c:pt idx="66">
                  <c:v>13.12</c:v>
                </c:pt>
                <c:pt idx="67">
                  <c:v>13.07</c:v>
                </c:pt>
                <c:pt idx="68">
                  <c:v>12.65</c:v>
                </c:pt>
                <c:pt idx="69">
                  <c:v>11.51</c:v>
                </c:pt>
                <c:pt idx="70">
                  <c:v>11.92</c:v>
                </c:pt>
                <c:pt idx="71">
                  <c:v>11.51</c:v>
                </c:pt>
                <c:pt idx="72">
                  <c:v>11.3</c:v>
                </c:pt>
                <c:pt idx="73">
                  <c:v>11.3</c:v>
                </c:pt>
                <c:pt idx="74">
                  <c:v>11.3</c:v>
                </c:pt>
                <c:pt idx="75">
                  <c:v>11.58</c:v>
                </c:pt>
                <c:pt idx="76">
                  <c:v>11.47</c:v>
                </c:pt>
                <c:pt idx="77">
                  <c:v>11.35</c:v>
                </c:pt>
                <c:pt idx="78">
                  <c:v>11.27</c:v>
                </c:pt>
                <c:pt idx="79">
                  <c:v>11.18</c:v>
                </c:pt>
                <c:pt idx="80">
                  <c:v>11.51</c:v>
                </c:pt>
                <c:pt idx="81">
                  <c:v>11.24</c:v>
                </c:pt>
                <c:pt idx="82">
                  <c:v>11.54</c:v>
                </c:pt>
                <c:pt idx="83">
                  <c:v>11.88</c:v>
                </c:pt>
                <c:pt idx="84">
                  <c:v>11.38</c:v>
                </c:pt>
                <c:pt idx="85">
                  <c:v>12.04</c:v>
                </c:pt>
                <c:pt idx="86">
                  <c:v>12.22</c:v>
                </c:pt>
                <c:pt idx="87">
                  <c:v>11.68</c:v>
                </c:pt>
                <c:pt idx="88">
                  <c:v>11.44</c:v>
                </c:pt>
                <c:pt idx="89">
                  <c:v>11.05</c:v>
                </c:pt>
                <c:pt idx="90">
                  <c:v>10.54</c:v>
                </c:pt>
                <c:pt idx="91">
                  <c:v>10.36</c:v>
                </c:pt>
                <c:pt idx="92">
                  <c:v>10.210000000000001</c:v>
                </c:pt>
                <c:pt idx="93">
                  <c:v>9.8800000000000008</c:v>
                </c:pt>
                <c:pt idx="94">
                  <c:v>10.06</c:v>
                </c:pt>
                <c:pt idx="95">
                  <c:v>9.91</c:v>
                </c:pt>
                <c:pt idx="96">
                  <c:v>9.7200000000000006</c:v>
                </c:pt>
                <c:pt idx="97">
                  <c:v>9.52</c:v>
                </c:pt>
                <c:pt idx="98">
                  <c:v>9.48</c:v>
                </c:pt>
                <c:pt idx="99">
                  <c:v>9.7799999999999994</c:v>
                </c:pt>
                <c:pt idx="100">
                  <c:v>9.8800000000000008</c:v>
                </c:pt>
                <c:pt idx="101">
                  <c:v>10.74</c:v>
                </c:pt>
                <c:pt idx="102">
                  <c:v>10.24</c:v>
                </c:pt>
                <c:pt idx="103">
                  <c:v>10.14</c:v>
                </c:pt>
                <c:pt idx="104">
                  <c:v>10.4</c:v>
                </c:pt>
                <c:pt idx="105">
                  <c:v>10.25</c:v>
                </c:pt>
                <c:pt idx="106">
                  <c:v>10.23</c:v>
                </c:pt>
                <c:pt idx="107">
                  <c:v>9.7799999999999994</c:v>
                </c:pt>
                <c:pt idx="108">
                  <c:v>9.7200000000000006</c:v>
                </c:pt>
                <c:pt idx="109">
                  <c:v>9.7799999999999994</c:v>
                </c:pt>
                <c:pt idx="110">
                  <c:v>9.73</c:v>
                </c:pt>
                <c:pt idx="111">
                  <c:v>9.6199999999999992</c:v>
                </c:pt>
                <c:pt idx="112">
                  <c:v>9.16</c:v>
                </c:pt>
                <c:pt idx="113">
                  <c:v>9.52</c:v>
                </c:pt>
                <c:pt idx="114">
                  <c:v>9.4700000000000006</c:v>
                </c:pt>
                <c:pt idx="115">
                  <c:v>9.89</c:v>
                </c:pt>
                <c:pt idx="116">
                  <c:v>9.81</c:v>
                </c:pt>
                <c:pt idx="117">
                  <c:v>9.7899999999999991</c:v>
                </c:pt>
                <c:pt idx="118">
                  <c:v>9.69</c:v>
                </c:pt>
                <c:pt idx="119">
                  <c:v>8.7899999999999991</c:v>
                </c:pt>
                <c:pt idx="120">
                  <c:v>8.65</c:v>
                </c:pt>
                <c:pt idx="121">
                  <c:v>8.4700000000000006</c:v>
                </c:pt>
                <c:pt idx="122">
                  <c:v>8.4499999999999993</c:v>
                </c:pt>
                <c:pt idx="123">
                  <c:v>8.41</c:v>
                </c:pt>
                <c:pt idx="124">
                  <c:v>8.49</c:v>
                </c:pt>
                <c:pt idx="125">
                  <c:v>8.5</c:v>
                </c:pt>
                <c:pt idx="126">
                  <c:v>8.27</c:v>
                </c:pt>
                <c:pt idx="127">
                  <c:v>8.2100000000000009</c:v>
                </c:pt>
                <c:pt idx="128">
                  <c:v>8.18</c:v>
                </c:pt>
                <c:pt idx="129">
                  <c:v>8.1199999999999992</c:v>
                </c:pt>
                <c:pt idx="130">
                  <c:v>8.19</c:v>
                </c:pt>
                <c:pt idx="131">
                  <c:v>8.31</c:v>
                </c:pt>
                <c:pt idx="132">
                  <c:v>8.11</c:v>
                </c:pt>
                <c:pt idx="133">
                  <c:v>8</c:v>
                </c:pt>
                <c:pt idx="134">
                  <c:v>8.07</c:v>
                </c:pt>
                <c:pt idx="135">
                  <c:v>7.9850000000000003</c:v>
                </c:pt>
                <c:pt idx="136">
                  <c:v>8.07</c:v>
                </c:pt>
                <c:pt idx="137">
                  <c:v>8.11</c:v>
                </c:pt>
                <c:pt idx="138">
                  <c:v>8.17</c:v>
                </c:pt>
                <c:pt idx="139">
                  <c:v>8.19</c:v>
                </c:pt>
                <c:pt idx="140">
                  <c:v>8.0299999999999994</c:v>
                </c:pt>
                <c:pt idx="141">
                  <c:v>8.11</c:v>
                </c:pt>
                <c:pt idx="142">
                  <c:v>8.42</c:v>
                </c:pt>
                <c:pt idx="143">
                  <c:v>8.5</c:v>
                </c:pt>
                <c:pt idx="144">
                  <c:v>8.8000000000000007</c:v>
                </c:pt>
                <c:pt idx="145">
                  <c:v>8.91</c:v>
                </c:pt>
                <c:pt idx="146">
                  <c:v>8.8699999999999992</c:v>
                </c:pt>
                <c:pt idx="147">
                  <c:v>8.73</c:v>
                </c:pt>
                <c:pt idx="148">
                  <c:v>8.2899999999999991</c:v>
                </c:pt>
                <c:pt idx="149">
                  <c:v>8.18</c:v>
                </c:pt>
                <c:pt idx="150">
                  <c:v>8.1</c:v>
                </c:pt>
                <c:pt idx="151">
                  <c:v>7.07</c:v>
                </c:pt>
                <c:pt idx="152">
                  <c:v>6.58</c:v>
                </c:pt>
                <c:pt idx="153">
                  <c:v>6.4</c:v>
                </c:pt>
                <c:pt idx="154">
                  <c:v>6.3</c:v>
                </c:pt>
                <c:pt idx="155">
                  <c:v>6.57</c:v>
                </c:pt>
                <c:pt idx="156">
                  <c:v>6.56</c:v>
                </c:pt>
                <c:pt idx="157">
                  <c:v>6.58</c:v>
                </c:pt>
                <c:pt idx="158">
                  <c:v>6.29</c:v>
                </c:pt>
                <c:pt idx="159">
                  <c:v>6.54</c:v>
                </c:pt>
                <c:pt idx="160">
                  <c:v>6.4</c:v>
                </c:pt>
                <c:pt idx="161">
                  <c:v>6.58</c:v>
                </c:pt>
                <c:pt idx="162">
                  <c:v>6.69</c:v>
                </c:pt>
                <c:pt idx="163">
                  <c:v>6.57</c:v>
                </c:pt>
                <c:pt idx="164">
                  <c:v>6.49</c:v>
                </c:pt>
                <c:pt idx="165">
                  <c:v>6.28</c:v>
                </c:pt>
                <c:pt idx="166">
                  <c:v>6.59</c:v>
                </c:pt>
                <c:pt idx="167">
                  <c:v>6.69</c:v>
                </c:pt>
                <c:pt idx="168">
                  <c:v>7.2</c:v>
                </c:pt>
                <c:pt idx="169">
                  <c:v>7.26</c:v>
                </c:pt>
                <c:pt idx="170">
                  <c:v>7.45</c:v>
                </c:pt>
                <c:pt idx="171">
                  <c:v>7.48</c:v>
                </c:pt>
                <c:pt idx="172">
                  <c:v>7.63</c:v>
                </c:pt>
                <c:pt idx="173">
                  <c:v>7.7</c:v>
                </c:pt>
                <c:pt idx="174">
                  <c:v>7.73</c:v>
                </c:pt>
                <c:pt idx="175">
                  <c:v>7.79</c:v>
                </c:pt>
                <c:pt idx="176">
                  <c:v>7.46</c:v>
                </c:pt>
                <c:pt idx="177">
                  <c:v>7.5350000000000001</c:v>
                </c:pt>
                <c:pt idx="178">
                  <c:v>7.61</c:v>
                </c:pt>
                <c:pt idx="179">
                  <c:v>7.84</c:v>
                </c:pt>
                <c:pt idx="180">
                  <c:v>7.92</c:v>
                </c:pt>
                <c:pt idx="181">
                  <c:v>8.34</c:v>
                </c:pt>
                <c:pt idx="182">
                  <c:v>8.58</c:v>
                </c:pt>
                <c:pt idx="183">
                  <c:v>8.3699999999999992</c:v>
                </c:pt>
                <c:pt idx="184">
                  <c:v>8.56</c:v>
                </c:pt>
                <c:pt idx="185">
                  <c:v>8.67</c:v>
                </c:pt>
                <c:pt idx="186">
                  <c:v>8.83</c:v>
                </c:pt>
                <c:pt idx="187">
                  <c:v>8.76</c:v>
                </c:pt>
                <c:pt idx="188">
                  <c:v>8.59</c:v>
                </c:pt>
                <c:pt idx="189">
                  <c:v>8.8699999999999992</c:v>
                </c:pt>
                <c:pt idx="190">
                  <c:v>8.9600000000000009</c:v>
                </c:pt>
                <c:pt idx="191">
                  <c:v>8.9600000000000009</c:v>
                </c:pt>
                <c:pt idx="192">
                  <c:v>8.98</c:v>
                </c:pt>
                <c:pt idx="193">
                  <c:v>9.01</c:v>
                </c:pt>
                <c:pt idx="194">
                  <c:v>8.93</c:v>
                </c:pt>
                <c:pt idx="195">
                  <c:v>8.9600000000000009</c:v>
                </c:pt>
                <c:pt idx="196">
                  <c:v>8.83</c:v>
                </c:pt>
                <c:pt idx="197">
                  <c:v>9.02</c:v>
                </c:pt>
                <c:pt idx="198">
                  <c:v>8.92</c:v>
                </c:pt>
                <c:pt idx="199">
                  <c:v>8.98</c:v>
                </c:pt>
                <c:pt idx="200">
                  <c:v>8.67</c:v>
                </c:pt>
                <c:pt idx="201">
                  <c:v>9.0500000000000007</c:v>
                </c:pt>
                <c:pt idx="202">
                  <c:v>9.33</c:v>
                </c:pt>
                <c:pt idx="203">
                  <c:v>9.1750000000000007</c:v>
                </c:pt>
                <c:pt idx="204">
                  <c:v>9.14</c:v>
                </c:pt>
                <c:pt idx="205">
                  <c:v>8.86</c:v>
                </c:pt>
                <c:pt idx="206">
                  <c:v>9.18</c:v>
                </c:pt>
                <c:pt idx="207">
                  <c:v>9.1</c:v>
                </c:pt>
                <c:pt idx="208">
                  <c:v>9.01</c:v>
                </c:pt>
                <c:pt idx="209">
                  <c:v>9.06</c:v>
                </c:pt>
                <c:pt idx="210">
                  <c:v>9.0299999999999994</c:v>
                </c:pt>
                <c:pt idx="211">
                  <c:v>9.01</c:v>
                </c:pt>
                <c:pt idx="212">
                  <c:v>9.1</c:v>
                </c:pt>
                <c:pt idx="213">
                  <c:v>8.98</c:v>
                </c:pt>
                <c:pt idx="214">
                  <c:v>8.66</c:v>
                </c:pt>
                <c:pt idx="215">
                  <c:v>8.82</c:v>
                </c:pt>
                <c:pt idx="216">
                  <c:v>8.58</c:v>
                </c:pt>
                <c:pt idx="217">
                  <c:v>9.15</c:v>
                </c:pt>
                <c:pt idx="218">
                  <c:v>9.3049999999999997</c:v>
                </c:pt>
                <c:pt idx="219">
                  <c:v>9.19</c:v>
                </c:pt>
                <c:pt idx="220">
                  <c:v>9.43</c:v>
                </c:pt>
                <c:pt idx="221">
                  <c:v>9.1750000000000007</c:v>
                </c:pt>
                <c:pt idx="222">
                  <c:v>9.5649999999999995</c:v>
                </c:pt>
                <c:pt idx="223">
                  <c:v>10.97</c:v>
                </c:pt>
                <c:pt idx="224">
                  <c:v>7.65</c:v>
                </c:pt>
                <c:pt idx="225">
                  <c:v>7.4</c:v>
                </c:pt>
                <c:pt idx="226">
                  <c:v>7.38</c:v>
                </c:pt>
                <c:pt idx="227">
                  <c:v>8.06</c:v>
                </c:pt>
                <c:pt idx="228">
                  <c:v>7.87</c:v>
                </c:pt>
                <c:pt idx="229">
                  <c:v>8.3049999999999997</c:v>
                </c:pt>
                <c:pt idx="230">
                  <c:v>8.36</c:v>
                </c:pt>
                <c:pt idx="231">
                  <c:v>8.23</c:v>
                </c:pt>
                <c:pt idx="232">
                  <c:v>8.4600000000000009</c:v>
                </c:pt>
                <c:pt idx="233">
                  <c:v>8.84</c:v>
                </c:pt>
                <c:pt idx="234">
                  <c:v>8.7799999999999994</c:v>
                </c:pt>
                <c:pt idx="235">
                  <c:v>8.75</c:v>
                </c:pt>
                <c:pt idx="236">
                  <c:v>8.59</c:v>
                </c:pt>
                <c:pt idx="237">
                  <c:v>8.42</c:v>
                </c:pt>
                <c:pt idx="238">
                  <c:v>8.4700000000000006</c:v>
                </c:pt>
                <c:pt idx="239">
                  <c:v>8.32</c:v>
                </c:pt>
                <c:pt idx="240">
                  <c:v>7.95</c:v>
                </c:pt>
                <c:pt idx="241">
                  <c:v>8.0399999999999991</c:v>
                </c:pt>
                <c:pt idx="242">
                  <c:v>8.24</c:v>
                </c:pt>
                <c:pt idx="243">
                  <c:v>8.24</c:v>
                </c:pt>
                <c:pt idx="244">
                  <c:v>8.1999999999999993</c:v>
                </c:pt>
                <c:pt idx="245">
                  <c:v>7.99</c:v>
                </c:pt>
                <c:pt idx="246">
                  <c:v>8.33</c:v>
                </c:pt>
                <c:pt idx="247">
                  <c:v>8.89</c:v>
                </c:pt>
                <c:pt idx="248">
                  <c:v>8.27</c:v>
                </c:pt>
                <c:pt idx="249">
                  <c:v>8.4700000000000006</c:v>
                </c:pt>
                <c:pt idx="250">
                  <c:v>8.44</c:v>
                </c:pt>
              </c:numCache>
            </c:numRef>
          </c:val>
          <c:smooth val="0"/>
          <c:extLst>
            <c:ext xmlns:c16="http://schemas.microsoft.com/office/drawing/2014/chart" uri="{C3380CC4-5D6E-409C-BE32-E72D297353CC}">
              <c16:uniqueId val="{00000000-FB94-43C3-AD70-CE7857863540}"/>
            </c:ext>
          </c:extLst>
        </c:ser>
        <c:dLbls>
          <c:showLegendKey val="0"/>
          <c:showVal val="0"/>
          <c:showCatName val="0"/>
          <c:showSerName val="0"/>
          <c:showPercent val="0"/>
          <c:showBubbleSize val="0"/>
        </c:dLbls>
        <c:marker val="1"/>
        <c:smooth val="0"/>
        <c:axId val="944511679"/>
        <c:axId val="944497759"/>
      </c:lineChart>
      <c:lineChart>
        <c:grouping val="standard"/>
        <c:varyColors val="0"/>
        <c:ser>
          <c:idx val="1"/>
          <c:order val="1"/>
          <c:tx>
            <c:v>TTD ($, right axis)</c:v>
          </c:tx>
          <c:spPr>
            <a:ln w="22225" cap="rnd">
              <a:solidFill>
                <a:srgbClr val="C00000"/>
              </a:solidFill>
              <a:prstDash val="solid"/>
              <a:round/>
            </a:ln>
            <a:effectLst/>
          </c:spPr>
          <c:marker>
            <c:symbol val="none"/>
          </c:marker>
          <c:cat>
            <c:numRef>
              <c:f>'Multiples Trade'!$S$5:$S$255</c:f>
              <c:numCache>
                <c:formatCode>m/d/yy</c:formatCode>
                <c:ptCount val="251"/>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pt idx="65">
                  <c:v>46204</c:v>
                </c:pt>
                <c:pt idx="66">
                  <c:v>46203</c:v>
                </c:pt>
                <c:pt idx="67">
                  <c:v>46202</c:v>
                </c:pt>
                <c:pt idx="68">
                  <c:v>46199</c:v>
                </c:pt>
                <c:pt idx="69">
                  <c:v>46198</c:v>
                </c:pt>
                <c:pt idx="70">
                  <c:v>46197</c:v>
                </c:pt>
                <c:pt idx="71">
                  <c:v>46196</c:v>
                </c:pt>
                <c:pt idx="72">
                  <c:v>46195</c:v>
                </c:pt>
                <c:pt idx="73">
                  <c:v>46191</c:v>
                </c:pt>
                <c:pt idx="74">
                  <c:v>46190</c:v>
                </c:pt>
                <c:pt idx="75">
                  <c:v>46189</c:v>
                </c:pt>
                <c:pt idx="76">
                  <c:v>46188</c:v>
                </c:pt>
                <c:pt idx="77">
                  <c:v>46185</c:v>
                </c:pt>
                <c:pt idx="78">
                  <c:v>46184</c:v>
                </c:pt>
                <c:pt idx="79">
                  <c:v>46183</c:v>
                </c:pt>
                <c:pt idx="80">
                  <c:v>46182</c:v>
                </c:pt>
                <c:pt idx="81">
                  <c:v>46181</c:v>
                </c:pt>
                <c:pt idx="82">
                  <c:v>46178</c:v>
                </c:pt>
                <c:pt idx="83">
                  <c:v>46177</c:v>
                </c:pt>
                <c:pt idx="84">
                  <c:v>46176</c:v>
                </c:pt>
                <c:pt idx="85">
                  <c:v>46175</c:v>
                </c:pt>
                <c:pt idx="86">
                  <c:v>46174</c:v>
                </c:pt>
                <c:pt idx="87">
                  <c:v>46171</c:v>
                </c:pt>
                <c:pt idx="88">
                  <c:v>46170</c:v>
                </c:pt>
                <c:pt idx="89">
                  <c:v>46169</c:v>
                </c:pt>
                <c:pt idx="90">
                  <c:v>46168</c:v>
                </c:pt>
                <c:pt idx="91">
                  <c:v>46164</c:v>
                </c:pt>
                <c:pt idx="92">
                  <c:v>46163</c:v>
                </c:pt>
                <c:pt idx="93">
                  <c:v>46162</c:v>
                </c:pt>
                <c:pt idx="94">
                  <c:v>46161</c:v>
                </c:pt>
                <c:pt idx="95">
                  <c:v>46160</c:v>
                </c:pt>
                <c:pt idx="96">
                  <c:v>46157</c:v>
                </c:pt>
                <c:pt idx="97">
                  <c:v>46156</c:v>
                </c:pt>
                <c:pt idx="98">
                  <c:v>46155</c:v>
                </c:pt>
                <c:pt idx="99">
                  <c:v>46154</c:v>
                </c:pt>
                <c:pt idx="100">
                  <c:v>46153</c:v>
                </c:pt>
                <c:pt idx="101">
                  <c:v>46150</c:v>
                </c:pt>
                <c:pt idx="102">
                  <c:v>46149</c:v>
                </c:pt>
                <c:pt idx="103">
                  <c:v>46148</c:v>
                </c:pt>
                <c:pt idx="104">
                  <c:v>46147</c:v>
                </c:pt>
                <c:pt idx="105">
                  <c:v>46146</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46118</c:v>
                </c:pt>
                <c:pt idx="126">
                  <c:v>46114</c:v>
                </c:pt>
                <c:pt idx="127">
                  <c:v>46113</c:v>
                </c:pt>
                <c:pt idx="128">
                  <c:v>46112</c:v>
                </c:pt>
                <c:pt idx="129">
                  <c:v>46111</c:v>
                </c:pt>
                <c:pt idx="130">
                  <c:v>46108</c:v>
                </c:pt>
                <c:pt idx="131">
                  <c:v>46107</c:v>
                </c:pt>
                <c:pt idx="132">
                  <c:v>46106</c:v>
                </c:pt>
                <c:pt idx="133">
                  <c:v>46105</c:v>
                </c:pt>
                <c:pt idx="134">
                  <c:v>46104</c:v>
                </c:pt>
                <c:pt idx="135">
                  <c:v>46101</c:v>
                </c:pt>
                <c:pt idx="136">
                  <c:v>46100</c:v>
                </c:pt>
                <c:pt idx="137">
                  <c:v>46099</c:v>
                </c:pt>
                <c:pt idx="138">
                  <c:v>46098</c:v>
                </c:pt>
                <c:pt idx="139">
                  <c:v>46097</c:v>
                </c:pt>
                <c:pt idx="140">
                  <c:v>46094</c:v>
                </c:pt>
                <c:pt idx="141">
                  <c:v>46093</c:v>
                </c:pt>
                <c:pt idx="142">
                  <c:v>46092</c:v>
                </c:pt>
                <c:pt idx="143">
                  <c:v>46091</c:v>
                </c:pt>
                <c:pt idx="144">
                  <c:v>46090</c:v>
                </c:pt>
                <c:pt idx="145">
                  <c:v>46087</c:v>
                </c:pt>
                <c:pt idx="146">
                  <c:v>46086</c:v>
                </c:pt>
                <c:pt idx="147">
                  <c:v>46085</c:v>
                </c:pt>
                <c:pt idx="148">
                  <c:v>46084</c:v>
                </c:pt>
                <c:pt idx="149">
                  <c:v>46083</c:v>
                </c:pt>
                <c:pt idx="150">
                  <c:v>46080</c:v>
                </c:pt>
                <c:pt idx="151">
                  <c:v>46079</c:v>
                </c:pt>
                <c:pt idx="152">
                  <c:v>46078</c:v>
                </c:pt>
                <c:pt idx="153">
                  <c:v>46077</c:v>
                </c:pt>
                <c:pt idx="154">
                  <c:v>46076</c:v>
                </c:pt>
                <c:pt idx="155">
                  <c:v>46073</c:v>
                </c:pt>
                <c:pt idx="156">
                  <c:v>46072</c:v>
                </c:pt>
                <c:pt idx="157">
                  <c:v>46071</c:v>
                </c:pt>
                <c:pt idx="158">
                  <c:v>46070</c:v>
                </c:pt>
                <c:pt idx="159">
                  <c:v>46066</c:v>
                </c:pt>
                <c:pt idx="160">
                  <c:v>46065</c:v>
                </c:pt>
                <c:pt idx="161">
                  <c:v>46064</c:v>
                </c:pt>
                <c:pt idx="162">
                  <c:v>46063</c:v>
                </c:pt>
                <c:pt idx="163">
                  <c:v>46062</c:v>
                </c:pt>
                <c:pt idx="164">
                  <c:v>46059</c:v>
                </c:pt>
                <c:pt idx="165">
                  <c:v>46058</c:v>
                </c:pt>
                <c:pt idx="166">
                  <c:v>46057</c:v>
                </c:pt>
                <c:pt idx="167">
                  <c:v>46056</c:v>
                </c:pt>
                <c:pt idx="168">
                  <c:v>46055</c:v>
                </c:pt>
                <c:pt idx="169">
                  <c:v>46052</c:v>
                </c:pt>
                <c:pt idx="170">
                  <c:v>46051</c:v>
                </c:pt>
                <c:pt idx="171">
                  <c:v>46050</c:v>
                </c:pt>
                <c:pt idx="172">
                  <c:v>46049</c:v>
                </c:pt>
                <c:pt idx="173">
                  <c:v>46048</c:v>
                </c:pt>
                <c:pt idx="174">
                  <c:v>46045</c:v>
                </c:pt>
                <c:pt idx="175">
                  <c:v>46044</c:v>
                </c:pt>
                <c:pt idx="176">
                  <c:v>46043</c:v>
                </c:pt>
                <c:pt idx="177">
                  <c:v>46042</c:v>
                </c:pt>
                <c:pt idx="178">
                  <c:v>46038</c:v>
                </c:pt>
                <c:pt idx="179">
                  <c:v>46037</c:v>
                </c:pt>
                <c:pt idx="180">
                  <c:v>46036</c:v>
                </c:pt>
                <c:pt idx="181">
                  <c:v>46035</c:v>
                </c:pt>
                <c:pt idx="182">
                  <c:v>46034</c:v>
                </c:pt>
                <c:pt idx="183">
                  <c:v>46031</c:v>
                </c:pt>
                <c:pt idx="184">
                  <c:v>46030</c:v>
                </c:pt>
                <c:pt idx="185">
                  <c:v>46029</c:v>
                </c:pt>
                <c:pt idx="186">
                  <c:v>46028</c:v>
                </c:pt>
                <c:pt idx="187">
                  <c:v>46027</c:v>
                </c:pt>
                <c:pt idx="188">
                  <c:v>46024</c:v>
                </c:pt>
                <c:pt idx="189">
                  <c:v>46022</c:v>
                </c:pt>
                <c:pt idx="190">
                  <c:v>46021</c:v>
                </c:pt>
                <c:pt idx="191">
                  <c:v>46020</c:v>
                </c:pt>
                <c:pt idx="192">
                  <c:v>46017</c:v>
                </c:pt>
                <c:pt idx="193">
                  <c:v>46015</c:v>
                </c:pt>
                <c:pt idx="194">
                  <c:v>46014</c:v>
                </c:pt>
                <c:pt idx="195">
                  <c:v>46013</c:v>
                </c:pt>
                <c:pt idx="196">
                  <c:v>46010</c:v>
                </c:pt>
                <c:pt idx="197">
                  <c:v>46009</c:v>
                </c:pt>
                <c:pt idx="198">
                  <c:v>46008</c:v>
                </c:pt>
                <c:pt idx="199">
                  <c:v>46007</c:v>
                </c:pt>
                <c:pt idx="200">
                  <c:v>46006</c:v>
                </c:pt>
                <c:pt idx="201">
                  <c:v>46003</c:v>
                </c:pt>
                <c:pt idx="202">
                  <c:v>46002</c:v>
                </c:pt>
                <c:pt idx="203">
                  <c:v>46001</c:v>
                </c:pt>
                <c:pt idx="204">
                  <c:v>46000</c:v>
                </c:pt>
                <c:pt idx="205">
                  <c:v>45999</c:v>
                </c:pt>
                <c:pt idx="206">
                  <c:v>45996</c:v>
                </c:pt>
                <c:pt idx="207">
                  <c:v>45995</c:v>
                </c:pt>
                <c:pt idx="208">
                  <c:v>45994</c:v>
                </c:pt>
                <c:pt idx="209">
                  <c:v>45993</c:v>
                </c:pt>
                <c:pt idx="210">
                  <c:v>45992</c:v>
                </c:pt>
                <c:pt idx="211">
                  <c:v>45989</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45966</c:v>
                </c:pt>
                <c:pt idx="228">
                  <c:v>45965</c:v>
                </c:pt>
                <c:pt idx="229">
                  <c:v>45964</c:v>
                </c:pt>
                <c:pt idx="230">
                  <c:v>45961</c:v>
                </c:pt>
                <c:pt idx="231">
                  <c:v>45960</c:v>
                </c:pt>
                <c:pt idx="232">
                  <c:v>45959</c:v>
                </c:pt>
                <c:pt idx="233">
                  <c:v>45958</c:v>
                </c:pt>
                <c:pt idx="234">
                  <c:v>45957</c:v>
                </c:pt>
                <c:pt idx="235">
                  <c:v>45954</c:v>
                </c:pt>
                <c:pt idx="236">
                  <c:v>45953</c:v>
                </c:pt>
                <c:pt idx="237">
                  <c:v>45952</c:v>
                </c:pt>
                <c:pt idx="238">
                  <c:v>45951</c:v>
                </c:pt>
                <c:pt idx="239">
                  <c:v>45950</c:v>
                </c:pt>
                <c:pt idx="240">
                  <c:v>45947</c:v>
                </c:pt>
                <c:pt idx="241">
                  <c:v>45946</c:v>
                </c:pt>
                <c:pt idx="242">
                  <c:v>45945</c:v>
                </c:pt>
                <c:pt idx="243">
                  <c:v>45944</c:v>
                </c:pt>
                <c:pt idx="244">
                  <c:v>45943</c:v>
                </c:pt>
                <c:pt idx="245">
                  <c:v>45940</c:v>
                </c:pt>
                <c:pt idx="246">
                  <c:v>45939</c:v>
                </c:pt>
                <c:pt idx="247">
                  <c:v>45938</c:v>
                </c:pt>
                <c:pt idx="248">
                  <c:v>45937</c:v>
                </c:pt>
                <c:pt idx="249">
                  <c:v>45936</c:v>
                </c:pt>
                <c:pt idx="250">
                  <c:v>45933</c:v>
                </c:pt>
              </c:numCache>
            </c:numRef>
          </c:cat>
          <c:val>
            <c:numRef>
              <c:f>'Multiples Trade'!$U$5:$U$255</c:f>
              <c:numCache>
                <c:formatCode>"$"0.00</c:formatCode>
                <c:ptCount val="251"/>
                <c:pt idx="0">
                  <c:v>11.95</c:v>
                </c:pt>
                <c:pt idx="1">
                  <c:v>12.1</c:v>
                </c:pt>
                <c:pt idx="2">
                  <c:v>12.17</c:v>
                </c:pt>
                <c:pt idx="3">
                  <c:v>12.05</c:v>
                </c:pt>
                <c:pt idx="4">
                  <c:v>12.34</c:v>
                </c:pt>
                <c:pt idx="5">
                  <c:v>12.6</c:v>
                </c:pt>
                <c:pt idx="6">
                  <c:v>12.63</c:v>
                </c:pt>
                <c:pt idx="7">
                  <c:v>12.68</c:v>
                </c:pt>
                <c:pt idx="8">
                  <c:v>13.18</c:v>
                </c:pt>
                <c:pt idx="9">
                  <c:v>13.88</c:v>
                </c:pt>
                <c:pt idx="10">
                  <c:v>13.92</c:v>
                </c:pt>
                <c:pt idx="11">
                  <c:v>14.26</c:v>
                </c:pt>
                <c:pt idx="12">
                  <c:v>14.49</c:v>
                </c:pt>
                <c:pt idx="13">
                  <c:v>15</c:v>
                </c:pt>
                <c:pt idx="14">
                  <c:v>14.97</c:v>
                </c:pt>
                <c:pt idx="15">
                  <c:v>14.34</c:v>
                </c:pt>
                <c:pt idx="16">
                  <c:v>13.97</c:v>
                </c:pt>
                <c:pt idx="17">
                  <c:v>13.88</c:v>
                </c:pt>
                <c:pt idx="18">
                  <c:v>14.02</c:v>
                </c:pt>
                <c:pt idx="19">
                  <c:v>14.43</c:v>
                </c:pt>
                <c:pt idx="20">
                  <c:v>15.09</c:v>
                </c:pt>
                <c:pt idx="21">
                  <c:v>14.55</c:v>
                </c:pt>
                <c:pt idx="22">
                  <c:v>13.78</c:v>
                </c:pt>
                <c:pt idx="23">
                  <c:v>13.72</c:v>
                </c:pt>
                <c:pt idx="24">
                  <c:v>13.57</c:v>
                </c:pt>
                <c:pt idx="25">
                  <c:v>13.42</c:v>
                </c:pt>
                <c:pt idx="26">
                  <c:v>13.03</c:v>
                </c:pt>
                <c:pt idx="27">
                  <c:v>13.25</c:v>
                </c:pt>
                <c:pt idx="28">
                  <c:v>13.27</c:v>
                </c:pt>
                <c:pt idx="29">
                  <c:v>13.18</c:v>
                </c:pt>
                <c:pt idx="30">
                  <c:v>13.32</c:v>
                </c:pt>
                <c:pt idx="31">
                  <c:v>13.54</c:v>
                </c:pt>
                <c:pt idx="32">
                  <c:v>13.42</c:v>
                </c:pt>
                <c:pt idx="33">
                  <c:v>13.4</c:v>
                </c:pt>
                <c:pt idx="34">
                  <c:v>14.14</c:v>
                </c:pt>
                <c:pt idx="35">
                  <c:v>14.56</c:v>
                </c:pt>
                <c:pt idx="36">
                  <c:v>13.49</c:v>
                </c:pt>
                <c:pt idx="37">
                  <c:v>13.56</c:v>
                </c:pt>
                <c:pt idx="38">
                  <c:v>13.39</c:v>
                </c:pt>
                <c:pt idx="39">
                  <c:v>13.8</c:v>
                </c:pt>
                <c:pt idx="40">
                  <c:v>17.670000000000002</c:v>
                </c:pt>
                <c:pt idx="41">
                  <c:v>18.96</c:v>
                </c:pt>
                <c:pt idx="42">
                  <c:v>19.34</c:v>
                </c:pt>
                <c:pt idx="43">
                  <c:v>18.3</c:v>
                </c:pt>
                <c:pt idx="44">
                  <c:v>18.04</c:v>
                </c:pt>
                <c:pt idx="45">
                  <c:v>18.28</c:v>
                </c:pt>
                <c:pt idx="46">
                  <c:v>19.09</c:v>
                </c:pt>
                <c:pt idx="47">
                  <c:v>18.91</c:v>
                </c:pt>
                <c:pt idx="48">
                  <c:v>17.88</c:v>
                </c:pt>
                <c:pt idx="49">
                  <c:v>17.29</c:v>
                </c:pt>
                <c:pt idx="50">
                  <c:v>16.79</c:v>
                </c:pt>
                <c:pt idx="51">
                  <c:v>17.579999999999998</c:v>
                </c:pt>
                <c:pt idx="52">
                  <c:v>18.25</c:v>
                </c:pt>
                <c:pt idx="53">
                  <c:v>18.64</c:v>
                </c:pt>
                <c:pt idx="54">
                  <c:v>18.59</c:v>
                </c:pt>
                <c:pt idx="55">
                  <c:v>19.12</c:v>
                </c:pt>
                <c:pt idx="56">
                  <c:v>19.37</c:v>
                </c:pt>
                <c:pt idx="57">
                  <c:v>18.940000000000001</c:v>
                </c:pt>
                <c:pt idx="58">
                  <c:v>19.79</c:v>
                </c:pt>
                <c:pt idx="59">
                  <c:v>19.53</c:v>
                </c:pt>
                <c:pt idx="60">
                  <c:v>19.75</c:v>
                </c:pt>
                <c:pt idx="61">
                  <c:v>19.07</c:v>
                </c:pt>
                <c:pt idx="62">
                  <c:v>19.18</c:v>
                </c:pt>
                <c:pt idx="63">
                  <c:v>19.309999999999999</c:v>
                </c:pt>
                <c:pt idx="64">
                  <c:v>19.100000000000001</c:v>
                </c:pt>
                <c:pt idx="65">
                  <c:v>19.149999999999999</c:v>
                </c:pt>
                <c:pt idx="66">
                  <c:v>18.079999999999998</c:v>
                </c:pt>
                <c:pt idx="67">
                  <c:v>18.649999999999999</c:v>
                </c:pt>
                <c:pt idx="68">
                  <c:v>18.37</c:v>
                </c:pt>
                <c:pt idx="69">
                  <c:v>17.329999999999998</c:v>
                </c:pt>
                <c:pt idx="70">
                  <c:v>17.7</c:v>
                </c:pt>
                <c:pt idx="71">
                  <c:v>17.93</c:v>
                </c:pt>
                <c:pt idx="72">
                  <c:v>18.02</c:v>
                </c:pt>
                <c:pt idx="73">
                  <c:v>18.510000000000002</c:v>
                </c:pt>
                <c:pt idx="74">
                  <c:v>18.16</c:v>
                </c:pt>
                <c:pt idx="75">
                  <c:v>18.96</c:v>
                </c:pt>
                <c:pt idx="76">
                  <c:v>19.27</c:v>
                </c:pt>
                <c:pt idx="77">
                  <c:v>19.28</c:v>
                </c:pt>
                <c:pt idx="78">
                  <c:v>18.899999999999999</c:v>
                </c:pt>
                <c:pt idx="79">
                  <c:v>19.29</c:v>
                </c:pt>
                <c:pt idx="80">
                  <c:v>19.89</c:v>
                </c:pt>
                <c:pt idx="81">
                  <c:v>19.43</c:v>
                </c:pt>
                <c:pt idx="82">
                  <c:v>19.95</c:v>
                </c:pt>
                <c:pt idx="83">
                  <c:v>21.03</c:v>
                </c:pt>
                <c:pt idx="84">
                  <c:v>20.56</c:v>
                </c:pt>
                <c:pt idx="85">
                  <c:v>21.1</c:v>
                </c:pt>
                <c:pt idx="86">
                  <c:v>23.22</c:v>
                </c:pt>
                <c:pt idx="87">
                  <c:v>21.56</c:v>
                </c:pt>
                <c:pt idx="88">
                  <c:v>21.15</c:v>
                </c:pt>
                <c:pt idx="89">
                  <c:v>22.29</c:v>
                </c:pt>
                <c:pt idx="90">
                  <c:v>22.18</c:v>
                </c:pt>
                <c:pt idx="91">
                  <c:v>22.38</c:v>
                </c:pt>
                <c:pt idx="92">
                  <c:v>21.28</c:v>
                </c:pt>
                <c:pt idx="93">
                  <c:v>21.02</c:v>
                </c:pt>
                <c:pt idx="94">
                  <c:v>21.16</c:v>
                </c:pt>
                <c:pt idx="95">
                  <c:v>22.27</c:v>
                </c:pt>
                <c:pt idx="96">
                  <c:v>21.15</c:v>
                </c:pt>
                <c:pt idx="97">
                  <c:v>20.41</c:v>
                </c:pt>
                <c:pt idx="98">
                  <c:v>20.49</c:v>
                </c:pt>
                <c:pt idx="99">
                  <c:v>21.14</c:v>
                </c:pt>
                <c:pt idx="100">
                  <c:v>21.52</c:v>
                </c:pt>
                <c:pt idx="101">
                  <c:v>23.08</c:v>
                </c:pt>
                <c:pt idx="102">
                  <c:v>23.49</c:v>
                </c:pt>
                <c:pt idx="103">
                  <c:v>24.01</c:v>
                </c:pt>
                <c:pt idx="104">
                  <c:v>24.61</c:v>
                </c:pt>
                <c:pt idx="105">
                  <c:v>24.1</c:v>
                </c:pt>
                <c:pt idx="106">
                  <c:v>24.24</c:v>
                </c:pt>
                <c:pt idx="107">
                  <c:v>23.59</c:v>
                </c:pt>
                <c:pt idx="108">
                  <c:v>24.37</c:v>
                </c:pt>
                <c:pt idx="109">
                  <c:v>23.23</c:v>
                </c:pt>
                <c:pt idx="110">
                  <c:v>23.14</c:v>
                </c:pt>
                <c:pt idx="111">
                  <c:v>23.97</c:v>
                </c:pt>
                <c:pt idx="112">
                  <c:v>22.62</c:v>
                </c:pt>
                <c:pt idx="113">
                  <c:v>23.56</c:v>
                </c:pt>
                <c:pt idx="114">
                  <c:v>23.2</c:v>
                </c:pt>
                <c:pt idx="115">
                  <c:v>24.05</c:v>
                </c:pt>
                <c:pt idx="116">
                  <c:v>22.47</c:v>
                </c:pt>
                <c:pt idx="117">
                  <c:v>22.76</c:v>
                </c:pt>
                <c:pt idx="118">
                  <c:v>22.38</c:v>
                </c:pt>
                <c:pt idx="119">
                  <c:v>21.02</c:v>
                </c:pt>
                <c:pt idx="120">
                  <c:v>21.22</c:v>
                </c:pt>
                <c:pt idx="121">
                  <c:v>20.09</c:v>
                </c:pt>
                <c:pt idx="122">
                  <c:v>20.61</c:v>
                </c:pt>
                <c:pt idx="123">
                  <c:v>20.25</c:v>
                </c:pt>
                <c:pt idx="124">
                  <c:v>20.7</c:v>
                </c:pt>
                <c:pt idx="125">
                  <c:v>22.21</c:v>
                </c:pt>
                <c:pt idx="126">
                  <c:v>22.05</c:v>
                </c:pt>
                <c:pt idx="127">
                  <c:v>21.98</c:v>
                </c:pt>
                <c:pt idx="128">
                  <c:v>22.69</c:v>
                </c:pt>
                <c:pt idx="129">
                  <c:v>22.01</c:v>
                </c:pt>
                <c:pt idx="130">
                  <c:v>21.28</c:v>
                </c:pt>
                <c:pt idx="131">
                  <c:v>21.74</c:v>
                </c:pt>
                <c:pt idx="132">
                  <c:v>21.97</c:v>
                </c:pt>
                <c:pt idx="133">
                  <c:v>22.34</c:v>
                </c:pt>
                <c:pt idx="134">
                  <c:v>23.95</c:v>
                </c:pt>
                <c:pt idx="135">
                  <c:v>24.11</c:v>
                </c:pt>
                <c:pt idx="136">
                  <c:v>23.51</c:v>
                </c:pt>
                <c:pt idx="137">
                  <c:v>23.55</c:v>
                </c:pt>
                <c:pt idx="138">
                  <c:v>25.07</c:v>
                </c:pt>
                <c:pt idx="139">
                  <c:v>27.08</c:v>
                </c:pt>
                <c:pt idx="140">
                  <c:v>27.34</c:v>
                </c:pt>
                <c:pt idx="141">
                  <c:v>26.524999999999999</c:v>
                </c:pt>
                <c:pt idx="142">
                  <c:v>27.28</c:v>
                </c:pt>
                <c:pt idx="143">
                  <c:v>27.66</c:v>
                </c:pt>
                <c:pt idx="144">
                  <c:v>28.56</c:v>
                </c:pt>
                <c:pt idx="145">
                  <c:v>29.28</c:v>
                </c:pt>
                <c:pt idx="146">
                  <c:v>29.79</c:v>
                </c:pt>
                <c:pt idx="147">
                  <c:v>25.17</c:v>
                </c:pt>
                <c:pt idx="148">
                  <c:v>25</c:v>
                </c:pt>
                <c:pt idx="149">
                  <c:v>24.32</c:v>
                </c:pt>
                <c:pt idx="150">
                  <c:v>23.82</c:v>
                </c:pt>
                <c:pt idx="151">
                  <c:v>23.95</c:v>
                </c:pt>
                <c:pt idx="152">
                  <c:v>25.16</c:v>
                </c:pt>
                <c:pt idx="153">
                  <c:v>24.94</c:v>
                </c:pt>
                <c:pt idx="154">
                  <c:v>24.17</c:v>
                </c:pt>
                <c:pt idx="155">
                  <c:v>25.1</c:v>
                </c:pt>
                <c:pt idx="156">
                  <c:v>25.24</c:v>
                </c:pt>
                <c:pt idx="157">
                  <c:v>25.5</c:v>
                </c:pt>
                <c:pt idx="158">
                  <c:v>25.26</c:v>
                </c:pt>
                <c:pt idx="159">
                  <c:v>25.81</c:v>
                </c:pt>
                <c:pt idx="160">
                  <c:v>26.14</c:v>
                </c:pt>
                <c:pt idx="161">
                  <c:v>27.23</c:v>
                </c:pt>
                <c:pt idx="162">
                  <c:v>28.13</c:v>
                </c:pt>
                <c:pt idx="163">
                  <c:v>27.04</c:v>
                </c:pt>
                <c:pt idx="164">
                  <c:v>27.04</c:v>
                </c:pt>
                <c:pt idx="165">
                  <c:v>26.24</c:v>
                </c:pt>
                <c:pt idx="166">
                  <c:v>27.27</c:v>
                </c:pt>
                <c:pt idx="167">
                  <c:v>27.18</c:v>
                </c:pt>
                <c:pt idx="168">
                  <c:v>29.75</c:v>
                </c:pt>
                <c:pt idx="169">
                  <c:v>30.33</c:v>
                </c:pt>
                <c:pt idx="170">
                  <c:v>31.25</c:v>
                </c:pt>
                <c:pt idx="171">
                  <c:v>31.87</c:v>
                </c:pt>
                <c:pt idx="172">
                  <c:v>32.19</c:v>
                </c:pt>
                <c:pt idx="173">
                  <c:v>33.81</c:v>
                </c:pt>
                <c:pt idx="174">
                  <c:v>36.549999999999997</c:v>
                </c:pt>
                <c:pt idx="175">
                  <c:v>36.82</c:v>
                </c:pt>
                <c:pt idx="176">
                  <c:v>35.33</c:v>
                </c:pt>
                <c:pt idx="177">
                  <c:v>34.15</c:v>
                </c:pt>
                <c:pt idx="178">
                  <c:v>35.479999999999997</c:v>
                </c:pt>
                <c:pt idx="179">
                  <c:v>36.229999999999997</c:v>
                </c:pt>
                <c:pt idx="180">
                  <c:v>37.130000000000003</c:v>
                </c:pt>
                <c:pt idx="181">
                  <c:v>37.14</c:v>
                </c:pt>
                <c:pt idx="182">
                  <c:v>36.9</c:v>
                </c:pt>
                <c:pt idx="183">
                  <c:v>37.29</c:v>
                </c:pt>
                <c:pt idx="184">
                  <c:v>37.299999999999997</c:v>
                </c:pt>
                <c:pt idx="185">
                  <c:v>38.65</c:v>
                </c:pt>
                <c:pt idx="186">
                  <c:v>39.74</c:v>
                </c:pt>
                <c:pt idx="187">
                  <c:v>40.11</c:v>
                </c:pt>
                <c:pt idx="188">
                  <c:v>37.68</c:v>
                </c:pt>
                <c:pt idx="189">
                  <c:v>37.96</c:v>
                </c:pt>
                <c:pt idx="190">
                  <c:v>38.119999999999997</c:v>
                </c:pt>
                <c:pt idx="191">
                  <c:v>38.39</c:v>
                </c:pt>
                <c:pt idx="192">
                  <c:v>38.31</c:v>
                </c:pt>
                <c:pt idx="193">
                  <c:v>38.119999999999997</c:v>
                </c:pt>
                <c:pt idx="194">
                  <c:v>37.44</c:v>
                </c:pt>
                <c:pt idx="195">
                  <c:v>37.29</c:v>
                </c:pt>
                <c:pt idx="196">
                  <c:v>37.26</c:v>
                </c:pt>
                <c:pt idx="197">
                  <c:v>37.29</c:v>
                </c:pt>
                <c:pt idx="198">
                  <c:v>37.17</c:v>
                </c:pt>
                <c:pt idx="199">
                  <c:v>36.64</c:v>
                </c:pt>
                <c:pt idx="200">
                  <c:v>36.19</c:v>
                </c:pt>
                <c:pt idx="201">
                  <c:v>36.65</c:v>
                </c:pt>
                <c:pt idx="202">
                  <c:v>37.020000000000003</c:v>
                </c:pt>
                <c:pt idx="203">
                  <c:v>39.22</c:v>
                </c:pt>
                <c:pt idx="204">
                  <c:v>39.4</c:v>
                </c:pt>
                <c:pt idx="205">
                  <c:v>39.35</c:v>
                </c:pt>
                <c:pt idx="206">
                  <c:v>40.049999999999997</c:v>
                </c:pt>
                <c:pt idx="207">
                  <c:v>39.35</c:v>
                </c:pt>
                <c:pt idx="208">
                  <c:v>38.61</c:v>
                </c:pt>
                <c:pt idx="209">
                  <c:v>39.950000000000003</c:v>
                </c:pt>
                <c:pt idx="210">
                  <c:v>39.58</c:v>
                </c:pt>
                <c:pt idx="211">
                  <c:v>39.56</c:v>
                </c:pt>
                <c:pt idx="212">
                  <c:v>39.11</c:v>
                </c:pt>
                <c:pt idx="213">
                  <c:v>39.090000000000003</c:v>
                </c:pt>
                <c:pt idx="214">
                  <c:v>39.06</c:v>
                </c:pt>
                <c:pt idx="215">
                  <c:v>39.65</c:v>
                </c:pt>
                <c:pt idx="216">
                  <c:v>38.35</c:v>
                </c:pt>
                <c:pt idx="217">
                  <c:v>40.19</c:v>
                </c:pt>
                <c:pt idx="218">
                  <c:v>40.47</c:v>
                </c:pt>
                <c:pt idx="219">
                  <c:v>40.21</c:v>
                </c:pt>
                <c:pt idx="220">
                  <c:v>41.93</c:v>
                </c:pt>
                <c:pt idx="221">
                  <c:v>42.87</c:v>
                </c:pt>
                <c:pt idx="222">
                  <c:v>43.79</c:v>
                </c:pt>
                <c:pt idx="223">
                  <c:v>44.2</c:v>
                </c:pt>
                <c:pt idx="224">
                  <c:v>43.26</c:v>
                </c:pt>
                <c:pt idx="225">
                  <c:v>43</c:v>
                </c:pt>
                <c:pt idx="226">
                  <c:v>45.9</c:v>
                </c:pt>
                <c:pt idx="227">
                  <c:v>47.7</c:v>
                </c:pt>
                <c:pt idx="228">
                  <c:v>47.24</c:v>
                </c:pt>
                <c:pt idx="229">
                  <c:v>49.12</c:v>
                </c:pt>
                <c:pt idx="230">
                  <c:v>50.28</c:v>
                </c:pt>
                <c:pt idx="231">
                  <c:v>48.97</c:v>
                </c:pt>
                <c:pt idx="232">
                  <c:v>49.96</c:v>
                </c:pt>
                <c:pt idx="233">
                  <c:v>51.67</c:v>
                </c:pt>
                <c:pt idx="234">
                  <c:v>53.61</c:v>
                </c:pt>
                <c:pt idx="235">
                  <c:v>52</c:v>
                </c:pt>
                <c:pt idx="236">
                  <c:v>54.13</c:v>
                </c:pt>
                <c:pt idx="237">
                  <c:v>53.89</c:v>
                </c:pt>
                <c:pt idx="238">
                  <c:v>53.92</c:v>
                </c:pt>
                <c:pt idx="239">
                  <c:v>52.494999999999997</c:v>
                </c:pt>
                <c:pt idx="240">
                  <c:v>49.98</c:v>
                </c:pt>
                <c:pt idx="241">
                  <c:v>49.9</c:v>
                </c:pt>
                <c:pt idx="242">
                  <c:v>51.1</c:v>
                </c:pt>
                <c:pt idx="243">
                  <c:v>50.73</c:v>
                </c:pt>
                <c:pt idx="244">
                  <c:v>51.274999999999999</c:v>
                </c:pt>
                <c:pt idx="245">
                  <c:v>52.36</c:v>
                </c:pt>
                <c:pt idx="246">
                  <c:v>54.09</c:v>
                </c:pt>
                <c:pt idx="247">
                  <c:v>54.07</c:v>
                </c:pt>
                <c:pt idx="248">
                  <c:v>53.49</c:v>
                </c:pt>
                <c:pt idx="249">
                  <c:v>53.14</c:v>
                </c:pt>
                <c:pt idx="250">
                  <c:v>51.55</c:v>
                </c:pt>
              </c:numCache>
            </c:numRef>
          </c:val>
          <c:smooth val="0"/>
          <c:extLst>
            <c:ext xmlns:c16="http://schemas.microsoft.com/office/drawing/2014/chart" uri="{C3380CC4-5D6E-409C-BE32-E72D297353CC}">
              <c16:uniqueId val="{00000001-FB94-43C3-AD70-CE7857863540}"/>
            </c:ext>
          </c:extLst>
        </c:ser>
        <c:dLbls>
          <c:showLegendKey val="0"/>
          <c:showVal val="0"/>
          <c:showCatName val="0"/>
          <c:showSerName val="0"/>
          <c:showPercent val="0"/>
          <c:showBubbleSize val="0"/>
        </c:dLbls>
        <c:marker val="1"/>
        <c:smooth val="0"/>
        <c:axId val="944534239"/>
        <c:axId val="944533759"/>
      </c:lineChart>
      <c:dateAx>
        <c:axId val="944511679"/>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497759"/>
        <c:crosses val="autoZero"/>
        <c:auto val="0"/>
        <c:lblOffset val="100"/>
        <c:baseTimeUnit val="days"/>
        <c:majorUnit val="1"/>
        <c:majorTimeUnit val="months"/>
      </c:dateAx>
      <c:valAx>
        <c:axId val="944497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PUBM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11679"/>
        <c:crosses val="autoZero"/>
        <c:crossBetween val="between"/>
      </c:valAx>
      <c:valAx>
        <c:axId val="94453375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TTD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34239"/>
        <c:crosses val="max"/>
        <c:crossBetween val="between"/>
      </c:valAx>
      <c:dateAx>
        <c:axId val="944534239"/>
        <c:scaling>
          <c:orientation val="minMax"/>
        </c:scaling>
        <c:delete val="1"/>
        <c:axPos val="b"/>
        <c:numFmt formatCode="m/d/yy" sourceLinked="1"/>
        <c:majorTickMark val="out"/>
        <c:minorTickMark val="none"/>
        <c:tickLblPos val="nextTo"/>
        <c:crossAx val="944533759"/>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'Multiples Trade'!$AG$7</c:f>
          <c:strCache>
            <c:ptCount val="1"/>
            <c:pt idx="0">
              <c:v>EV / LTM Revenue, last 3 months (7/2/26 – 10/2/26)</c:v>
            </c:pt>
          </c:strCache>
        </c:strRef>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v>PUBM earnings</c:v>
          </c:tx>
          <c:spPr>
            <a:solidFill>
              <a:srgbClr val="1F3864"/>
            </a:solidFill>
            <a:ln w="25400">
              <a:noFill/>
            </a:ln>
            <a:effectLst/>
          </c:spPr>
          <c:invertIfNegative val="0"/>
          <c:cat>
            <c:numRef>
              <c:f>'Multiples Trade'!$S$5:$S$69</c:f>
              <c:numCache>
                <c:formatCode>m/d/yy</c:formatCode>
                <c:ptCount val="65"/>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numCache>
            </c:numRef>
          </c:cat>
          <c:val>
            <c:numRef>
              <c:f>'Multiples Trade'!$AI$5:$AI$69</c:f>
              <c:numCache>
                <c:formatCode>0.0\x</c:formatCode>
                <c:ptCount val="6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1.7085099908011316</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numCache>
            </c:numRef>
          </c:val>
          <c:extLst>
            <c:ext xmlns:c16="http://schemas.microsoft.com/office/drawing/2014/chart" uri="{C3380CC4-5D6E-409C-BE32-E72D297353CC}">
              <c16:uniqueId val="{00000002-14AA-4583-9C41-71C346736576}"/>
            </c:ext>
          </c:extLst>
        </c:ser>
        <c:ser>
          <c:idx val="3"/>
          <c:order val="3"/>
          <c:tx>
            <c:v>TTD earnings</c:v>
          </c:tx>
          <c:spPr>
            <a:solidFill>
              <a:srgbClr val="C00000"/>
            </a:solidFill>
            <a:ln w="25400">
              <a:noFill/>
            </a:ln>
            <a:effectLst/>
          </c:spPr>
          <c:invertIfNegative val="0"/>
          <c:cat>
            <c:numRef>
              <c:f>'Multiples Trade'!$S$5:$S$69</c:f>
              <c:numCache>
                <c:formatCode>m/d/yy</c:formatCode>
                <c:ptCount val="65"/>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numCache>
            </c:numRef>
          </c:cat>
          <c:val>
            <c:numRef>
              <c:f>'Multiples Trade'!$AJ$5:$AJ$69</c:f>
              <c:numCache>
                <c:formatCode>0.0\x</c:formatCode>
                <c:ptCount val="6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2.4209019556705282</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numCache>
            </c:numRef>
          </c:val>
          <c:extLst>
            <c:ext xmlns:c16="http://schemas.microsoft.com/office/drawing/2014/chart" uri="{C3380CC4-5D6E-409C-BE32-E72D297353CC}">
              <c16:uniqueId val="{00000003-14AA-4583-9C41-71C346736576}"/>
            </c:ext>
          </c:extLst>
        </c:ser>
        <c:dLbls>
          <c:showLegendKey val="0"/>
          <c:showVal val="0"/>
          <c:showCatName val="0"/>
          <c:showSerName val="0"/>
          <c:showPercent val="0"/>
          <c:showBubbleSize val="0"/>
        </c:dLbls>
        <c:gapWidth val="500"/>
        <c:axId val="944515999"/>
        <c:axId val="944514079"/>
      </c:barChart>
      <c:lineChart>
        <c:grouping val="standard"/>
        <c:varyColors val="0"/>
        <c:ser>
          <c:idx val="0"/>
          <c:order val="0"/>
          <c:tx>
            <c:v>PUBM</c:v>
          </c:tx>
          <c:spPr>
            <a:ln w="22225" cap="rnd">
              <a:solidFill>
                <a:srgbClr val="1F3864"/>
              </a:solidFill>
              <a:prstDash val="solid"/>
              <a:round/>
            </a:ln>
            <a:effectLst/>
          </c:spPr>
          <c:marker>
            <c:symbol val="none"/>
          </c:marker>
          <c:cat>
            <c:numRef>
              <c:f>'Multiples Trade'!$S$5:$S$69</c:f>
              <c:numCache>
                <c:formatCode>m/d/yy</c:formatCode>
                <c:ptCount val="65"/>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numCache>
            </c:numRef>
          </c:cat>
          <c:val>
            <c:numRef>
              <c:f>'Multiples Trade'!$Z$5:$Z$69</c:f>
              <c:numCache>
                <c:formatCode>0.0\x;\(0.0\x\)</c:formatCode>
                <c:ptCount val="65"/>
                <c:pt idx="0">
                  <c:v>2.486668557160939</c:v>
                </c:pt>
                <c:pt idx="1">
                  <c:v>2.6063852596778316</c:v>
                </c:pt>
                <c:pt idx="2">
                  <c:v>2.5355003700296717</c:v>
                </c:pt>
                <c:pt idx="3">
                  <c:v>2.5465269084193856</c:v>
                </c:pt>
                <c:pt idx="4">
                  <c:v>2.4850933373909792</c:v>
                </c:pt>
                <c:pt idx="5">
                  <c:v>2.5150225130202029</c:v>
                </c:pt>
                <c:pt idx="6">
                  <c:v>2.5071464141704074</c:v>
                </c:pt>
                <c:pt idx="7">
                  <c:v>2.3346598493598827</c:v>
                </c:pt>
                <c:pt idx="8">
                  <c:v>2.384279272113595</c:v>
                </c:pt>
                <c:pt idx="9">
                  <c:v>2.4016066895831458</c:v>
                </c:pt>
                <c:pt idx="10">
                  <c:v>2.3496244371744948</c:v>
                </c:pt>
                <c:pt idx="11">
                  <c:v>2.3149696022353936</c:v>
                </c:pt>
                <c:pt idx="12">
                  <c:v>2.2393590532773562</c:v>
                </c:pt>
                <c:pt idx="13">
                  <c:v>2.2283325148876423</c:v>
                </c:pt>
                <c:pt idx="14">
                  <c:v>2.198403339258419</c:v>
                </c:pt>
                <c:pt idx="15">
                  <c:v>2.1826511415588272</c:v>
                </c:pt>
                <c:pt idx="16">
                  <c:v>2.1416954275398905</c:v>
                </c:pt>
                <c:pt idx="17">
                  <c:v>2.1338193286900946</c:v>
                </c:pt>
                <c:pt idx="18">
                  <c:v>2.151146746159645</c:v>
                </c:pt>
                <c:pt idx="19">
                  <c:v>2.1842263613287867</c:v>
                </c:pt>
                <c:pt idx="20">
                  <c:v>2.2566864707469065</c:v>
                </c:pt>
                <c:pt idx="21">
                  <c:v>2.3228457010851895</c:v>
                </c:pt>
                <c:pt idx="22">
                  <c:v>2.147996306619727</c:v>
                </c:pt>
                <c:pt idx="23">
                  <c:v>2.204704218338255</c:v>
                </c:pt>
                <c:pt idx="24">
                  <c:v>2.2346333939674787</c:v>
                </c:pt>
                <c:pt idx="25">
                  <c:v>2.1605980647794003</c:v>
                </c:pt>
                <c:pt idx="26">
                  <c:v>2.144845867079809</c:v>
                </c:pt>
                <c:pt idx="27">
                  <c:v>2.1921024601785826</c:v>
                </c:pt>
                <c:pt idx="28">
                  <c:v>2.1621732845493593</c:v>
                </c:pt>
                <c:pt idx="29">
                  <c:v>2.1700493833991548</c:v>
                </c:pt>
                <c:pt idx="30">
                  <c:v>2.1668989438592368</c:v>
                </c:pt>
                <c:pt idx="31">
                  <c:v>2.2283325148876423</c:v>
                </c:pt>
                <c:pt idx="32">
                  <c:v>2.3196952615452711</c:v>
                </c:pt>
                <c:pt idx="33">
                  <c:v>2.3055182836156392</c:v>
                </c:pt>
                <c:pt idx="34">
                  <c:v>2.3559253162543312</c:v>
                </c:pt>
                <c:pt idx="35">
                  <c:v>2.3070935033855986</c:v>
                </c:pt>
                <c:pt idx="36">
                  <c:v>2.2913413056860072</c:v>
                </c:pt>
                <c:pt idx="37">
                  <c:v>2.3653766348740857</c:v>
                </c:pt>
                <c:pt idx="38">
                  <c:v>2.3827040523436369</c:v>
                </c:pt>
                <c:pt idx="39">
                  <c:v>2.3858544918835549</c:v>
                </c:pt>
                <c:pt idx="40">
                  <c:v>1.7085099908011316</c:v>
                </c:pt>
                <c:pt idx="41">
                  <c:v>1.7132356501110089</c:v>
                </c:pt>
                <c:pt idx="42">
                  <c:v>1.7337135071204774</c:v>
                </c:pt>
                <c:pt idx="43">
                  <c:v>1.6265985627632571</c:v>
                </c:pt>
                <c:pt idx="44">
                  <c:v>1.5698906510447286</c:v>
                </c:pt>
                <c:pt idx="45">
                  <c:v>1.5919437278241564</c:v>
                </c:pt>
                <c:pt idx="46">
                  <c:v>1.6486516395426845</c:v>
                </c:pt>
                <c:pt idx="47">
                  <c:v>1.637625101152971</c:v>
                </c:pt>
                <c:pt idx="48">
                  <c:v>1.5998198266739516</c:v>
                </c:pt>
                <c:pt idx="49">
                  <c:v>1.5572888928850557</c:v>
                </c:pt>
                <c:pt idx="50">
                  <c:v>1.522634057945955</c:v>
                </c:pt>
                <c:pt idx="51">
                  <c:v>1.5777667498945243</c:v>
                </c:pt>
                <c:pt idx="52">
                  <c:v>1.6202976836834206</c:v>
                </c:pt>
                <c:pt idx="53">
                  <c:v>1.6470764197727257</c:v>
                </c:pt>
                <c:pt idx="54">
                  <c:v>1.5903685080541972</c:v>
                </c:pt>
                <c:pt idx="55">
                  <c:v>1.7321382873505184</c:v>
                </c:pt>
                <c:pt idx="56">
                  <c:v>1.7589170234398235</c:v>
                </c:pt>
                <c:pt idx="57">
                  <c:v>1.7415896059702727</c:v>
                </c:pt>
                <c:pt idx="58">
                  <c:v>1.7226869687307633</c:v>
                </c:pt>
                <c:pt idx="59">
                  <c:v>1.7195365291908453</c:v>
                </c:pt>
                <c:pt idx="60">
                  <c:v>1.7211117489608045</c:v>
                </c:pt>
                <c:pt idx="61">
                  <c:v>1.6581029581624396</c:v>
                </c:pt>
                <c:pt idx="62">
                  <c:v>1.6833064744817856</c:v>
                </c:pt>
                <c:pt idx="63">
                  <c:v>1.7148108698809676</c:v>
                </c:pt>
                <c:pt idx="64">
                  <c:v>1.7195365291908453</c:v>
                </c:pt>
              </c:numCache>
            </c:numRef>
          </c:val>
          <c:smooth val="0"/>
          <c:extLst>
            <c:ext xmlns:c16="http://schemas.microsoft.com/office/drawing/2014/chart" uri="{C3380CC4-5D6E-409C-BE32-E72D297353CC}">
              <c16:uniqueId val="{00000000-14AA-4583-9C41-71C346736576}"/>
            </c:ext>
          </c:extLst>
        </c:ser>
        <c:ser>
          <c:idx val="1"/>
          <c:order val="1"/>
          <c:tx>
            <c:v>TTD</c:v>
          </c:tx>
          <c:spPr>
            <a:ln w="22225" cap="rnd">
              <a:solidFill>
                <a:srgbClr val="C00000"/>
              </a:solidFill>
              <a:prstDash val="solid"/>
              <a:round/>
            </a:ln>
            <a:effectLst/>
          </c:spPr>
          <c:marker>
            <c:symbol val="none"/>
          </c:marker>
          <c:cat>
            <c:numRef>
              <c:f>'Multiples Trade'!$S$5:$S$69</c:f>
              <c:numCache>
                <c:formatCode>m/d/yy</c:formatCode>
                <c:ptCount val="65"/>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numCache>
            </c:numRef>
          </c:cat>
          <c:val>
            <c:numRef>
              <c:f>'Multiples Trade'!$AA$5:$AA$69</c:f>
              <c:numCache>
                <c:formatCode>0.0\x;\(0.0\x\)</c:formatCode>
                <c:ptCount val="65"/>
                <c:pt idx="0">
                  <c:v>1.4677668561600625</c:v>
                </c:pt>
                <c:pt idx="1">
                  <c:v>1.4927616577206517</c:v>
                </c:pt>
                <c:pt idx="2">
                  <c:v>1.5044258984489267</c:v>
                </c:pt>
                <c:pt idx="3">
                  <c:v>1.4844300572004556</c:v>
                </c:pt>
                <c:pt idx="4">
                  <c:v>1.5327533402175944</c:v>
                </c:pt>
                <c:pt idx="5">
                  <c:v>1.5760776629226154</c:v>
                </c:pt>
                <c:pt idx="6">
                  <c:v>1.5810766232347337</c:v>
                </c:pt>
                <c:pt idx="7">
                  <c:v>1.5894082237549296</c:v>
                </c:pt>
                <c:pt idx="8">
                  <c:v>1.6727242289568935</c:v>
                </c:pt>
                <c:pt idx="9">
                  <c:v>1.7893666362396432</c:v>
                </c:pt>
                <c:pt idx="10">
                  <c:v>1.7960319166557999</c:v>
                </c:pt>
                <c:pt idx="11">
                  <c:v>1.8526868001931351</c:v>
                </c:pt>
                <c:pt idx="12">
                  <c:v>1.8910121625860385</c:v>
                </c:pt>
                <c:pt idx="13">
                  <c:v>1.9759944878920417</c:v>
                </c:pt>
                <c:pt idx="14">
                  <c:v>1.970995527579924</c:v>
                </c:pt>
                <c:pt idx="15">
                  <c:v>1.8660173610254494</c:v>
                </c:pt>
                <c:pt idx="16">
                  <c:v>1.8043635171759966</c:v>
                </c:pt>
                <c:pt idx="17">
                  <c:v>1.7893666362396432</c:v>
                </c:pt>
                <c:pt idx="18">
                  <c:v>1.8126951176961927</c:v>
                </c:pt>
                <c:pt idx="19">
                  <c:v>1.881014241961803</c:v>
                </c:pt>
                <c:pt idx="20">
                  <c:v>1.9909913688283951</c:v>
                </c:pt>
                <c:pt idx="21">
                  <c:v>1.9010100832102745</c:v>
                </c:pt>
                <c:pt idx="22">
                  <c:v>1.7727034351992501</c:v>
                </c:pt>
                <c:pt idx="23">
                  <c:v>1.7627055145750148</c:v>
                </c:pt>
                <c:pt idx="24">
                  <c:v>1.7377107130144256</c:v>
                </c:pt>
                <c:pt idx="25">
                  <c:v>1.7127159114538364</c:v>
                </c:pt>
                <c:pt idx="26">
                  <c:v>1.6477294273963043</c:v>
                </c:pt>
                <c:pt idx="27">
                  <c:v>1.6843884696851683</c:v>
                </c:pt>
                <c:pt idx="28">
                  <c:v>1.687721109893247</c:v>
                </c:pt>
                <c:pt idx="29">
                  <c:v>1.6727242289568935</c:v>
                </c:pt>
                <c:pt idx="30">
                  <c:v>1.6960527104134433</c:v>
                </c:pt>
                <c:pt idx="31">
                  <c:v>1.7327117527023075</c:v>
                </c:pt>
                <c:pt idx="32">
                  <c:v>1.7127159114538364</c:v>
                </c:pt>
                <c:pt idx="33">
                  <c:v>1.7093832712457575</c:v>
                </c:pt>
                <c:pt idx="34">
                  <c:v>1.8326909589446643</c:v>
                </c:pt>
                <c:pt idx="35">
                  <c:v>1.9026764033143138</c:v>
                </c:pt>
                <c:pt idx="36">
                  <c:v>1.7243801521821109</c:v>
                </c:pt>
                <c:pt idx="37">
                  <c:v>1.7360443929103864</c:v>
                </c:pt>
                <c:pt idx="38">
                  <c:v>1.7077169511417183</c:v>
                </c:pt>
                <c:pt idx="39">
                  <c:v>1.7760360754073286</c:v>
                </c:pt>
                <c:pt idx="40">
                  <c:v>2.4209019556705282</c:v>
                </c:pt>
                <c:pt idx="41">
                  <c:v>2.6358572490915946</c:v>
                </c:pt>
                <c:pt idx="42">
                  <c:v>2.6991774130450872</c:v>
                </c:pt>
                <c:pt idx="43">
                  <c:v>2.5258801222250025</c:v>
                </c:pt>
                <c:pt idx="44">
                  <c:v>2.4825557995199814</c:v>
                </c:pt>
                <c:pt idx="45">
                  <c:v>2.5225474820169245</c:v>
                </c:pt>
                <c:pt idx="46">
                  <c:v>2.6575194104441051</c:v>
                </c:pt>
                <c:pt idx="47">
                  <c:v>2.6275256485713991</c:v>
                </c:pt>
                <c:pt idx="48">
                  <c:v>2.4558946778553525</c:v>
                </c:pt>
                <c:pt idx="49">
                  <c:v>2.3575817917170356</c:v>
                </c:pt>
                <c:pt idx="50">
                  <c:v>2.2742657865150719</c:v>
                </c:pt>
                <c:pt idx="51">
                  <c:v>2.4059050747341746</c:v>
                </c:pt>
                <c:pt idx="52">
                  <c:v>2.5175485217048061</c:v>
                </c:pt>
                <c:pt idx="53">
                  <c:v>2.5825350057623377</c:v>
                </c:pt>
                <c:pt idx="54">
                  <c:v>2.5742034052421414</c:v>
                </c:pt>
                <c:pt idx="55">
                  <c:v>2.6625183707562239</c:v>
                </c:pt>
                <c:pt idx="56">
                  <c:v>2.7041763733572051</c:v>
                </c:pt>
                <c:pt idx="57">
                  <c:v>2.6325246088835161</c:v>
                </c:pt>
                <c:pt idx="58">
                  <c:v>2.7741618177268546</c:v>
                </c:pt>
                <c:pt idx="59">
                  <c:v>2.7308374950218339</c:v>
                </c:pt>
                <c:pt idx="60">
                  <c:v>2.7674965373106981</c:v>
                </c:pt>
                <c:pt idx="61">
                  <c:v>2.6541867702360267</c:v>
                </c:pt>
                <c:pt idx="62">
                  <c:v>2.6725162913804588</c:v>
                </c:pt>
                <c:pt idx="63">
                  <c:v>2.6941784527329693</c:v>
                </c:pt>
                <c:pt idx="64">
                  <c:v>2.6591857305481454</c:v>
                </c:pt>
              </c:numCache>
            </c:numRef>
          </c:val>
          <c:smooth val="0"/>
          <c:extLst>
            <c:ext xmlns:c16="http://schemas.microsoft.com/office/drawing/2014/chart" uri="{C3380CC4-5D6E-409C-BE32-E72D297353CC}">
              <c16:uniqueId val="{00000001-14AA-4583-9C41-71C346736576}"/>
            </c:ext>
          </c:extLst>
        </c:ser>
        <c:dLbls>
          <c:showLegendKey val="0"/>
          <c:showVal val="0"/>
          <c:showCatName val="0"/>
          <c:showSerName val="0"/>
          <c:showPercent val="0"/>
          <c:showBubbleSize val="0"/>
        </c:dLbls>
        <c:marker val="1"/>
        <c:smooth val="0"/>
        <c:axId val="944515999"/>
        <c:axId val="944514079"/>
      </c:lineChart>
      <c:dateAx>
        <c:axId val="944515999"/>
        <c:scaling>
          <c:orientation val="minMax"/>
        </c:scaling>
        <c:delete val="0"/>
        <c:axPos val="b"/>
        <c:numFmt formatCode="m/d"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14079"/>
        <c:crosses val="autoZero"/>
        <c:auto val="0"/>
        <c:lblOffset val="100"/>
        <c:baseTimeUnit val="days"/>
        <c:majorUnit val="14"/>
        <c:majorTimeUnit val="days"/>
      </c:dateAx>
      <c:valAx>
        <c:axId val="944514079"/>
        <c:scaling>
          <c:orientation val="minMax"/>
        </c:scaling>
        <c:delete val="0"/>
        <c:axPos val="l"/>
        <c:majorGridlines>
          <c:spPr>
            <a:ln w="9525" cap="flat" cmpd="sng" algn="ctr">
              <a:solidFill>
                <a:schemeClr val="tx1">
                  <a:lumMod val="15000"/>
                  <a:lumOff val="85000"/>
                </a:schemeClr>
              </a:solidFill>
              <a:round/>
            </a:ln>
            <a:effectLst/>
          </c:spPr>
        </c:majorGridlines>
        <c:numFmt formatCode="0.0\x"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15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'Multiples Trade'!$AG$8</c:f>
          <c:strCache>
            <c:ptCount val="1"/>
            <c:pt idx="0">
              <c:v>EV / LTM Adj. EBITDA, last 3 months (7/2/26 – 10/2/26)</c:v>
            </c:pt>
          </c:strCache>
        </c:strRef>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v>PUBM earnings</c:v>
          </c:tx>
          <c:spPr>
            <a:solidFill>
              <a:srgbClr val="1F3864"/>
            </a:solidFill>
            <a:ln w="25400">
              <a:noFill/>
            </a:ln>
            <a:effectLst/>
          </c:spPr>
          <c:invertIfNegative val="0"/>
          <c:cat>
            <c:numRef>
              <c:f>'Multiples Trade'!$S$5:$S$69</c:f>
              <c:numCache>
                <c:formatCode>m/d/yy</c:formatCode>
                <c:ptCount val="65"/>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numCache>
            </c:numRef>
          </c:cat>
          <c:val>
            <c:numRef>
              <c:f>'Multiples Trade'!$AK$5:$AK$69</c:f>
              <c:numCache>
                <c:formatCode>0.0\x</c:formatCode>
                <c:ptCount val="6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8.0760290319416743</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numCache>
            </c:numRef>
          </c:val>
          <c:extLst>
            <c:ext xmlns:c16="http://schemas.microsoft.com/office/drawing/2014/chart" uri="{C3380CC4-5D6E-409C-BE32-E72D297353CC}">
              <c16:uniqueId val="{00000002-E330-42A6-A185-B885FDE28166}"/>
            </c:ext>
          </c:extLst>
        </c:ser>
        <c:ser>
          <c:idx val="3"/>
          <c:order val="3"/>
          <c:tx>
            <c:v>TTD earnings</c:v>
          </c:tx>
          <c:spPr>
            <a:solidFill>
              <a:srgbClr val="C00000"/>
            </a:solidFill>
            <a:ln w="25400">
              <a:noFill/>
            </a:ln>
            <a:effectLst/>
          </c:spPr>
          <c:invertIfNegative val="0"/>
          <c:cat>
            <c:numRef>
              <c:f>'Multiples Trade'!$S$5:$S$69</c:f>
              <c:numCache>
                <c:formatCode>m/d/yy</c:formatCode>
                <c:ptCount val="65"/>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numCache>
            </c:numRef>
          </c:cat>
          <c:val>
            <c:numRef>
              <c:f>'Multiples Trade'!$AL$5:$AL$69</c:f>
              <c:numCache>
                <c:formatCode>0.0\x</c:formatCode>
                <c:ptCount val="6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11.715518829308227</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numCache>
            </c:numRef>
          </c:val>
          <c:extLst>
            <c:ext xmlns:c16="http://schemas.microsoft.com/office/drawing/2014/chart" uri="{C3380CC4-5D6E-409C-BE32-E72D297353CC}">
              <c16:uniqueId val="{00000003-E330-42A6-A185-B885FDE28166}"/>
            </c:ext>
          </c:extLst>
        </c:ser>
        <c:dLbls>
          <c:showLegendKey val="0"/>
          <c:showVal val="0"/>
          <c:showCatName val="0"/>
          <c:showSerName val="0"/>
          <c:showPercent val="0"/>
          <c:showBubbleSize val="0"/>
        </c:dLbls>
        <c:gapWidth val="500"/>
        <c:axId val="944541919"/>
        <c:axId val="944534719"/>
      </c:barChart>
      <c:lineChart>
        <c:grouping val="standard"/>
        <c:varyColors val="0"/>
        <c:ser>
          <c:idx val="0"/>
          <c:order val="0"/>
          <c:tx>
            <c:v>PUBM</c:v>
          </c:tx>
          <c:spPr>
            <a:ln w="22225" cap="rnd">
              <a:solidFill>
                <a:srgbClr val="1F3864"/>
              </a:solidFill>
              <a:prstDash val="solid"/>
              <a:round/>
            </a:ln>
            <a:effectLst/>
          </c:spPr>
          <c:marker>
            <c:symbol val="none"/>
          </c:marker>
          <c:cat>
            <c:numRef>
              <c:f>'Multiples Trade'!$S$5:$S$69</c:f>
              <c:numCache>
                <c:formatCode>m/d/yy</c:formatCode>
                <c:ptCount val="65"/>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numCache>
            </c:numRef>
          </c:cat>
          <c:val>
            <c:numRef>
              <c:f>'Multiples Trade'!$AB$5:$AB$69</c:f>
              <c:numCache>
                <c:formatCode>0.0\x;\(0.0\x\)</c:formatCode>
                <c:ptCount val="65"/>
                <c:pt idx="0">
                  <c:v>11.754340079118581</c:v>
                </c:pt>
                <c:pt idx="1">
                  <c:v>12.320234086376564</c:v>
                </c:pt>
                <c:pt idx="2">
                  <c:v>11.9851652662896</c:v>
                </c:pt>
                <c:pt idx="3">
                  <c:v>12.037287082747573</c:v>
                </c:pt>
                <c:pt idx="4">
                  <c:v>11.746894105338868</c:v>
                </c:pt>
                <c:pt idx="5">
                  <c:v>11.888367607153366</c:v>
                </c:pt>
                <c:pt idx="6">
                  <c:v>11.851137738254813</c:v>
                </c:pt>
                <c:pt idx="7">
                  <c:v>11.035803609376531</c:v>
                </c:pt>
                <c:pt idx="8">
                  <c:v>11.270351783437405</c:v>
                </c:pt>
                <c:pt idx="9">
                  <c:v>11.35225749501422</c:v>
                </c:pt>
                <c:pt idx="10">
                  <c:v>11.10654036028378</c:v>
                </c:pt>
                <c:pt idx="11">
                  <c:v>10.942728937130152</c:v>
                </c:pt>
                <c:pt idx="12">
                  <c:v>10.585322195704057</c:v>
                </c:pt>
                <c:pt idx="13">
                  <c:v>10.533200379246084</c:v>
                </c:pt>
                <c:pt idx="14">
                  <c:v>10.391726877431589</c:v>
                </c:pt>
                <c:pt idx="15">
                  <c:v>10.317267139634483</c:v>
                </c:pt>
                <c:pt idx="16">
                  <c:v>10.123671821362016</c:v>
                </c:pt>
                <c:pt idx="17">
                  <c:v>10.086441952463463</c:v>
                </c:pt>
                <c:pt idx="18">
                  <c:v>10.168347664040276</c:v>
                </c:pt>
                <c:pt idx="19">
                  <c:v>10.324713113414195</c:v>
                </c:pt>
                <c:pt idx="20">
                  <c:v>10.667227907280871</c:v>
                </c:pt>
                <c:pt idx="21">
                  <c:v>10.979958806028703</c:v>
                </c:pt>
                <c:pt idx="22">
                  <c:v>10.153455716480858</c:v>
                </c:pt>
                <c:pt idx="23">
                  <c:v>10.421510772550429</c:v>
                </c:pt>
                <c:pt idx="24">
                  <c:v>10.562984274364926</c:v>
                </c:pt>
                <c:pt idx="25">
                  <c:v>10.213023506718542</c:v>
                </c:pt>
                <c:pt idx="26">
                  <c:v>10.138563768921438</c:v>
                </c:pt>
                <c:pt idx="27">
                  <c:v>10.361942982312748</c:v>
                </c:pt>
                <c:pt idx="28">
                  <c:v>10.220469480498251</c:v>
                </c:pt>
                <c:pt idx="29">
                  <c:v>10.257699349396802</c:v>
                </c:pt>
                <c:pt idx="30">
                  <c:v>10.242807401837382</c:v>
                </c:pt>
                <c:pt idx="31">
                  <c:v>10.533200379246084</c:v>
                </c:pt>
                <c:pt idx="32">
                  <c:v>10.965066858469282</c:v>
                </c:pt>
                <c:pt idx="33">
                  <c:v>10.898053094451889</c:v>
                </c:pt>
                <c:pt idx="34">
                  <c:v>11.13632425540262</c:v>
                </c:pt>
                <c:pt idx="35">
                  <c:v>10.905499068231602</c:v>
                </c:pt>
                <c:pt idx="36">
                  <c:v>10.831039330434498</c:v>
                </c:pt>
                <c:pt idx="37">
                  <c:v>11.181000098080883</c:v>
                </c:pt>
                <c:pt idx="38">
                  <c:v>11.262905809657699</c:v>
                </c:pt>
                <c:pt idx="39">
                  <c:v>11.277797757217119</c:v>
                </c:pt>
                <c:pt idx="40">
                  <c:v>8.0760290319416743</c:v>
                </c:pt>
                <c:pt idx="41">
                  <c:v>8.0983669532808058</c:v>
                </c:pt>
                <c:pt idx="42">
                  <c:v>8.1951646124170399</c:v>
                </c:pt>
                <c:pt idx="43">
                  <c:v>7.6888383953967372</c:v>
                </c:pt>
                <c:pt idx="44">
                  <c:v>7.4207833393271647</c:v>
                </c:pt>
                <c:pt idx="45">
                  <c:v>7.5250269722431096</c:v>
                </c:pt>
                <c:pt idx="46">
                  <c:v>7.7930820283126803</c:v>
                </c:pt>
                <c:pt idx="47">
                  <c:v>7.7409602118547092</c:v>
                </c:pt>
                <c:pt idx="48">
                  <c:v>7.56225684114166</c:v>
                </c:pt>
                <c:pt idx="49">
                  <c:v>7.3612155490894828</c:v>
                </c:pt>
                <c:pt idx="50">
                  <c:v>7.1974041259358552</c:v>
                </c:pt>
                <c:pt idx="51">
                  <c:v>7.4580132082257169</c:v>
                </c:pt>
                <c:pt idx="52">
                  <c:v>7.6590545002778958</c:v>
                </c:pt>
                <c:pt idx="53">
                  <c:v>7.7856360545329713</c:v>
                </c:pt>
                <c:pt idx="54">
                  <c:v>7.5175809984633997</c:v>
                </c:pt>
                <c:pt idx="55">
                  <c:v>8.18771863863733</c:v>
                </c:pt>
                <c:pt idx="56">
                  <c:v>8.3143001928924054</c:v>
                </c:pt>
                <c:pt idx="57">
                  <c:v>8.2323944813155894</c:v>
                </c:pt>
                <c:pt idx="58">
                  <c:v>8.1430427959590652</c:v>
                </c:pt>
                <c:pt idx="59">
                  <c:v>8.1281508483996472</c:v>
                </c:pt>
                <c:pt idx="60">
                  <c:v>8.1355968221793571</c:v>
                </c:pt>
                <c:pt idx="61">
                  <c:v>7.8377578709909441</c:v>
                </c:pt>
                <c:pt idx="62">
                  <c:v>7.9568934514663088</c:v>
                </c:pt>
                <c:pt idx="63">
                  <c:v>8.1058129270605139</c:v>
                </c:pt>
                <c:pt idx="64">
                  <c:v>8.1281508483996472</c:v>
                </c:pt>
              </c:numCache>
            </c:numRef>
          </c:val>
          <c:smooth val="0"/>
          <c:extLst>
            <c:ext xmlns:c16="http://schemas.microsoft.com/office/drawing/2014/chart" uri="{C3380CC4-5D6E-409C-BE32-E72D297353CC}">
              <c16:uniqueId val="{00000000-E330-42A6-A185-B885FDE28166}"/>
            </c:ext>
          </c:extLst>
        </c:ser>
        <c:ser>
          <c:idx val="1"/>
          <c:order val="1"/>
          <c:tx>
            <c:v>TTD</c:v>
          </c:tx>
          <c:spPr>
            <a:ln w="22225" cap="rnd">
              <a:solidFill>
                <a:srgbClr val="C00000"/>
              </a:solidFill>
              <a:prstDash val="solid"/>
              <a:round/>
            </a:ln>
            <a:effectLst/>
          </c:spPr>
          <c:marker>
            <c:symbol val="none"/>
          </c:marker>
          <c:cat>
            <c:numRef>
              <c:f>'Multiples Trade'!$S$5:$S$69</c:f>
              <c:numCache>
                <c:formatCode>m/d/yy</c:formatCode>
                <c:ptCount val="65"/>
                <c:pt idx="0">
                  <c:v>46297</c:v>
                </c:pt>
                <c:pt idx="1">
                  <c:v>46296</c:v>
                </c:pt>
                <c:pt idx="2">
                  <c:v>46295</c:v>
                </c:pt>
                <c:pt idx="3">
                  <c:v>46294</c:v>
                </c:pt>
                <c:pt idx="4">
                  <c:v>46293</c:v>
                </c:pt>
                <c:pt idx="5">
                  <c:v>46290</c:v>
                </c:pt>
                <c:pt idx="6">
                  <c:v>46289</c:v>
                </c:pt>
                <c:pt idx="7">
                  <c:v>46288</c:v>
                </c:pt>
                <c:pt idx="8">
                  <c:v>46287</c:v>
                </c:pt>
                <c:pt idx="9">
                  <c:v>46286</c:v>
                </c:pt>
                <c:pt idx="10">
                  <c:v>46283</c:v>
                </c:pt>
                <c:pt idx="11">
                  <c:v>46282</c:v>
                </c:pt>
                <c:pt idx="12">
                  <c:v>46281</c:v>
                </c:pt>
                <c:pt idx="13">
                  <c:v>46280</c:v>
                </c:pt>
                <c:pt idx="14">
                  <c:v>46279</c:v>
                </c:pt>
                <c:pt idx="15">
                  <c:v>46276</c:v>
                </c:pt>
                <c:pt idx="16">
                  <c:v>46275</c:v>
                </c:pt>
                <c:pt idx="17">
                  <c:v>46274</c:v>
                </c:pt>
                <c:pt idx="18">
                  <c:v>46273</c:v>
                </c:pt>
                <c:pt idx="19">
                  <c:v>46269</c:v>
                </c:pt>
                <c:pt idx="20">
                  <c:v>46268</c:v>
                </c:pt>
                <c:pt idx="21">
                  <c:v>46267</c:v>
                </c:pt>
                <c:pt idx="22">
                  <c:v>46266</c:v>
                </c:pt>
                <c:pt idx="23">
                  <c:v>46265</c:v>
                </c:pt>
                <c:pt idx="24">
                  <c:v>46262</c:v>
                </c:pt>
                <c:pt idx="25">
                  <c:v>46261</c:v>
                </c:pt>
                <c:pt idx="26">
                  <c:v>46260</c:v>
                </c:pt>
                <c:pt idx="27">
                  <c:v>46259</c:v>
                </c:pt>
                <c:pt idx="28">
                  <c:v>46258</c:v>
                </c:pt>
                <c:pt idx="29">
                  <c:v>46255</c:v>
                </c:pt>
                <c:pt idx="30">
                  <c:v>46254</c:v>
                </c:pt>
                <c:pt idx="31">
                  <c:v>46253</c:v>
                </c:pt>
                <c:pt idx="32">
                  <c:v>46252</c:v>
                </c:pt>
                <c:pt idx="33">
                  <c:v>46251</c:v>
                </c:pt>
                <c:pt idx="34">
                  <c:v>46248</c:v>
                </c:pt>
                <c:pt idx="35">
                  <c:v>46247</c:v>
                </c:pt>
                <c:pt idx="36">
                  <c:v>46246</c:v>
                </c:pt>
                <c:pt idx="37">
                  <c:v>46245</c:v>
                </c:pt>
                <c:pt idx="38">
                  <c:v>46244</c:v>
                </c:pt>
                <c:pt idx="39">
                  <c:v>46241</c:v>
                </c:pt>
                <c:pt idx="40">
                  <c:v>46240</c:v>
                </c:pt>
                <c:pt idx="41">
                  <c:v>46239</c:v>
                </c:pt>
                <c:pt idx="42">
                  <c:v>46238</c:v>
                </c:pt>
                <c:pt idx="43">
                  <c:v>46237</c:v>
                </c:pt>
                <c:pt idx="44">
                  <c:v>46234</c:v>
                </c:pt>
                <c:pt idx="45">
                  <c:v>46233</c:v>
                </c:pt>
                <c:pt idx="46">
                  <c:v>46232</c:v>
                </c:pt>
                <c:pt idx="47">
                  <c:v>46231</c:v>
                </c:pt>
                <c:pt idx="48">
                  <c:v>46230</c:v>
                </c:pt>
                <c:pt idx="49">
                  <c:v>46227</c:v>
                </c:pt>
                <c:pt idx="50">
                  <c:v>46226</c:v>
                </c:pt>
                <c:pt idx="51">
                  <c:v>46225</c:v>
                </c:pt>
                <c:pt idx="52">
                  <c:v>46224</c:v>
                </c:pt>
                <c:pt idx="53">
                  <c:v>46223</c:v>
                </c:pt>
                <c:pt idx="54">
                  <c:v>46220</c:v>
                </c:pt>
                <c:pt idx="55">
                  <c:v>46219</c:v>
                </c:pt>
                <c:pt idx="56">
                  <c:v>46218</c:v>
                </c:pt>
                <c:pt idx="57">
                  <c:v>46217</c:v>
                </c:pt>
                <c:pt idx="58">
                  <c:v>46216</c:v>
                </c:pt>
                <c:pt idx="59">
                  <c:v>46213</c:v>
                </c:pt>
                <c:pt idx="60">
                  <c:v>46212</c:v>
                </c:pt>
                <c:pt idx="61">
                  <c:v>46211</c:v>
                </c:pt>
                <c:pt idx="62">
                  <c:v>46210</c:v>
                </c:pt>
                <c:pt idx="63">
                  <c:v>46209</c:v>
                </c:pt>
                <c:pt idx="64">
                  <c:v>46205</c:v>
                </c:pt>
              </c:numCache>
            </c:numRef>
          </c:cat>
          <c:val>
            <c:numRef>
              <c:f>'Multiples Trade'!$AC$5:$AC$69</c:f>
              <c:numCache>
                <c:formatCode>0.0\x;\(0.0\x\)</c:formatCode>
                <c:ptCount val="65"/>
                <c:pt idx="0">
                  <c:v>7.1029932460090057</c:v>
                </c:pt>
                <c:pt idx="1">
                  <c:v>7.2239510847318869</c:v>
                </c:pt>
                <c:pt idx="2">
                  <c:v>7.2803980761358984</c:v>
                </c:pt>
                <c:pt idx="3">
                  <c:v>7.1836318051575949</c:v>
                </c:pt>
                <c:pt idx="4">
                  <c:v>7.4174836266884974</c:v>
                </c:pt>
                <c:pt idx="5">
                  <c:v>7.6271438804748257</c:v>
                </c:pt>
                <c:pt idx="6">
                  <c:v>7.6513354482194043</c:v>
                </c:pt>
                <c:pt idx="7">
                  <c:v>7.6916547277936962</c:v>
                </c:pt>
                <c:pt idx="8">
                  <c:v>8.0948475235366359</c:v>
                </c:pt>
                <c:pt idx="9">
                  <c:v>8.6593174375767514</c:v>
                </c:pt>
                <c:pt idx="10">
                  <c:v>8.6915728612361853</c:v>
                </c:pt>
                <c:pt idx="11">
                  <c:v>8.9657439623413833</c:v>
                </c:pt>
                <c:pt idx="12">
                  <c:v>9.1512126483831349</c:v>
                </c:pt>
                <c:pt idx="13">
                  <c:v>9.5624693000409327</c:v>
                </c:pt>
                <c:pt idx="14">
                  <c:v>9.5382777322963577</c:v>
                </c:pt>
                <c:pt idx="15">
                  <c:v>9.0302548096602546</c:v>
                </c:pt>
                <c:pt idx="16">
                  <c:v>8.7318921408104799</c:v>
                </c:pt>
                <c:pt idx="17">
                  <c:v>8.6593174375767514</c:v>
                </c:pt>
                <c:pt idx="18">
                  <c:v>8.7722114203847728</c:v>
                </c:pt>
                <c:pt idx="19">
                  <c:v>9.1028295128939831</c:v>
                </c:pt>
                <c:pt idx="20">
                  <c:v>9.6350440032746629</c:v>
                </c:pt>
                <c:pt idx="21">
                  <c:v>9.1995957838722902</c:v>
                </c:pt>
                <c:pt idx="22">
                  <c:v>8.5786788784281622</c:v>
                </c:pt>
                <c:pt idx="23">
                  <c:v>8.5302957429390105</c:v>
                </c:pt>
                <c:pt idx="24">
                  <c:v>8.4093379042161285</c:v>
                </c:pt>
                <c:pt idx="25">
                  <c:v>8.2883800654932482</c:v>
                </c:pt>
                <c:pt idx="26">
                  <c:v>7.9738896848137539</c:v>
                </c:pt>
                <c:pt idx="27">
                  <c:v>8.1512945149406466</c:v>
                </c:pt>
                <c:pt idx="28">
                  <c:v>8.1674222267703644</c:v>
                </c:pt>
                <c:pt idx="29">
                  <c:v>8.0948475235366359</c:v>
                </c:pt>
                <c:pt idx="30">
                  <c:v>8.207741506344659</c:v>
                </c:pt>
                <c:pt idx="31">
                  <c:v>8.3851463364715517</c:v>
                </c:pt>
                <c:pt idx="32">
                  <c:v>8.2883800654932482</c:v>
                </c:pt>
                <c:pt idx="33">
                  <c:v>8.2722523536635286</c:v>
                </c:pt>
                <c:pt idx="34">
                  <c:v>8.8689776913630798</c:v>
                </c:pt>
                <c:pt idx="35">
                  <c:v>9.2076596397871491</c:v>
                </c:pt>
                <c:pt idx="36">
                  <c:v>8.3448270568972571</c:v>
                </c:pt>
                <c:pt idx="37">
                  <c:v>8.4012740483012713</c:v>
                </c:pt>
                <c:pt idx="38">
                  <c:v>8.2641884977486697</c:v>
                </c:pt>
                <c:pt idx="39">
                  <c:v>8.5948065902578801</c:v>
                </c:pt>
                <c:pt idx="40">
                  <c:v>11.715518829308227</c:v>
                </c:pt>
                <c:pt idx="41">
                  <c:v>12.75575624232501</c:v>
                </c:pt>
                <c:pt idx="42">
                  <c:v>13.062182767089643</c:v>
                </c:pt>
                <c:pt idx="43">
                  <c:v>12.22354175194433</c:v>
                </c:pt>
                <c:pt idx="44">
                  <c:v>12.013881498158003</c:v>
                </c:pt>
                <c:pt idx="45">
                  <c:v>12.207414040114616</c:v>
                </c:pt>
                <c:pt idx="46">
                  <c:v>12.860586369218174</c:v>
                </c:pt>
                <c:pt idx="47">
                  <c:v>12.715436962750719</c:v>
                </c:pt>
                <c:pt idx="48">
                  <c:v>11.884859803520259</c:v>
                </c:pt>
                <c:pt idx="49">
                  <c:v>11.409092304543593</c:v>
                </c:pt>
                <c:pt idx="50">
                  <c:v>11.005899508800654</c:v>
                </c:pt>
                <c:pt idx="51">
                  <c:v>11.642944126074497</c:v>
                </c:pt>
                <c:pt idx="52">
                  <c:v>12.183222472370037</c:v>
                </c:pt>
                <c:pt idx="53">
                  <c:v>12.49771285304953</c:v>
                </c:pt>
                <c:pt idx="54">
                  <c:v>12.457393573475235</c:v>
                </c:pt>
                <c:pt idx="55">
                  <c:v>12.884777936962754</c:v>
                </c:pt>
                <c:pt idx="56">
                  <c:v>13.08637433483422</c:v>
                </c:pt>
                <c:pt idx="57">
                  <c:v>12.739628530495292</c:v>
                </c:pt>
                <c:pt idx="58">
                  <c:v>13.425056283258289</c:v>
                </c:pt>
                <c:pt idx="59">
                  <c:v>13.215396029471965</c:v>
                </c:pt>
                <c:pt idx="60">
                  <c:v>13.392800859598857</c:v>
                </c:pt>
                <c:pt idx="61">
                  <c:v>12.844458657388456</c:v>
                </c:pt>
                <c:pt idx="62">
                  <c:v>12.933161072451904</c:v>
                </c:pt>
                <c:pt idx="63">
                  <c:v>13.037991199345068</c:v>
                </c:pt>
                <c:pt idx="64">
                  <c:v>12.868650225133036</c:v>
                </c:pt>
              </c:numCache>
            </c:numRef>
          </c:val>
          <c:smooth val="0"/>
          <c:extLst>
            <c:ext xmlns:c16="http://schemas.microsoft.com/office/drawing/2014/chart" uri="{C3380CC4-5D6E-409C-BE32-E72D297353CC}">
              <c16:uniqueId val="{00000001-E330-42A6-A185-B885FDE28166}"/>
            </c:ext>
          </c:extLst>
        </c:ser>
        <c:dLbls>
          <c:showLegendKey val="0"/>
          <c:showVal val="0"/>
          <c:showCatName val="0"/>
          <c:showSerName val="0"/>
          <c:showPercent val="0"/>
          <c:showBubbleSize val="0"/>
        </c:dLbls>
        <c:marker val="1"/>
        <c:smooth val="0"/>
        <c:axId val="944541919"/>
        <c:axId val="944534719"/>
      </c:lineChart>
      <c:dateAx>
        <c:axId val="944541919"/>
        <c:scaling>
          <c:orientation val="minMax"/>
        </c:scaling>
        <c:delete val="0"/>
        <c:axPos val="b"/>
        <c:numFmt formatCode="m/d"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34719"/>
        <c:crosses val="autoZero"/>
        <c:auto val="0"/>
        <c:lblOffset val="100"/>
        <c:baseTimeUnit val="days"/>
        <c:majorUnit val="14"/>
        <c:majorTimeUnit val="days"/>
      </c:dateAx>
      <c:valAx>
        <c:axId val="944534719"/>
        <c:scaling>
          <c:orientation val="minMax"/>
        </c:scaling>
        <c:delete val="0"/>
        <c:axPos val="l"/>
        <c:majorGridlines>
          <c:spPr>
            <a:ln w="9525" cap="flat" cmpd="sng" algn="ctr">
              <a:solidFill>
                <a:schemeClr val="tx1">
                  <a:lumMod val="15000"/>
                  <a:lumOff val="85000"/>
                </a:schemeClr>
              </a:solidFill>
              <a:round/>
            </a:ln>
            <a:effectLst/>
          </c:spPr>
        </c:majorGridlines>
        <c:numFmt formatCode="0.0\x"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41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8</xdr:col>
      <xdr:colOff>0</xdr:colOff>
      <xdr:row>21</xdr:row>
      <xdr:rowOff>0</xdr:rowOff>
    </xdr:to>
    <xdr:graphicFrame macro="">
      <xdr:nvGraphicFramePr>
        <xdr:cNvPr id="2" name="EV_Rev_Chart">
          <a:extLst>
            <a:ext uri="{FF2B5EF4-FFF2-40B4-BE49-F238E27FC236}">
              <a16:creationId xmlns:a16="http://schemas.microsoft.com/office/drawing/2014/main" id="{CBDD08A2-63D5-3F3E-B1A8-8BCCB97BB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xdr:row>
      <xdr:rowOff>0</xdr:rowOff>
    </xdr:from>
    <xdr:to>
      <xdr:col>14</xdr:col>
      <xdr:colOff>1</xdr:colOff>
      <xdr:row>21</xdr:row>
      <xdr:rowOff>0</xdr:rowOff>
    </xdr:to>
    <xdr:graphicFrame macro="">
      <xdr:nvGraphicFramePr>
        <xdr:cNvPr id="3" name="EV_EBITDA_Chart">
          <a:extLst>
            <a:ext uri="{FF2B5EF4-FFF2-40B4-BE49-F238E27FC236}">
              <a16:creationId xmlns:a16="http://schemas.microsoft.com/office/drawing/2014/main" id="{DBE4CA4B-DCE6-853B-F030-5FD372D8A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37</xdr:row>
      <xdr:rowOff>0</xdr:rowOff>
    </xdr:from>
    <xdr:to>
      <xdr:col>14</xdr:col>
      <xdr:colOff>0</xdr:colOff>
      <xdr:row>52</xdr:row>
      <xdr:rowOff>0</xdr:rowOff>
    </xdr:to>
    <xdr:graphicFrame macro="">
      <xdr:nvGraphicFramePr>
        <xdr:cNvPr id="6" name="Price_Chart">
          <a:extLst>
            <a:ext uri="{FF2B5EF4-FFF2-40B4-BE49-F238E27FC236}">
              <a16:creationId xmlns:a16="http://schemas.microsoft.com/office/drawing/2014/main" id="{E40F48F2-6DE7-613D-67E4-B57B53813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21</xdr:row>
      <xdr:rowOff>1</xdr:rowOff>
    </xdr:from>
    <xdr:to>
      <xdr:col>8</xdr:col>
      <xdr:colOff>0</xdr:colOff>
      <xdr:row>36</xdr:row>
      <xdr:rowOff>1</xdr:rowOff>
    </xdr:to>
    <xdr:graphicFrame macro="">
      <xdr:nvGraphicFramePr>
        <xdr:cNvPr id="7" name="EV_Rev_3M_Chart">
          <a:extLst>
            <a:ext uri="{FF2B5EF4-FFF2-40B4-BE49-F238E27FC236}">
              <a16:creationId xmlns:a16="http://schemas.microsoft.com/office/drawing/2014/main" id="{50BF0DFA-E914-F3B7-B396-C6D84FBDB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21</xdr:row>
      <xdr:rowOff>1</xdr:rowOff>
    </xdr:from>
    <xdr:to>
      <xdr:col>14</xdr:col>
      <xdr:colOff>1</xdr:colOff>
      <xdr:row>36</xdr:row>
      <xdr:rowOff>1</xdr:rowOff>
    </xdr:to>
    <xdr:graphicFrame macro="">
      <xdr:nvGraphicFramePr>
        <xdr:cNvPr id="8" name="EV_EBITDA_3M_Chart">
          <a:extLst>
            <a:ext uri="{FF2B5EF4-FFF2-40B4-BE49-F238E27FC236}">
              <a16:creationId xmlns:a16="http://schemas.microsoft.com/office/drawing/2014/main" id="{FAD7EF0C-911D-597D-AE69-F32E5746B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ndrew Hromada" id="{39A7803C-82FE-4AD6-980D-007FE448F5ED}" userId="8d94eb2d2262879f" providerId="Windows Live"/>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R4" dT="2026-10-03T21:36:21.10" personId="{39A7803C-82FE-4AD6-980D-007FE448F5ED}" id="{490EAFBD-B3B6-4D9F-8D22-ADCE975E7213}">
    <text>Source: SEC EDGAR 8-K Ex. 99.1 earnings release, https://www.sec.gov/Archives/edgar/data/1422930/000142293025000048/q325pressrelease.htm</text>
  </threadedComment>
  <threadedComment ref="AR5" dT="2026-10-03T21:36:21.11" personId="{39A7803C-82FE-4AD6-980D-007FE448F5ED}" id="{15988243-16E7-4410-A4D9-EF437790AA6F}">
    <text>Source: SEC EDGAR 8-K Ex. 99.1 earnings release, https://www.sec.gov/Archives/edgar/data/1422930/000142293026000008/fy25pressrelease.htm</text>
  </threadedComment>
  <threadedComment ref="AR6" dT="2026-10-03T21:36:21.12" personId="{39A7803C-82FE-4AD6-980D-007FE448F5ED}" id="{049029B8-E095-427E-95F6-077DF8F200B2}">
    <text>Source: SEC EDGAR 8-K Ex. 99.1 earnings release, https://www.sec.gov/Archives/edgar/data/0001422930/000142293026000023/q126pressrelease.htm</text>
  </threadedComment>
  <threadedComment ref="AR7" dT="2026-10-03T21:36:21.12" personId="{39A7803C-82FE-4AD6-980D-007FE448F5ED}" id="{B2403D24-9104-4C5F-8608-EF5DCF3EBC15}">
    <text>Source: SEC EDGAR 8-K Ex. 99.1 earnings release, https://www.sec.gov/Archives/edgar/data/0001422930/000142293026000029/q226pressrelease.htm</text>
  </threadedComment>
  <threadedComment ref="AR8" dT="2026-10-03T21:36:21.12" personId="{39A7803C-82FE-4AD6-980D-007FE448F5ED}" id="{BB0BF06A-0A98-48E3-9D36-2C51F465A53B}">
    <text>Source: SEC EDGAR 8-K Ex. 99.1 earnings release, https://www.sec.gov/Archives/edgar/data/1671933/000167193325000143/ttd-20251106x8kexx991.htm</text>
  </threadedComment>
  <threadedComment ref="AR9" dT="2026-10-03T21:36:21.13" personId="{39A7803C-82FE-4AD6-980D-007FE448F5ED}" id="{F970C2F7-389C-48DA-9124-6EFF704E1F20}">
    <text>Source: SEC EDGAR 8-K Ex. 99.1 earnings release, https://www.sec.gov/Archives/edgar/data/1671933/000167193326000009/ttd-20260225x8kexx991.htm</text>
  </threadedComment>
  <threadedComment ref="AR10" dT="2026-10-03T21:36:21.13" personId="{39A7803C-82FE-4AD6-980D-007FE448F5ED}" id="{38AE9D7E-93DA-42AC-90A6-CAC6552AE0CA}">
    <text>Source: SEC EDGAR 8-K Ex. 99.1 earnings release, https://www.sec.gov/Archives/edgar/data/0001671933/000167193326000053/ttd-20260507x8kexx991.htm</text>
  </threadedComment>
  <threadedComment ref="AR11" dT="2026-10-03T21:36:21.13" personId="{39A7803C-82FE-4AD6-980D-007FE448F5ED}" id="{E591A323-7778-47C2-AF05-2E8441A31E50}">
    <text>Source: SEC EDGAR 8-K Ex. 99.1 earnings release, https://www.sec.gov/Archives/edgar/data/0001671933/000167193326000085/ttd-20260806x8kexx991.htm</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D39BD1-1777-4339-842A-21BDCE22B266}">
  <we:reference id="wa200009404" version="1.0.0.8" store="en-US" storeType="OMEX"/>
  <we:alternateReferences>
    <we:reference id="WA200009404" version="1.0.0.8" store="" storeType="OMEX"/>
  </we:alternateReferences>
  <we:properties>
    <we:property name="claude.fileId" value="&quot;f835097b-ee93-40c1-8617-dd053038647a&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F7F7F"/>
    <pageSetUpPr fitToPage="1"/>
  </sheetPr>
  <dimension ref="B1:C46"/>
  <sheetViews>
    <sheetView showGridLines="0" tabSelected="1" zoomScale="145" zoomScaleNormal="145" workbookViewId="0"/>
  </sheetViews>
  <sheetFormatPr defaultColWidth="8.6640625" defaultRowHeight="14.25" x14ac:dyDescent="0.45"/>
  <cols>
    <col min="1" max="1" width="3" customWidth="1"/>
    <col min="2" max="2" width="26" customWidth="1"/>
    <col min="3" max="3" width="110" customWidth="1"/>
  </cols>
  <sheetData>
    <row r="1" spans="2:3" ht="19.5" customHeight="1" x14ac:dyDescent="0.6">
      <c r="B1" s="3" t="s">
        <v>0</v>
      </c>
    </row>
    <row r="2" spans="2:3" ht="15" customHeight="1" x14ac:dyDescent="0.45">
      <c r="B2" s="4" t="s">
        <v>1</v>
      </c>
    </row>
    <row r="4" spans="2:3" ht="15" customHeight="1" x14ac:dyDescent="0.45">
      <c r="B4" s="5" t="s">
        <v>2</v>
      </c>
      <c r="C4" s="6"/>
    </row>
    <row r="5" spans="2:3" ht="30" customHeight="1" x14ac:dyDescent="0.45">
      <c r="B5" s="7" t="s">
        <v>3</v>
      </c>
      <c r="C5" s="2" t="s">
        <v>4</v>
      </c>
    </row>
    <row r="6" spans="2:3" ht="30" customHeight="1" x14ac:dyDescent="0.45">
      <c r="B6" s="7" t="s">
        <v>5</v>
      </c>
      <c r="C6" s="2" t="s">
        <v>6</v>
      </c>
    </row>
    <row r="7" spans="2:3" ht="30" customHeight="1" x14ac:dyDescent="0.45">
      <c r="B7" s="7" t="s">
        <v>7</v>
      </c>
      <c r="C7" s="2" t="s">
        <v>8</v>
      </c>
    </row>
    <row r="8" spans="2:3" ht="30" customHeight="1" x14ac:dyDescent="0.45">
      <c r="B8" s="7" t="s">
        <v>9</v>
      </c>
      <c r="C8" s="2" t="s">
        <v>10</v>
      </c>
    </row>
    <row r="10" spans="2:3" ht="15" customHeight="1" x14ac:dyDescent="0.45">
      <c r="B10" s="5" t="s">
        <v>11</v>
      </c>
      <c r="C10" s="6"/>
    </row>
    <row r="11" spans="2:3" ht="15" customHeight="1" x14ac:dyDescent="0.45">
      <c r="B11" s="8" t="s">
        <v>12</v>
      </c>
      <c r="C11" s="9" t="s">
        <v>13</v>
      </c>
    </row>
    <row r="12" spans="2:3" ht="15" customHeight="1" x14ac:dyDescent="0.45">
      <c r="B12" s="10" t="s">
        <v>14</v>
      </c>
      <c r="C12" s="9" t="s">
        <v>15</v>
      </c>
    </row>
    <row r="13" spans="2:3" ht="15" customHeight="1" x14ac:dyDescent="0.45">
      <c r="B13" s="11" t="s">
        <v>16</v>
      </c>
      <c r="C13" s="9" t="s">
        <v>17</v>
      </c>
    </row>
    <row r="14" spans="2:3" ht="15" customHeight="1" x14ac:dyDescent="0.45">
      <c r="B14" s="12" t="s">
        <v>18</v>
      </c>
      <c r="C14" s="9" t="s">
        <v>19</v>
      </c>
    </row>
    <row r="16" spans="2:3" ht="15" customHeight="1" x14ac:dyDescent="0.45">
      <c r="B16" s="5" t="s">
        <v>20</v>
      </c>
      <c r="C16" s="6"/>
    </row>
    <row r="17" spans="2:3" ht="27.75" customHeight="1" x14ac:dyDescent="0.45">
      <c r="B17" s="7" t="s">
        <v>21</v>
      </c>
      <c r="C17" s="2" t="s">
        <v>22</v>
      </c>
    </row>
    <row r="18" spans="2:3" ht="27.75" customHeight="1" x14ac:dyDescent="0.45">
      <c r="B18" s="7" t="s">
        <v>23</v>
      </c>
      <c r="C18" s="2" t="s">
        <v>24</v>
      </c>
    </row>
    <row r="19" spans="2:3" ht="27.75" customHeight="1" x14ac:dyDescent="0.45">
      <c r="B19" s="7" t="s">
        <v>25</v>
      </c>
      <c r="C19" s="2" t="s">
        <v>26</v>
      </c>
    </row>
    <row r="20" spans="2:3" ht="27.75" customHeight="1" x14ac:dyDescent="0.45">
      <c r="B20" s="7" t="s">
        <v>27</v>
      </c>
      <c r="C20" s="2" t="s">
        <v>28</v>
      </c>
    </row>
    <row r="21" spans="2:3" ht="27.75" customHeight="1" x14ac:dyDescent="0.45">
      <c r="B21" s="7" t="s">
        <v>29</v>
      </c>
      <c r="C21" s="2" t="s">
        <v>30</v>
      </c>
    </row>
    <row r="22" spans="2:3" ht="27.75" customHeight="1" x14ac:dyDescent="0.45">
      <c r="B22" s="7" t="s">
        <v>31</v>
      </c>
      <c r="C22" s="2" t="s">
        <v>32</v>
      </c>
    </row>
    <row r="23" spans="2:3" ht="27.75" customHeight="1" x14ac:dyDescent="0.45">
      <c r="B23" s="7" t="s">
        <v>33</v>
      </c>
      <c r="C23" s="2" t="s">
        <v>34</v>
      </c>
    </row>
    <row r="24" spans="2:3" ht="27.75" customHeight="1" x14ac:dyDescent="0.45">
      <c r="B24" s="7" t="s">
        <v>35</v>
      </c>
      <c r="C24" s="2" t="s">
        <v>36</v>
      </c>
    </row>
    <row r="25" spans="2:3" ht="27.75" customHeight="1" x14ac:dyDescent="0.45">
      <c r="B25" s="7" t="s">
        <v>37</v>
      </c>
      <c r="C25" s="2" t="s">
        <v>38</v>
      </c>
    </row>
    <row r="27" spans="2:3" ht="15" customHeight="1" x14ac:dyDescent="0.45">
      <c r="B27" s="5" t="s">
        <v>39</v>
      </c>
      <c r="C27" s="6"/>
    </row>
    <row r="28" spans="2:3" ht="42" customHeight="1" x14ac:dyDescent="0.45">
      <c r="B28" s="7" t="s">
        <v>40</v>
      </c>
      <c r="C28" s="2" t="s">
        <v>41</v>
      </c>
    </row>
    <row r="29" spans="2:3" ht="42" customHeight="1" x14ac:dyDescent="0.45">
      <c r="B29" s="7" t="s">
        <v>42</v>
      </c>
      <c r="C29" s="2" t="s">
        <v>43</v>
      </c>
    </row>
    <row r="30" spans="2:3" ht="42" customHeight="1" x14ac:dyDescent="0.45">
      <c r="B30" s="7" t="s">
        <v>44</v>
      </c>
      <c r="C30" s="2" t="s">
        <v>605</v>
      </c>
    </row>
    <row r="31" spans="2:3" ht="42" customHeight="1" x14ac:dyDescent="0.45">
      <c r="B31" s="7" t="s">
        <v>45</v>
      </c>
      <c r="C31" s="2" t="s">
        <v>46</v>
      </c>
    </row>
    <row r="32" spans="2:3" ht="42" customHeight="1" x14ac:dyDescent="0.45">
      <c r="B32" s="7" t="s">
        <v>47</v>
      </c>
      <c r="C32" s="2" t="s">
        <v>48</v>
      </c>
    </row>
    <row r="34" spans="2:3" ht="15" customHeight="1" x14ac:dyDescent="0.45">
      <c r="B34" s="5" t="s">
        <v>49</v>
      </c>
      <c r="C34" s="6"/>
    </row>
    <row r="35" spans="2:3" ht="30" customHeight="1" x14ac:dyDescent="0.45">
      <c r="B35" s="7" t="s">
        <v>50</v>
      </c>
      <c r="C35" s="2" t="s">
        <v>51</v>
      </c>
    </row>
    <row r="36" spans="2:3" ht="30" customHeight="1" x14ac:dyDescent="0.45">
      <c r="B36" s="7" t="s">
        <v>52</v>
      </c>
      <c r="C36" s="2" t="s">
        <v>53</v>
      </c>
    </row>
    <row r="37" spans="2:3" ht="30" customHeight="1" x14ac:dyDescent="0.45">
      <c r="B37" s="7" t="s">
        <v>54</v>
      </c>
      <c r="C37" s="2" t="s">
        <v>55</v>
      </c>
    </row>
    <row r="38" spans="2:3" ht="30" customHeight="1" x14ac:dyDescent="0.45">
      <c r="B38" s="7" t="s">
        <v>52</v>
      </c>
      <c r="C38" s="2" t="s">
        <v>56</v>
      </c>
    </row>
    <row r="39" spans="2:3" ht="30" customHeight="1" x14ac:dyDescent="0.45">
      <c r="B39" s="7" t="s">
        <v>57</v>
      </c>
      <c r="C39" s="2" t="s">
        <v>58</v>
      </c>
    </row>
    <row r="41" spans="2:3" ht="15" customHeight="1" x14ac:dyDescent="0.45">
      <c r="B41" s="5" t="s">
        <v>59</v>
      </c>
      <c r="C41" s="6"/>
    </row>
    <row r="42" spans="2:3" ht="30" customHeight="1" x14ac:dyDescent="0.45">
      <c r="B42" s="7" t="s">
        <v>60</v>
      </c>
      <c r="C42" s="2" t="s">
        <v>61</v>
      </c>
    </row>
    <row r="43" spans="2:3" ht="30" customHeight="1" x14ac:dyDescent="0.45">
      <c r="B43" s="7" t="s">
        <v>62</v>
      </c>
      <c r="C43" s="2" t="s">
        <v>63</v>
      </c>
    </row>
    <row r="44" spans="2:3" ht="30" customHeight="1" x14ac:dyDescent="0.45">
      <c r="B44" s="7" t="s">
        <v>64</v>
      </c>
      <c r="C44" s="2" t="s">
        <v>65</v>
      </c>
    </row>
    <row r="45" spans="2:3" ht="30" customHeight="1" x14ac:dyDescent="0.45">
      <c r="B45" s="7" t="s">
        <v>66</v>
      </c>
      <c r="C45" s="2" t="s">
        <v>67</v>
      </c>
    </row>
    <row r="46" spans="2:3" ht="30" customHeight="1" x14ac:dyDescent="0.45">
      <c r="B46" s="7" t="s">
        <v>68</v>
      </c>
      <c r="C46" s="2" t="s">
        <v>69</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G30"/>
  <sheetViews>
    <sheetView showGridLines="0" zoomScale="90" zoomScaleNormal="90" workbookViewId="0">
      <pane xSplit="1" ySplit="5" topLeftCell="B6" activePane="bottomRight" state="frozen"/>
      <selection pane="topRight" activeCell="B1" sqref="B1"/>
      <selection pane="bottomLeft" activeCell="A6" sqref="A6"/>
      <selection pane="bottomRight" activeCell="B6" sqref="B6"/>
    </sheetView>
  </sheetViews>
  <sheetFormatPr defaultColWidth="8.6640625" defaultRowHeight="14.25" x14ac:dyDescent="0.45"/>
  <cols>
    <col min="1" max="1" width="46" customWidth="1"/>
    <col min="2" max="7" width="13" customWidth="1"/>
  </cols>
  <sheetData>
    <row r="1" spans="1:7" ht="17.25" customHeight="1" x14ac:dyDescent="0.5">
      <c r="A1" s="13" t="s">
        <v>70</v>
      </c>
    </row>
    <row r="2" spans="1:7" ht="15" customHeight="1" x14ac:dyDescent="0.45">
      <c r="A2" s="4" t="s">
        <v>71</v>
      </c>
    </row>
    <row r="4" spans="1:7" ht="15" customHeight="1" x14ac:dyDescent="0.45">
      <c r="A4" s="5" t="s">
        <v>72</v>
      </c>
      <c r="B4" s="14" t="s">
        <v>73</v>
      </c>
      <c r="C4" s="14" t="s">
        <v>74</v>
      </c>
      <c r="D4" s="14" t="s">
        <v>75</v>
      </c>
      <c r="E4" s="15" t="s">
        <v>76</v>
      </c>
      <c r="F4" s="15" t="s">
        <v>77</v>
      </c>
      <c r="G4" s="15" t="s">
        <v>78</v>
      </c>
    </row>
    <row r="5" spans="1:7" ht="15" customHeight="1" x14ac:dyDescent="0.45">
      <c r="A5" s="5" t="s">
        <v>79</v>
      </c>
      <c r="B5" s="14" t="s">
        <v>80</v>
      </c>
      <c r="C5" s="14" t="s">
        <v>80</v>
      </c>
      <c r="D5" s="14" t="s">
        <v>80</v>
      </c>
      <c r="E5" s="15" t="s">
        <v>81</v>
      </c>
      <c r="F5" s="15" t="s">
        <v>82</v>
      </c>
      <c r="G5" s="15" t="s">
        <v>82</v>
      </c>
    </row>
    <row r="7" spans="1:7" ht="15" customHeight="1" x14ac:dyDescent="0.45">
      <c r="A7" s="16" t="s">
        <v>83</v>
      </c>
      <c r="B7" s="17"/>
      <c r="C7" s="17"/>
      <c r="D7" s="17"/>
      <c r="E7" s="17"/>
      <c r="F7" s="17"/>
      <c r="G7" s="17"/>
    </row>
    <row r="8" spans="1:7" ht="15" customHeight="1" x14ac:dyDescent="0.45">
      <c r="A8" s="10" t="s">
        <v>84</v>
      </c>
      <c r="B8" s="18">
        <f>'Income Statement'!AB9</f>
        <v>267014</v>
      </c>
      <c r="C8" s="18">
        <f>'Income Statement'!AC9</f>
        <v>291256</v>
      </c>
      <c r="D8" s="18">
        <f>'Income Statement'!AD9</f>
        <v>282926</v>
      </c>
      <c r="E8" s="18">
        <f>'Income Statement'!AE9</f>
        <v>330474.03769750032</v>
      </c>
      <c r="F8" s="18">
        <f>'Income Statement'!AF9</f>
        <v>426616.97760558996</v>
      </c>
      <c r="G8" s="18">
        <f>'Income Statement'!AG9</f>
        <v>529545.55862192658</v>
      </c>
    </row>
    <row r="9" spans="1:7" ht="15" customHeight="1" x14ac:dyDescent="0.45">
      <c r="A9" s="9" t="s">
        <v>85</v>
      </c>
      <c r="C9" s="19">
        <f>'Income Statement'!AC35</f>
        <v>9.0789247005774953E-2</v>
      </c>
      <c r="D9" s="19">
        <f>'Income Statement'!AD35</f>
        <v>-2.8600269179004045E-2</v>
      </c>
      <c r="E9" s="19">
        <f>'Income Statement'!AE35</f>
        <v>0.16805821203247606</v>
      </c>
      <c r="F9" s="19">
        <f>'Income Statement'!AF35</f>
        <v>0.29092433577518784</v>
      </c>
      <c r="G9" s="19">
        <f>'Income Statement'!AG35</f>
        <v>0.24126695940238641</v>
      </c>
    </row>
    <row r="10" spans="1:7" ht="15" customHeight="1" x14ac:dyDescent="0.45">
      <c r="A10" s="9" t="s">
        <v>86</v>
      </c>
      <c r="B10" s="20">
        <f>'Income Statement'!AB11</f>
        <v>167785</v>
      </c>
      <c r="C10" s="20">
        <f>'Income Statement'!AC11</f>
        <v>190229</v>
      </c>
      <c r="D10" s="20">
        <f>'Income Statement'!AD11</f>
        <v>179841</v>
      </c>
      <c r="E10" s="20">
        <f>'Income Statement'!AE11</f>
        <v>209309.37490624149</v>
      </c>
      <c r="F10" s="20">
        <f>'Income Statement'!AF11</f>
        <v>275454.07966324827</v>
      </c>
      <c r="G10" s="20">
        <f>'Income Statement'!AG11</f>
        <v>349301.04812344548</v>
      </c>
    </row>
    <row r="11" spans="1:7" ht="15" customHeight="1" x14ac:dyDescent="0.45">
      <c r="A11" s="9" t="s">
        <v>87</v>
      </c>
      <c r="B11" s="19">
        <f>'Income Statement'!AB12</f>
        <v>0.62837529118323388</v>
      </c>
      <c r="C11" s="19">
        <f>'Income Statement'!AC12</f>
        <v>0.65313332600873464</v>
      </c>
      <c r="D11" s="19">
        <f>'Income Statement'!AD12</f>
        <v>0.63564677689572535</v>
      </c>
      <c r="E11" s="19">
        <f>'Income Statement'!AE12</f>
        <v>0.6333610239538181</v>
      </c>
      <c r="F11" s="19">
        <f>'Income Statement'!AF12</f>
        <v>0.64567069320412107</v>
      </c>
      <c r="G11" s="19">
        <f>'Income Statement'!AG12</f>
        <v>0.65962416724343043</v>
      </c>
    </row>
    <row r="12" spans="1:7" ht="15" customHeight="1" x14ac:dyDescent="0.45">
      <c r="A12" s="9" t="s">
        <v>88</v>
      </c>
      <c r="B12" s="20">
        <f>'Income Statement'!AB17</f>
        <v>165749</v>
      </c>
      <c r="C12" s="20">
        <f>'Income Statement'!AC17</f>
        <v>186302</v>
      </c>
      <c r="D12" s="20">
        <f>'Income Statement'!AD17</f>
        <v>197100</v>
      </c>
      <c r="E12" s="20">
        <f>'Income Statement'!AE17</f>
        <v>204620.32</v>
      </c>
      <c r="F12" s="20">
        <f>'Income Statement'!AF17</f>
        <v>212469.69319999998</v>
      </c>
      <c r="G12" s="20">
        <f>'Income Statement'!AG17</f>
        <v>220622.97814000002</v>
      </c>
    </row>
    <row r="13" spans="1:7" ht="15" customHeight="1" x14ac:dyDescent="0.45">
      <c r="A13" s="10" t="s">
        <v>89</v>
      </c>
      <c r="B13" s="18">
        <f>'Income Statement'!AB18</f>
        <v>2036</v>
      </c>
      <c r="C13" s="18">
        <f>'Income Statement'!AC18</f>
        <v>3927</v>
      </c>
      <c r="D13" s="18">
        <f>'Income Statement'!AD18</f>
        <v>-17259</v>
      </c>
      <c r="E13" s="18">
        <f>'Income Statement'!AE18</f>
        <v>4689.0549062414793</v>
      </c>
      <c r="F13" s="18">
        <f>'Income Statement'!AF18</f>
        <v>62984.386463248287</v>
      </c>
      <c r="G13" s="18">
        <f>'Income Statement'!AG18</f>
        <v>128678.06998344546</v>
      </c>
    </row>
    <row r="14" spans="1:7" ht="15" customHeight="1" x14ac:dyDescent="0.45">
      <c r="A14" s="9" t="s">
        <v>90</v>
      </c>
      <c r="B14" s="19">
        <f>'Income Statement'!AB19</f>
        <v>7.6250683484761096E-3</v>
      </c>
      <c r="C14" s="19">
        <f>'Income Statement'!AC19</f>
        <v>1.3482984041530475E-2</v>
      </c>
      <c r="D14" s="19">
        <f>'Income Statement'!AD19</f>
        <v>-6.1001816729462831E-2</v>
      </c>
      <c r="E14" s="19">
        <f>'Income Statement'!AE19</f>
        <v>1.4188875286274711E-2</v>
      </c>
      <c r="F14" s="19">
        <f>'Income Statement'!AF19</f>
        <v>0.14763684937423599</v>
      </c>
      <c r="G14" s="19">
        <f>'Income Statement'!AG19</f>
        <v>0.24299716594416049</v>
      </c>
    </row>
    <row r="15" spans="1:7" ht="15" customHeight="1" x14ac:dyDescent="0.45">
      <c r="A15" s="10" t="s">
        <v>91</v>
      </c>
      <c r="B15" s="18">
        <f>'Income Statement'!AB27</f>
        <v>8881</v>
      </c>
      <c r="C15" s="18">
        <f>'Income Statement'!AC27</f>
        <v>12504</v>
      </c>
      <c r="D15" s="18">
        <f>'Income Statement'!AD27</f>
        <v>-14462</v>
      </c>
      <c r="E15" s="18">
        <f>'Income Statement'!AE27</f>
        <v>3347.4791076633128</v>
      </c>
      <c r="F15" s="18">
        <f>'Income Statement'!AF27</f>
        <v>54328.640738649861</v>
      </c>
      <c r="G15" s="18">
        <f>'Income Statement'!AG27</f>
        <v>109146.42262469132</v>
      </c>
    </row>
    <row r="16" spans="1:7" ht="15" customHeight="1" x14ac:dyDescent="0.45">
      <c r="A16" s="9" t="s">
        <v>92</v>
      </c>
      <c r="B16" s="21">
        <f>'Income Statement'!AB32</f>
        <v>0.15851285987113356</v>
      </c>
      <c r="C16" s="21">
        <f>'Income Statement'!AC32</f>
        <v>0.23030169079456295</v>
      </c>
      <c r="D16" s="21">
        <f>'Income Statement'!AD32</f>
        <v>-0.3076497617426821</v>
      </c>
      <c r="E16" s="21">
        <f>'Income Statement'!AE32</f>
        <v>7.2206971767670339E-2</v>
      </c>
      <c r="F16" s="21">
        <f>'Income Statement'!AF32</f>
        <v>1.1783420973116268</v>
      </c>
      <c r="G16" s="21">
        <f>'Income Statement'!AG32</f>
        <v>2.3672932508717155</v>
      </c>
    </row>
    <row r="17" spans="1:7" ht="15" customHeight="1" x14ac:dyDescent="0.45">
      <c r="A17" s="16" t="s">
        <v>93</v>
      </c>
      <c r="B17" s="17"/>
      <c r="C17" s="17"/>
      <c r="D17" s="17"/>
      <c r="E17" s="17"/>
      <c r="F17" s="17"/>
      <c r="G17" s="17"/>
    </row>
    <row r="18" spans="1:7" ht="15" customHeight="1" x14ac:dyDescent="0.45">
      <c r="A18" s="10" t="s">
        <v>47</v>
      </c>
      <c r="B18" s="18">
        <f>'Income Statement'!AB51</f>
        <v>75309</v>
      </c>
      <c r="C18" s="18">
        <f>'Income Statement'!AC51</f>
        <v>92325</v>
      </c>
      <c r="D18" s="18">
        <f>'Income Statement'!AD51</f>
        <v>61640</v>
      </c>
      <c r="E18" s="18">
        <f>'Income Statement'!AE51</f>
        <v>86075.853765154054</v>
      </c>
      <c r="F18" s="18">
        <f>'Income Statement'!AF51</f>
        <v>163239.37620056191</v>
      </c>
      <c r="G18" s="18">
        <f>'Income Statement'!AG51</f>
        <v>253121.27625959821</v>
      </c>
    </row>
    <row r="19" spans="1:7" ht="15" customHeight="1" x14ac:dyDescent="0.45">
      <c r="A19" s="9" t="s">
        <v>94</v>
      </c>
      <c r="B19" s="19">
        <f>'Income Statement'!AB52</f>
        <v>0.28204139108810772</v>
      </c>
      <c r="C19" s="19">
        <f>'Income Statement'!AC52</f>
        <v>0.31698917790534786</v>
      </c>
      <c r="D19" s="19">
        <f>'Income Statement'!AD52</f>
        <v>0.21786615581459462</v>
      </c>
      <c r="E19" s="19">
        <f>'Income Statement'!AE52</f>
        <v>0.26046177292735972</v>
      </c>
      <c r="F19" s="19">
        <f>'Income Statement'!AF52</f>
        <v>0.38263684937423592</v>
      </c>
      <c r="G19" s="19">
        <f>'Income Statement'!AG52</f>
        <v>0.47799716594416047</v>
      </c>
    </row>
    <row r="20" spans="1:7" ht="15" customHeight="1" x14ac:dyDescent="0.45">
      <c r="A20" s="9" t="s">
        <v>95</v>
      </c>
      <c r="B20" s="20">
        <f>'Income Statement'!AB59</f>
        <v>28862</v>
      </c>
      <c r="C20" s="20">
        <f>'Income Statement'!AC59</f>
        <v>37676</v>
      </c>
      <c r="D20" s="20">
        <f>'Income Statement'!AD59</f>
        <v>38378</v>
      </c>
      <c r="E20" s="20">
        <f>'Income Statement'!AE59</f>
        <v>37659.544146725035</v>
      </c>
      <c r="F20" s="20">
        <f>'Income Statement'!AF59</f>
        <v>46927.867536614896</v>
      </c>
      <c r="G20" s="20">
        <f>'Income Statement'!AG59</f>
        <v>58250.011448411926</v>
      </c>
    </row>
    <row r="21" spans="1:7" ht="15" customHeight="1" x14ac:dyDescent="0.45">
      <c r="A21" s="9" t="s">
        <v>96</v>
      </c>
      <c r="B21" s="20">
        <f>'Income Statement'!AB62</f>
        <v>44770</v>
      </c>
      <c r="C21" s="20">
        <f>'Income Statement'!AC62</f>
        <v>45352</v>
      </c>
      <c r="D21" s="20">
        <f>'Income Statement'!AD62</f>
        <v>43769</v>
      </c>
      <c r="E21" s="20">
        <f>'Income Statement'!AE62</f>
        <v>43659.25471218754</v>
      </c>
      <c r="F21" s="20">
        <f>'Income Statement'!AF62</f>
        <v>53327.122200698745</v>
      </c>
      <c r="G21" s="20">
        <f>'Income Statement'!AG62</f>
        <v>66193.194827740823</v>
      </c>
    </row>
    <row r="22" spans="1:7" ht="15" customHeight="1" x14ac:dyDescent="0.45">
      <c r="A22" s="10" t="s">
        <v>97</v>
      </c>
      <c r="B22" s="18">
        <f>'Cash Flow'!AA23</f>
        <v>81121</v>
      </c>
      <c r="C22" s="18">
        <f>'Cash Flow'!AB23</f>
        <v>73425</v>
      </c>
      <c r="D22" s="18">
        <f>'Cash Flow'!AC23</f>
        <v>81059</v>
      </c>
      <c r="E22" s="18">
        <f>'Cash Flow'!AD23</f>
        <v>76321.101237731127</v>
      </c>
      <c r="F22" s="18">
        <f>'Cash Flow'!AE23</f>
        <v>151152.96259225081</v>
      </c>
      <c r="G22" s="18">
        <f>'Cash Flow'!AF23</f>
        <v>229315.70396826166</v>
      </c>
    </row>
    <row r="23" spans="1:7" ht="15" customHeight="1" x14ac:dyDescent="0.45">
      <c r="A23" s="10" t="s">
        <v>98</v>
      </c>
      <c r="B23" s="18">
        <f>'Cash Flow'!AA50</f>
        <v>52833</v>
      </c>
      <c r="C23" s="18">
        <f>'Cash Flow'!AB50</f>
        <v>34897</v>
      </c>
      <c r="D23" s="18">
        <f>'Cash Flow'!AC50</f>
        <v>46203</v>
      </c>
      <c r="E23" s="18">
        <f>'Cash Flow'!AD50</f>
        <v>46184.101237731127</v>
      </c>
      <c r="F23" s="18">
        <f>'Cash Flow'!AE50</f>
        <v>117152.96259225081</v>
      </c>
      <c r="G23" s="18">
        <f>'Cash Flow'!AF50</f>
        <v>195315.70396826166</v>
      </c>
    </row>
    <row r="24" spans="1:7" ht="15" customHeight="1" x14ac:dyDescent="0.45">
      <c r="A24" s="9" t="s">
        <v>99</v>
      </c>
      <c r="B24" s="19">
        <f>'Cash Flow'!AA51</f>
        <v>0.19786602949658069</v>
      </c>
      <c r="C24" s="19">
        <f>'Cash Flow'!AB51</f>
        <v>0.11981555744774357</v>
      </c>
      <c r="D24" s="19">
        <f>'Cash Flow'!AC51</f>
        <v>0.16330418554675075</v>
      </c>
      <c r="E24" s="19">
        <f>'Cash Flow'!AD51</f>
        <v>0.13975107260923711</v>
      </c>
      <c r="F24" s="19">
        <f>'Cash Flow'!AE51</f>
        <v>0.27460923672043697</v>
      </c>
      <c r="G24" s="19">
        <f>'Cash Flow'!AF51</f>
        <v>0.36883645002432908</v>
      </c>
    </row>
    <row r="25" spans="1:7" ht="15" customHeight="1" x14ac:dyDescent="0.45">
      <c r="A25" s="9" t="s">
        <v>100</v>
      </c>
      <c r="B25" s="20">
        <f>'Cash Flow'!AA40</f>
        <v>-59268</v>
      </c>
      <c r="C25" s="20">
        <f>'Cash Flow'!AB40</f>
        <v>-75332</v>
      </c>
      <c r="D25" s="20">
        <f>'Cash Flow'!AC40</f>
        <v>-46498</v>
      </c>
      <c r="E25" s="20">
        <f>'Cash Flow'!AD40</f>
        <v>-50500</v>
      </c>
      <c r="F25" s="20">
        <f>'Cash Flow'!AE40</f>
        <v>-40000</v>
      </c>
      <c r="G25" s="20">
        <f>'Cash Flow'!AF40</f>
        <v>-40000</v>
      </c>
    </row>
    <row r="26" spans="1:7" ht="15" customHeight="1" x14ac:dyDescent="0.45">
      <c r="A26" s="16" t="s">
        <v>101</v>
      </c>
      <c r="B26" s="17"/>
      <c r="C26" s="17"/>
      <c r="D26" s="17"/>
      <c r="E26" s="17"/>
      <c r="F26" s="17"/>
      <c r="G26" s="17"/>
    </row>
    <row r="27" spans="1:7" ht="15" customHeight="1" x14ac:dyDescent="0.45">
      <c r="A27" s="10" t="s">
        <v>102</v>
      </c>
      <c r="B27" s="18">
        <f>'Balance Sheet'!AB45</f>
        <v>175344</v>
      </c>
      <c r="C27" s="18">
        <f>'Balance Sheet'!AC45</f>
        <v>140587</v>
      </c>
      <c r="D27" s="18">
        <f>'Balance Sheet'!AD45</f>
        <v>145518</v>
      </c>
      <c r="E27" s="18">
        <f>'Balance Sheet'!AE45</f>
        <v>141323.10123773111</v>
      </c>
      <c r="F27" s="18">
        <f>'Balance Sheet'!AF45</f>
        <v>222476.06382998195</v>
      </c>
      <c r="G27" s="18">
        <f>'Balance Sheet'!AG45</f>
        <v>381791.76779824356</v>
      </c>
    </row>
    <row r="28" spans="1:7" ht="15" customHeight="1" x14ac:dyDescent="0.45">
      <c r="A28" s="9" t="s">
        <v>103</v>
      </c>
      <c r="B28" s="20">
        <f>'Balance Sheet'!AB11</f>
        <v>375468</v>
      </c>
      <c r="C28" s="20">
        <f>'Balance Sheet'!AC11</f>
        <v>424814</v>
      </c>
      <c r="D28" s="20">
        <f>'Balance Sheet'!AD11</f>
        <v>358240</v>
      </c>
      <c r="E28" s="20">
        <f>'Balance Sheet'!AE11</f>
        <v>448506.54424422991</v>
      </c>
      <c r="F28" s="20">
        <f>'Balance Sheet'!AF11</f>
        <v>559598.02722934366</v>
      </c>
      <c r="G28" s="20">
        <f>'Balance Sheet'!AG11</f>
        <v>692744.27536817733</v>
      </c>
    </row>
    <row r="29" spans="1:7" ht="15" customHeight="1" x14ac:dyDescent="0.45">
      <c r="A29" s="9" t="s">
        <v>104</v>
      </c>
      <c r="B29" s="20">
        <f>'Balance Sheet'!AB23</f>
        <v>347673</v>
      </c>
      <c r="C29" s="20">
        <f>'Balance Sheet'!AC23</f>
        <v>386602</v>
      </c>
      <c r="D29" s="20">
        <f>'Balance Sheet'!AD23</f>
        <v>343619</v>
      </c>
      <c r="E29" s="20">
        <f>'Balance Sheet'!AE23</f>
        <v>430553.22551538516</v>
      </c>
      <c r="F29" s="20">
        <f>'Balance Sheet'!AF23</f>
        <v>537197.81507678621</v>
      </c>
      <c r="G29" s="20">
        <f>'Balance Sheet'!AG23</f>
        <v>665014.33712563745</v>
      </c>
    </row>
    <row r="30" spans="1:7" ht="15" customHeight="1" x14ac:dyDescent="0.45">
      <c r="A30" s="9" t="s">
        <v>105</v>
      </c>
      <c r="B30" s="20">
        <f>'Balance Sheet'!AB35</f>
        <v>296199</v>
      </c>
      <c r="C30" s="20">
        <f>'Balance Sheet'!AC35</f>
        <v>277263</v>
      </c>
      <c r="D30" s="20">
        <f>'Balance Sheet'!AD35</f>
        <v>262589</v>
      </c>
      <c r="E30" s="20">
        <f>'Balance Sheet'!AE35</f>
        <v>258612.02325438833</v>
      </c>
      <c r="F30" s="20">
        <f>'Balance Sheet'!AF35</f>
        <v>323868.53152965318</v>
      </c>
      <c r="G30" s="20">
        <f>'Balance Sheet'!AG35</f>
        <v>455264.96560275648</v>
      </c>
    </row>
  </sheetData>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9000"/>
    <pageSetUpPr fitToPage="1"/>
  </sheetPr>
  <dimension ref="A1:AH42"/>
  <sheetViews>
    <sheetView showGridLines="0" zoomScale="90" zoomScaleNormal="90" workbookViewId="0">
      <pane xSplit="1" ySplit="6" topLeftCell="B7" activePane="bottomRight" state="frozen"/>
      <selection pane="topRight" activeCell="B1" sqref="B1"/>
      <selection pane="bottomLeft" activeCell="A7" sqref="A7"/>
      <selection pane="bottomRight" activeCell="B7" sqref="B7"/>
    </sheetView>
  </sheetViews>
  <sheetFormatPr defaultColWidth="8.6640625" defaultRowHeight="14.25" x14ac:dyDescent="0.45"/>
  <cols>
    <col min="1" max="1" width="46" customWidth="1"/>
    <col min="2" max="25" width="10.53125" customWidth="1"/>
    <col min="26" max="26" width="2" customWidth="1"/>
    <col min="27" max="32" width="11.46484375" customWidth="1"/>
    <col min="33" max="33" width="2" customWidth="1"/>
    <col min="34" max="34" width="78" customWidth="1"/>
  </cols>
  <sheetData>
    <row r="1" spans="1:34" ht="17.25" customHeight="1" x14ac:dyDescent="0.5">
      <c r="A1" s="13" t="s">
        <v>106</v>
      </c>
    </row>
    <row r="2" spans="1:34" ht="15" customHeight="1" x14ac:dyDescent="0.45">
      <c r="A2" s="4" t="s">
        <v>107</v>
      </c>
    </row>
    <row r="4" spans="1:34" ht="15" customHeight="1" x14ac:dyDescent="0.45">
      <c r="A4" s="5" t="s">
        <v>108</v>
      </c>
      <c r="B4" s="22" t="s">
        <v>109</v>
      </c>
      <c r="C4" s="22" t="s">
        <v>110</v>
      </c>
      <c r="D4" s="22" t="s">
        <v>111</v>
      </c>
      <c r="E4" s="22" t="s">
        <v>112</v>
      </c>
      <c r="F4" s="22" t="s">
        <v>113</v>
      </c>
      <c r="G4" s="22" t="s">
        <v>114</v>
      </c>
      <c r="H4" s="22" t="s">
        <v>115</v>
      </c>
      <c r="I4" s="22" t="s">
        <v>116</v>
      </c>
      <c r="J4" s="22" t="s">
        <v>117</v>
      </c>
      <c r="K4" s="22" t="s">
        <v>118</v>
      </c>
      <c r="L4" s="22" t="s">
        <v>119</v>
      </c>
      <c r="M4" s="22" t="s">
        <v>120</v>
      </c>
      <c r="N4" s="22" t="s">
        <v>121</v>
      </c>
      <c r="O4" s="22" t="s">
        <v>122</v>
      </c>
      <c r="P4" s="23" t="s">
        <v>123</v>
      </c>
      <c r="Q4" s="23" t="s">
        <v>124</v>
      </c>
      <c r="R4" s="23" t="s">
        <v>125</v>
      </c>
      <c r="S4" s="23" t="s">
        <v>126</v>
      </c>
      <c r="T4" s="23" t="s">
        <v>127</v>
      </c>
      <c r="U4" s="23" t="s">
        <v>128</v>
      </c>
      <c r="V4" s="23" t="s">
        <v>129</v>
      </c>
      <c r="W4" s="23" t="s">
        <v>130</v>
      </c>
      <c r="X4" s="23" t="s">
        <v>131</v>
      </c>
      <c r="Y4" s="23" t="s">
        <v>132</v>
      </c>
      <c r="AA4" s="14" t="s">
        <v>73</v>
      </c>
      <c r="AB4" s="14" t="s">
        <v>74</v>
      </c>
      <c r="AC4" s="14" t="s">
        <v>75</v>
      </c>
      <c r="AD4" s="15" t="s">
        <v>76</v>
      </c>
      <c r="AE4" s="15" t="s">
        <v>77</v>
      </c>
      <c r="AF4" s="15" t="s">
        <v>78</v>
      </c>
      <c r="AH4" s="5" t="s">
        <v>133</v>
      </c>
    </row>
    <row r="5" spans="1:34" ht="15" customHeight="1" x14ac:dyDescent="0.45">
      <c r="A5" s="5" t="s">
        <v>134</v>
      </c>
      <c r="B5" s="24">
        <v>45016</v>
      </c>
      <c r="C5" s="24">
        <v>45107</v>
      </c>
      <c r="D5" s="24">
        <v>45199</v>
      </c>
      <c r="E5" s="24">
        <v>45291</v>
      </c>
      <c r="F5" s="24">
        <v>45382</v>
      </c>
      <c r="G5" s="24">
        <v>45473</v>
      </c>
      <c r="H5" s="24">
        <v>45565</v>
      </c>
      <c r="I5" s="24">
        <v>45657</v>
      </c>
      <c r="J5" s="24">
        <v>45747</v>
      </c>
      <c r="K5" s="24">
        <v>45838</v>
      </c>
      <c r="L5" s="24">
        <v>45930</v>
      </c>
      <c r="M5" s="24">
        <v>46022</v>
      </c>
      <c r="N5" s="24">
        <v>46112</v>
      </c>
      <c r="O5" s="24">
        <v>46203</v>
      </c>
      <c r="P5" s="25">
        <v>46295</v>
      </c>
      <c r="Q5" s="25">
        <v>46387</v>
      </c>
      <c r="R5" s="25">
        <v>46477</v>
      </c>
      <c r="S5" s="25">
        <v>46568</v>
      </c>
      <c r="T5" s="25">
        <v>46660</v>
      </c>
      <c r="U5" s="25">
        <v>46752</v>
      </c>
      <c r="V5" s="25">
        <v>46843</v>
      </c>
      <c r="W5" s="25">
        <v>46934</v>
      </c>
      <c r="X5" s="25">
        <v>47026</v>
      </c>
      <c r="Y5" s="25">
        <v>47118</v>
      </c>
      <c r="AA5" s="26">
        <v>45291</v>
      </c>
      <c r="AB5" s="26">
        <v>45657</v>
      </c>
      <c r="AC5" s="26">
        <v>46022</v>
      </c>
      <c r="AD5" s="27">
        <v>46387</v>
      </c>
      <c r="AE5" s="27">
        <v>46752</v>
      </c>
      <c r="AF5" s="27">
        <v>47118</v>
      </c>
      <c r="AH5" s="6"/>
    </row>
    <row r="6" spans="1:34" ht="15" customHeight="1" x14ac:dyDescent="0.45">
      <c r="A6" s="5" t="s">
        <v>79</v>
      </c>
      <c r="B6" s="22" t="s">
        <v>80</v>
      </c>
      <c r="C6" s="22" t="s">
        <v>80</v>
      </c>
      <c r="D6" s="22" t="s">
        <v>80</v>
      </c>
      <c r="E6" s="22" t="s">
        <v>80</v>
      </c>
      <c r="F6" s="22" t="s">
        <v>80</v>
      </c>
      <c r="G6" s="22" t="s">
        <v>80</v>
      </c>
      <c r="H6" s="22" t="s">
        <v>80</v>
      </c>
      <c r="I6" s="22" t="s">
        <v>80</v>
      </c>
      <c r="J6" s="22" t="s">
        <v>80</v>
      </c>
      <c r="K6" s="22" t="s">
        <v>80</v>
      </c>
      <c r="L6" s="22" t="s">
        <v>80</v>
      </c>
      <c r="M6" s="22" t="s">
        <v>80</v>
      </c>
      <c r="N6" s="22" t="s">
        <v>80</v>
      </c>
      <c r="O6" s="22" t="s">
        <v>80</v>
      </c>
      <c r="P6" s="23" t="s">
        <v>82</v>
      </c>
      <c r="Q6" s="23" t="s">
        <v>82</v>
      </c>
      <c r="R6" s="23" t="s">
        <v>82</v>
      </c>
      <c r="S6" s="23" t="s">
        <v>82</v>
      </c>
      <c r="T6" s="23" t="s">
        <v>82</v>
      </c>
      <c r="U6" s="23" t="s">
        <v>82</v>
      </c>
      <c r="V6" s="23" t="s">
        <v>82</v>
      </c>
      <c r="W6" s="23" t="s">
        <v>82</v>
      </c>
      <c r="X6" s="23" t="s">
        <v>82</v>
      </c>
      <c r="Y6" s="23" t="s">
        <v>82</v>
      </c>
      <c r="AA6" s="14" t="s">
        <v>80</v>
      </c>
      <c r="AB6" s="14" t="s">
        <v>80</v>
      </c>
      <c r="AC6" s="14" t="s">
        <v>80</v>
      </c>
      <c r="AD6" s="15" t="s">
        <v>81</v>
      </c>
      <c r="AE6" s="15" t="s">
        <v>82</v>
      </c>
      <c r="AF6" s="15" t="s">
        <v>82</v>
      </c>
      <c r="AH6" s="6"/>
    </row>
    <row r="8" spans="1:34" ht="15" customHeight="1" x14ac:dyDescent="0.45">
      <c r="A8" s="16" t="s">
        <v>135</v>
      </c>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row>
    <row r="9" spans="1:34" ht="21.75" customHeight="1" x14ac:dyDescent="0.45">
      <c r="A9" s="9" t="s">
        <v>136</v>
      </c>
      <c r="F9" s="19">
        <f>'Income Statement'!G9/'Income Statement'!C9-1</f>
        <v>0.20383706029924009</v>
      </c>
      <c r="G9" s="19">
        <f>'Income Statement'!H9/'Income Statement'!D9-1</f>
        <v>6.2166429812095414E-2</v>
      </c>
      <c r="H9" s="19">
        <f>'Income Statement'!I9/'Income Statement'!E9-1</f>
        <v>0.12734582345273804</v>
      </c>
      <c r="I9" s="19">
        <f>'Income Statement'!J9/'Income Statement'!F9-1</f>
        <v>1.0661938534278992E-2</v>
      </c>
      <c r="J9" s="19">
        <f>'Income Statement'!K9/'Income Statement'!G9-1</f>
        <v>-4.3117794335917004E-2</v>
      </c>
      <c r="K9" s="19">
        <f>'Income Statement'!L9/'Income Statement'!H9-1</f>
        <v>5.6907547534452263E-2</v>
      </c>
      <c r="L9" s="19">
        <f>'Income Statement'!M9/'Income Statement'!I9-1</f>
        <v>-5.3297300309252504E-2</v>
      </c>
      <c r="M9" s="19">
        <f>'Income Statement'!N9/'Income Statement'!J9-1</f>
        <v>-6.3811372833384006E-2</v>
      </c>
      <c r="N9" s="19">
        <f>'Income Statement'!O9/'Income Statement'!K9-1</f>
        <v>-1.97101449275362E-2</v>
      </c>
      <c r="O9" s="19">
        <f>'Income Statement'!P9/'Income Statement'!L9-1</f>
        <v>0.1054645193051551</v>
      </c>
      <c r="P9" s="28">
        <v>0.1</v>
      </c>
      <c r="Q9" s="28">
        <v>0.1</v>
      </c>
      <c r="R9" s="28">
        <v>0.1</v>
      </c>
      <c r="S9" s="28">
        <v>0.1</v>
      </c>
      <c r="T9" s="28">
        <v>0.1</v>
      </c>
      <c r="U9" s="28">
        <v>0.1</v>
      </c>
      <c r="V9" s="28">
        <v>0.1</v>
      </c>
      <c r="W9" s="28">
        <v>0.1</v>
      </c>
      <c r="X9" s="28">
        <v>0.1</v>
      </c>
      <c r="Y9" s="28">
        <v>0.1</v>
      </c>
      <c r="AB9" s="19">
        <f>'Income Statement'!AC35</f>
        <v>9.0789247005774953E-2</v>
      </c>
      <c r="AC9" s="19">
        <f>'Income Statement'!AD35</f>
        <v>-2.8600269179004045E-2</v>
      </c>
      <c r="AD9" s="19">
        <f>'Income Statement'!AE35</f>
        <v>0.16805821203247606</v>
      </c>
      <c r="AE9" s="19">
        <f>'Income Statement'!AF35</f>
        <v>0.29092433577518784</v>
      </c>
      <c r="AF9" s="19">
        <f>'Income Statement'!AG35</f>
        <v>0.24126695940238641</v>
      </c>
      <c r="AH9" s="29" t="s">
        <v>137</v>
      </c>
    </row>
    <row r="10" spans="1:34" ht="21.75" customHeight="1" x14ac:dyDescent="0.45">
      <c r="A10" s="9" t="s">
        <v>138</v>
      </c>
      <c r="F10" s="19">
        <f>'Income Statement'!G10/'Income Statement'!C10-1</f>
        <v>6.5415077735406335E-2</v>
      </c>
      <c r="G10" s="19">
        <f>'Income Statement'!H10/'Income Statement'!D10-1</f>
        <v>3.7100570471138017E-3</v>
      </c>
      <c r="H10" s="19">
        <f>'Income Statement'!I10/'Income Statement'!E10-1</f>
        <v>-2.2344869878502149E-2</v>
      </c>
      <c r="I10" s="19">
        <f>'Income Statement'!J10/'Income Statement'!F10-1</f>
        <v>3.0031394580304127E-2</v>
      </c>
      <c r="J10" s="19">
        <f>'Income Statement'!K10/'Income Statement'!G10-1</f>
        <v>6.4505978602895642E-3</v>
      </c>
      <c r="K10" s="19">
        <f>'Income Statement'!L10/'Income Statement'!H10-1</f>
        <v>5.771065182829882E-2</v>
      </c>
      <c r="L10" s="19">
        <f>'Income Statement'!M10/'Income Statement'!I10-1</f>
        <v>-4.1163556531284007E-3</v>
      </c>
      <c r="M10" s="19">
        <f>'Income Statement'!N10/'Income Statement'!J10-1</f>
        <v>2.1937036294365386E-2</v>
      </c>
      <c r="N10" s="19">
        <f>'Income Statement'!O10/'Income Statement'!K10-1</f>
        <v>1.9774894481788374E-2</v>
      </c>
      <c r="O10" s="19">
        <f>'Income Statement'!P10/'Income Statement'!L10-1</f>
        <v>-2.7619119194348452E-2</v>
      </c>
      <c r="P10" s="28">
        <v>0.03</v>
      </c>
      <c r="Q10" s="28">
        <v>0.03</v>
      </c>
      <c r="R10" s="28">
        <v>0.03</v>
      </c>
      <c r="S10" s="28">
        <v>0.03</v>
      </c>
      <c r="T10" s="28">
        <v>0.03</v>
      </c>
      <c r="U10" s="28">
        <v>0.03</v>
      </c>
      <c r="V10" s="28">
        <v>0.03</v>
      </c>
      <c r="W10" s="28">
        <v>0.03</v>
      </c>
      <c r="X10" s="28">
        <v>0.03</v>
      </c>
      <c r="Y10" s="28">
        <v>0.03</v>
      </c>
      <c r="AB10" s="19">
        <f>'Income Statement'!AC10/'Income Statement'!AB10-1</f>
        <v>1.8119702909431767E-2</v>
      </c>
      <c r="AC10" s="19">
        <f>'Income Statement'!AD10/'Income Statement'!AC10-1</f>
        <v>2.0370791966503932E-2</v>
      </c>
      <c r="AD10" s="19">
        <f>'Income Statement'!AE10/'Income Statement'!AD10-1</f>
        <v>0.17538597071599971</v>
      </c>
      <c r="AE10" s="19">
        <f>'Income Statement'!AF10/'Income Statement'!AE10-1</f>
        <v>0.24758237641253111</v>
      </c>
      <c r="AF10" s="19">
        <f>'Income Statement'!AG10/'Income Statement'!AF10-1</f>
        <v>0.19238591580344044</v>
      </c>
      <c r="AH10" s="29" t="s">
        <v>139</v>
      </c>
    </row>
    <row r="11" spans="1:34" ht="15" customHeight="1" x14ac:dyDescent="0.45">
      <c r="A11" s="9" t="s">
        <v>140</v>
      </c>
      <c r="F11" s="19">
        <f>'Income Statement'!G14/'Income Statement'!C14-1</f>
        <v>0.22142089918674235</v>
      </c>
      <c r="G11" s="19">
        <f>'Income Statement'!H14/'Income Statement'!D14-1</f>
        <v>0.28662704309063902</v>
      </c>
      <c r="H11" s="19">
        <f>'Income Statement'!I14/'Income Statement'!E14-1</f>
        <v>0.32845945131142606</v>
      </c>
      <c r="I11" s="19">
        <f>'Income Statement'!J14/'Income Statement'!F14-1</f>
        <v>0.1438796377446685</v>
      </c>
      <c r="J11" s="19">
        <f>'Income Statement'!K14/'Income Statement'!G14-1</f>
        <v>0.1020100502512562</v>
      </c>
      <c r="K11" s="19">
        <f>'Income Statement'!L14/'Income Statement'!H14-1</f>
        <v>5.2777456981175641E-2</v>
      </c>
      <c r="L11" s="19">
        <f>'Income Statement'!M14/'Income Statement'!I14-1</f>
        <v>9.1115397707931534E-2</v>
      </c>
      <c r="M11" s="19">
        <f>'Income Statement'!N14/'Income Statement'!J14-1</f>
        <v>-0.1934618822628017</v>
      </c>
      <c r="N11" s="19">
        <f>'Income Statement'!O14/'Income Statement'!K14-1</f>
        <v>-8.960328317373456E-2</v>
      </c>
      <c r="O11" s="19">
        <f>'Income Statement'!P14/'Income Statement'!L14-1</f>
        <v>3.5103115401491358E-3</v>
      </c>
      <c r="P11" s="28">
        <v>0.03</v>
      </c>
      <c r="Q11" s="28">
        <v>0.03</v>
      </c>
      <c r="R11" s="28">
        <v>0.03</v>
      </c>
      <c r="S11" s="28">
        <v>0.03</v>
      </c>
      <c r="T11" s="28">
        <v>0.03</v>
      </c>
      <c r="U11" s="28">
        <v>0.03</v>
      </c>
      <c r="V11" s="28">
        <v>0.03</v>
      </c>
      <c r="W11" s="28">
        <v>0.03</v>
      </c>
      <c r="X11" s="28">
        <v>0.03</v>
      </c>
      <c r="Y11" s="28">
        <v>0.03</v>
      </c>
      <c r="AB11" s="19">
        <f>'Income Statement'!AC14/'Income Statement'!AB14-1</f>
        <v>0.24454671306169784</v>
      </c>
      <c r="AC11" s="19">
        <f>'Income Statement'!AD14/'Income Statement'!AC14-1</f>
        <v>1.6745332651895595E-2</v>
      </c>
      <c r="AD11" s="19">
        <f>'Income Statement'!AE14/'Income Statement'!AD14-1</f>
        <v>-8.1620342992312356E-3</v>
      </c>
      <c r="AE11" s="19">
        <f>'Income Statement'!AF14/'Income Statement'!AE14-1</f>
        <v>3.0000000000000027E-2</v>
      </c>
      <c r="AF11" s="19">
        <f>'Income Statement'!AG14/'Income Statement'!AF14-1</f>
        <v>3.0000000000000027E-2</v>
      </c>
      <c r="AH11" s="29" t="s">
        <v>141</v>
      </c>
    </row>
    <row r="12" spans="1:34" ht="15" customHeight="1" x14ac:dyDescent="0.45">
      <c r="A12" s="9" t="s">
        <v>142</v>
      </c>
      <c r="F12" s="19">
        <f>'Income Statement'!G15/'Income Statement'!C15-1</f>
        <v>7.2988282094521573E-2</v>
      </c>
      <c r="G12" s="19">
        <f>'Income Statement'!H15/'Income Statement'!D15-1</f>
        <v>0.16582534073700161</v>
      </c>
      <c r="H12" s="19">
        <f>'Income Statement'!I15/'Income Statement'!E15-1</f>
        <v>0.21436990724132632</v>
      </c>
      <c r="I12" s="19">
        <f>'Income Statement'!J15/'Income Statement'!F15-1</f>
        <v>0.16754286837321275</v>
      </c>
      <c r="J12" s="19">
        <f>'Income Statement'!K15/'Income Statement'!G15-1</f>
        <v>7.9951642151924185E-2</v>
      </c>
      <c r="K12" s="19">
        <f>'Income Statement'!L15/'Income Statement'!H15-1</f>
        <v>9.1145269538861262E-2</v>
      </c>
      <c r="L12" s="19">
        <f>'Income Statement'!M15/'Income Statement'!I15-1</f>
        <v>8.5921674544226834E-2</v>
      </c>
      <c r="M12" s="19">
        <f>'Income Statement'!N15/'Income Statement'!J15-1</f>
        <v>6.0850902663805106E-2</v>
      </c>
      <c r="N12" s="19">
        <f>'Income Statement'!O15/'Income Statement'!K15-1</f>
        <v>8.0823911339975352E-2</v>
      </c>
      <c r="O12" s="19">
        <f>'Income Statement'!P15/'Income Statement'!L15-1</f>
        <v>3.6904761904761996E-2</v>
      </c>
      <c r="P12" s="28">
        <v>0.04</v>
      </c>
      <c r="Q12" s="28">
        <v>0.04</v>
      </c>
      <c r="R12" s="28">
        <v>0.04</v>
      </c>
      <c r="S12" s="28">
        <v>0.04</v>
      </c>
      <c r="T12" s="28">
        <v>0.04</v>
      </c>
      <c r="U12" s="28">
        <v>0.04</v>
      </c>
      <c r="V12" s="28">
        <v>0.04</v>
      </c>
      <c r="W12" s="28">
        <v>0.04</v>
      </c>
      <c r="X12" s="28">
        <v>0.04</v>
      </c>
      <c r="Y12" s="28">
        <v>0.04</v>
      </c>
      <c r="AB12" s="19">
        <f>'Income Statement'!AC15/'Income Statement'!AB15-1</f>
        <v>0.15175778655362726</v>
      </c>
      <c r="AC12" s="19">
        <f>'Income Statement'!AD15/'Income Statement'!AC15-1</f>
        <v>7.9386383415994688E-2</v>
      </c>
      <c r="AD12" s="19">
        <f>'Income Statement'!AE15/'Income Statement'!AD15-1</f>
        <v>4.9870215659607586E-2</v>
      </c>
      <c r="AE12" s="19">
        <f>'Income Statement'!AF15/'Income Statement'!AE15-1</f>
        <v>4.0000000000000036E-2</v>
      </c>
      <c r="AF12" s="19">
        <f>'Income Statement'!AG15/'Income Statement'!AF15-1</f>
        <v>4.0000000000000258E-2</v>
      </c>
      <c r="AH12" s="29" t="s">
        <v>143</v>
      </c>
    </row>
    <row r="13" spans="1:34" ht="15" customHeight="1" x14ac:dyDescent="0.45">
      <c r="A13" s="9" t="s">
        <v>144</v>
      </c>
      <c r="F13" s="19">
        <f>'Income Statement'!G16/'Income Statement'!C16-1</f>
        <v>0.11573337575564757</v>
      </c>
      <c r="G13" s="19">
        <f>'Income Statement'!H16/'Income Statement'!D16-1</f>
        <v>-0.23964575489208251</v>
      </c>
      <c r="H13" s="19">
        <f>'Income Statement'!I16/'Income Statement'!E16-1</f>
        <v>0.26011656952539552</v>
      </c>
      <c r="I13" s="19">
        <f>'Income Statement'!J16/'Income Statement'!F16-1</f>
        <v>0.10884194053208129</v>
      </c>
      <c r="J13" s="19">
        <f>'Income Statement'!K16/'Income Statement'!G16-1</f>
        <v>3.8639766165252665E-2</v>
      </c>
      <c r="K13" s="19">
        <f>'Income Statement'!L16/'Income Statement'!H16-1</f>
        <v>8.9970707211605605E-2</v>
      </c>
      <c r="L13" s="19">
        <f>'Income Statement'!M16/'Income Statement'!I16-1</f>
        <v>3.2641733844324117E-2</v>
      </c>
      <c r="M13" s="19">
        <f>'Income Statement'!N16/'Income Statement'!J16-1</f>
        <v>2.4274927669183599E-2</v>
      </c>
      <c r="N13" s="19">
        <f>'Income Statement'!O16/'Income Statement'!K16-1</f>
        <v>1.55123893197886E-2</v>
      </c>
      <c r="O13" s="19">
        <f>'Income Statement'!P16/'Income Statement'!L16-1</f>
        <v>7.876887637573593E-2</v>
      </c>
      <c r="P13" s="28">
        <v>0.04</v>
      </c>
      <c r="Q13" s="28">
        <v>0.04</v>
      </c>
      <c r="R13" s="28">
        <v>0.04</v>
      </c>
      <c r="S13" s="28">
        <v>0.04</v>
      </c>
      <c r="T13" s="28">
        <v>0.04</v>
      </c>
      <c r="U13" s="28">
        <v>0.04</v>
      </c>
      <c r="V13" s="28">
        <v>0.04</v>
      </c>
      <c r="W13" s="28">
        <v>0.04</v>
      </c>
      <c r="X13" s="28">
        <v>0.04</v>
      </c>
      <c r="Y13" s="28">
        <v>0.04</v>
      </c>
      <c r="AB13" s="19">
        <f>'Income Statement'!AC16/'Income Statement'!AB16-1</f>
        <v>2.5809779611875028E-2</v>
      </c>
      <c r="AC13" s="19">
        <f>'Income Statement'!AD16/'Income Statement'!AC16-1</f>
        <v>4.6297901855384183E-2</v>
      </c>
      <c r="AD13" s="19">
        <f>'Income Statement'!AE16/'Income Statement'!AD16-1</f>
        <v>4.4128604574080299E-2</v>
      </c>
      <c r="AE13" s="19">
        <f>'Income Statement'!AF16/'Income Statement'!AE16-1</f>
        <v>4.0000000000000036E-2</v>
      </c>
      <c r="AF13" s="19">
        <f>'Income Statement'!AG16/'Income Statement'!AF16-1</f>
        <v>4.0000000000000036E-2</v>
      </c>
      <c r="AH13" s="29" t="s">
        <v>143</v>
      </c>
    </row>
    <row r="15" spans="1:34" ht="15" customHeight="1" x14ac:dyDescent="0.45">
      <c r="A15" s="16" t="s">
        <v>145</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row>
    <row r="16" spans="1:34" ht="21.75" customHeight="1" x14ac:dyDescent="0.45">
      <c r="A16" s="9" t="s">
        <v>146</v>
      </c>
      <c r="B16" s="19">
        <f>'Income Statement'!C62/'Income Statement'!C9</f>
        <v>0.20632772032414676</v>
      </c>
      <c r="C16" s="19">
        <f>'Income Statement'!D62/'Income Statement'!D9</f>
        <v>0.17208274119690509</v>
      </c>
      <c r="D16" s="19">
        <f>'Income Statement'!E62/'Income Statement'!E9</f>
        <v>0.17904423889316393</v>
      </c>
      <c r="E16" s="19">
        <f>'Income Statement'!F62/'Income Statement'!F9</f>
        <v>0.13048463356973997</v>
      </c>
      <c r="F16" s="19">
        <f>'Income Statement'!G62/'Income Statement'!G9</f>
        <v>0.16809343188258047</v>
      </c>
      <c r="G16" s="19">
        <f>'Income Statement'!H62/'Income Statement'!H9</f>
        <v>0.16852245529011253</v>
      </c>
      <c r="H16" s="19">
        <f>'Income Statement'!I62/'Income Statement'!I9</f>
        <v>0.15856852311035577</v>
      </c>
      <c r="I16" s="19">
        <f>'Income Statement'!J62/'Income Statement'!J9</f>
        <v>0.13357582278777105</v>
      </c>
      <c r="J16" s="19">
        <f>'Income Statement'!K62/'Income Statement'!K9</f>
        <v>0.18293772032902467</v>
      </c>
      <c r="K16" s="19">
        <f>'Income Statement'!L62/'Income Statement'!L9</f>
        <v>0.16683311062662634</v>
      </c>
      <c r="L16" s="19">
        <f>'Income Statement'!M62/'Income Statement'!M9</f>
        <v>0.15389935256032961</v>
      </c>
      <c r="M16" s="19">
        <f>'Income Statement'!N62/'Income Statement'!N9</f>
        <v>0.12209229692926567</v>
      </c>
      <c r="N16" s="19">
        <f>'Income Statement'!O62/'Income Statement'!O9</f>
        <v>0.15963686927613599</v>
      </c>
      <c r="O16" s="19">
        <f>'Income Statement'!P62/'Income Statement'!P9</f>
        <v>0.12732686117084219</v>
      </c>
      <c r="P16" s="28">
        <v>0.125</v>
      </c>
      <c r="Q16" s="28">
        <v>0.125</v>
      </c>
      <c r="R16" s="28">
        <v>0.125</v>
      </c>
      <c r="S16" s="28">
        <v>0.125</v>
      </c>
      <c r="T16" s="28">
        <v>0.125</v>
      </c>
      <c r="U16" s="28">
        <v>0.125</v>
      </c>
      <c r="V16" s="28">
        <v>0.125</v>
      </c>
      <c r="W16" s="28">
        <v>0.125</v>
      </c>
      <c r="X16" s="28">
        <v>0.125</v>
      </c>
      <c r="Y16" s="28">
        <v>0.125</v>
      </c>
      <c r="AA16" s="19">
        <f>'Income Statement'!AB62/'Income Statement'!AB9</f>
        <v>0.16766911098294471</v>
      </c>
      <c r="AB16" s="19">
        <f>'Income Statement'!AC62/'Income Statement'!AC9</f>
        <v>0.15571181366220782</v>
      </c>
      <c r="AC16" s="19">
        <f>'Income Statement'!AD62/'Income Statement'!AD9</f>
        <v>0.15470122929670657</v>
      </c>
      <c r="AD16" s="19">
        <f>'Income Statement'!AE62/'Income Statement'!AE9</f>
        <v>0.13211099733090403</v>
      </c>
      <c r="AE16" s="19">
        <f>'Income Statement'!AF62/'Income Statement'!AF9</f>
        <v>0.125</v>
      </c>
      <c r="AF16" s="19">
        <f>'Income Statement'!AG62/'Income Statement'!AG9</f>
        <v>0.125</v>
      </c>
      <c r="AH16" s="29" t="s">
        <v>147</v>
      </c>
    </row>
    <row r="17" spans="1:34" ht="21.75" customHeight="1" x14ac:dyDescent="0.45">
      <c r="A17" s="9" t="s">
        <v>148</v>
      </c>
      <c r="B17" s="19">
        <f>'Income Statement'!C59/'Income Statement'!C9</f>
        <v>0.12740267475228761</v>
      </c>
      <c r="C17" s="19">
        <f>'Income Statement'!D59/'Income Statement'!D9</f>
        <v>0.11473235433443865</v>
      </c>
      <c r="D17" s="19">
        <f>'Income Statement'!E59/'Income Statement'!E9</f>
        <v>0.11307065345415142</v>
      </c>
      <c r="E17" s="19">
        <f>'Income Statement'!F59/'Income Statement'!F9</f>
        <v>8.6725768321513005E-2</v>
      </c>
      <c r="F17" s="19">
        <f>'Income Statement'!G59/'Income Statement'!G9</f>
        <v>0.13659465375331703</v>
      </c>
      <c r="G17" s="19">
        <f>'Income Statement'!H59/'Income Statement'!H9</f>
        <v>0.14418659966997191</v>
      </c>
      <c r="H17" s="19">
        <f>'Income Statement'!I59/'Income Statement'!I9</f>
        <v>0.1317387791491377</v>
      </c>
      <c r="I17" s="19">
        <f>'Income Statement'!J59/'Income Statement'!J9</f>
        <v>0.11004420949217562</v>
      </c>
      <c r="J17" s="19">
        <f>'Income Statement'!K59/'Income Statement'!K9</f>
        <v>0.15194672933803369</v>
      </c>
      <c r="K17" s="19">
        <f>'Income Statement'!L59/'Income Statement'!L9</f>
        <v>0.13785779590688516</v>
      </c>
      <c r="L17" s="19">
        <f>'Income Statement'!M59/'Income Statement'!M9</f>
        <v>0.13994997057092406</v>
      </c>
      <c r="M17" s="19">
        <f>'Income Statement'!N59/'Income Statement'!N9</f>
        <v>0.11703270619393849</v>
      </c>
      <c r="N17" s="19">
        <f>'Income Statement'!O59/'Income Statement'!O9</f>
        <v>0.13566256972525453</v>
      </c>
      <c r="O17" s="19">
        <f>'Income Statement'!P59/'Income Statement'!P9</f>
        <v>0.10620538724822821</v>
      </c>
      <c r="P17" s="28">
        <v>0.11</v>
      </c>
      <c r="Q17" s="28">
        <v>0.11</v>
      </c>
      <c r="R17" s="28">
        <v>0.11</v>
      </c>
      <c r="S17" s="28">
        <v>0.11</v>
      </c>
      <c r="T17" s="28">
        <v>0.11</v>
      </c>
      <c r="U17" s="28">
        <v>0.11</v>
      </c>
      <c r="V17" s="28">
        <v>0.11</v>
      </c>
      <c r="W17" s="28">
        <v>0.11</v>
      </c>
      <c r="X17" s="28">
        <v>0.11</v>
      </c>
      <c r="Y17" s="28">
        <v>0.11</v>
      </c>
      <c r="AA17" s="19">
        <f>'Income Statement'!AB59/'Income Statement'!AB9</f>
        <v>0.10809171054701251</v>
      </c>
      <c r="AB17" s="19">
        <f>'Income Statement'!AC59/'Income Statement'!AC9</f>
        <v>0.12935699178729365</v>
      </c>
      <c r="AC17" s="19">
        <f>'Income Statement'!AD59/'Income Statement'!AD9</f>
        <v>0.13564677689572538</v>
      </c>
      <c r="AD17" s="19">
        <f>'Income Statement'!AE59/'Income Statement'!AE9</f>
        <v>0.11395613528103145</v>
      </c>
      <c r="AE17" s="19">
        <f>'Income Statement'!AF59/'Income Statement'!AF9</f>
        <v>0.11</v>
      </c>
      <c r="AF17" s="19">
        <f>'Income Statement'!AG59/'Income Statement'!AG9</f>
        <v>0.11</v>
      </c>
      <c r="AH17" s="29" t="s">
        <v>149</v>
      </c>
    </row>
    <row r="18" spans="1:34" ht="15" customHeight="1" x14ac:dyDescent="0.45">
      <c r="A18" s="9" t="s">
        <v>150</v>
      </c>
      <c r="B18" s="20">
        <f>'Income Statement'!C48</f>
        <v>0</v>
      </c>
      <c r="C18" s="20">
        <f>'Income Statement'!D48</f>
        <v>0</v>
      </c>
      <c r="D18" s="20">
        <f>'Income Statement'!E48</f>
        <v>0</v>
      </c>
      <c r="E18" s="20">
        <f>'Income Statement'!F48</f>
        <v>0</v>
      </c>
      <c r="F18" s="20">
        <f>'Income Statement'!G48</f>
        <v>0</v>
      </c>
      <c r="G18" s="20">
        <f>'Income Statement'!H48</f>
        <v>0</v>
      </c>
      <c r="H18" s="20">
        <f>'Income Statement'!I48</f>
        <v>0</v>
      </c>
      <c r="I18" s="20">
        <f>'Income Statement'!J48</f>
        <v>0</v>
      </c>
      <c r="J18" s="20">
        <f>'Income Statement'!K48</f>
        <v>0</v>
      </c>
      <c r="K18" s="20">
        <f>'Income Statement'!L48</f>
        <v>0</v>
      </c>
      <c r="L18" s="20">
        <f>'Income Statement'!M48</f>
        <v>538</v>
      </c>
      <c r="M18" s="20">
        <f>'Income Statement'!N48</f>
        <v>364</v>
      </c>
      <c r="N18" s="20">
        <f>'Income Statement'!O48</f>
        <v>438</v>
      </c>
      <c r="O18" s="20">
        <f>'Income Statement'!P48</f>
        <v>594</v>
      </c>
      <c r="P18" s="30">
        <v>0</v>
      </c>
      <c r="Q18" s="30">
        <v>0</v>
      </c>
      <c r="R18" s="30">
        <v>0</v>
      </c>
      <c r="S18" s="30">
        <v>0</v>
      </c>
      <c r="T18" s="30">
        <v>0</v>
      </c>
      <c r="U18" s="30">
        <v>0</v>
      </c>
      <c r="V18" s="30">
        <v>0</v>
      </c>
      <c r="W18" s="30">
        <v>0</v>
      </c>
      <c r="X18" s="30">
        <v>0</v>
      </c>
      <c r="Y18" s="30">
        <v>0</v>
      </c>
      <c r="AA18" s="31">
        <f>SUM(B18:E18)</f>
        <v>0</v>
      </c>
      <c r="AB18" s="31">
        <f>SUM(F18:I18)</f>
        <v>0</v>
      </c>
      <c r="AC18" s="31">
        <f>SUM(J18:M18)</f>
        <v>902</v>
      </c>
      <c r="AD18" s="31">
        <f>SUM(N18:Q18)</f>
        <v>1032</v>
      </c>
      <c r="AE18" s="31">
        <f>SUM(R18:U18)</f>
        <v>0</v>
      </c>
      <c r="AF18" s="31">
        <f>SUM(V18:Y18)</f>
        <v>0</v>
      </c>
      <c r="AH18" s="29" t="s">
        <v>151</v>
      </c>
    </row>
    <row r="19" spans="1:34" ht="21.75" customHeight="1" x14ac:dyDescent="0.45">
      <c r="A19" s="9" t="s">
        <v>152</v>
      </c>
      <c r="F19" s="19">
        <f>'Income Statement'!G21*4/('Balance Sheet'!F9+'Balance Sheet'!F10)</f>
        <v>5.8490738206040699E-2</v>
      </c>
      <c r="G19" s="19">
        <f>'Income Statement'!H21*4/('Balance Sheet'!G9+'Balance Sheet'!G10)</f>
        <v>5.3768073483033758E-2</v>
      </c>
      <c r="H19" s="19">
        <f>'Income Statement'!I21*4/('Balance Sheet'!H9+'Balance Sheet'!H10)</f>
        <v>4.7561535302785091E-2</v>
      </c>
      <c r="I19" s="19">
        <f>'Income Statement'!J21*4/('Balance Sheet'!I9+'Balance Sheet'!I10)</f>
        <v>4.5705493065103256E-2</v>
      </c>
      <c r="J19" s="19">
        <f>'Income Statement'!K21*4/('Balance Sheet'!J9+'Balance Sheet'!J10)</f>
        <v>4.5324247618912135E-2</v>
      </c>
      <c r="K19" s="19">
        <f>'Income Statement'!L21*4/('Balance Sheet'!K9+'Balance Sheet'!K10)</f>
        <v>3.8272067496496122E-2</v>
      </c>
      <c r="L19" s="19">
        <f>'Income Statement'!M21*4/('Balance Sheet'!L9+'Balance Sheet'!L10)</f>
        <v>4.0760430400204141E-2</v>
      </c>
      <c r="M19" s="19">
        <f>'Income Statement'!N21*4/('Balance Sheet'!M9+'Balance Sheet'!M10)</f>
        <v>3.7642440753434689E-2</v>
      </c>
      <c r="N19" s="19">
        <f>'Income Statement'!O21*4/('Balance Sheet'!N9+'Balance Sheet'!N10)</f>
        <v>3.3397930152970767E-2</v>
      </c>
      <c r="O19" s="19">
        <f>'Income Statement'!P21*4/('Balance Sheet'!O9+'Balance Sheet'!O10)</f>
        <v>3.3490709296225739E-2</v>
      </c>
      <c r="P19" s="28">
        <v>3.3000000000000002E-2</v>
      </c>
      <c r="Q19" s="28">
        <v>3.3000000000000002E-2</v>
      </c>
      <c r="R19" s="28">
        <v>3.3000000000000002E-2</v>
      </c>
      <c r="S19" s="28">
        <v>3.3000000000000002E-2</v>
      </c>
      <c r="T19" s="28">
        <v>3.3000000000000002E-2</v>
      </c>
      <c r="U19" s="28">
        <v>3.3000000000000002E-2</v>
      </c>
      <c r="V19" s="28">
        <v>3.3000000000000002E-2</v>
      </c>
      <c r="W19" s="28">
        <v>3.3000000000000002E-2</v>
      </c>
      <c r="X19" s="28">
        <v>3.3000000000000002E-2</v>
      </c>
      <c r="Y19" s="28">
        <v>3.3000000000000002E-2</v>
      </c>
      <c r="AH19" s="29" t="s">
        <v>153</v>
      </c>
    </row>
    <row r="20" spans="1:34" ht="15" customHeight="1" x14ac:dyDescent="0.45">
      <c r="A20" s="9" t="s">
        <v>154</v>
      </c>
      <c r="B20" s="20">
        <f>'Income Statement'!C22</f>
        <v>-465</v>
      </c>
      <c r="C20" s="20">
        <f>'Income Statement'!D22</f>
        <v>-221</v>
      </c>
      <c r="D20" s="20">
        <f>'Income Statement'!E22</f>
        <v>210</v>
      </c>
      <c r="E20" s="20">
        <f>'Income Statement'!F22</f>
        <v>117</v>
      </c>
      <c r="F20" s="20">
        <f>'Income Statement'!G22</f>
        <v>258</v>
      </c>
      <c r="G20" s="20">
        <f>'Income Statement'!H22</f>
        <v>4028</v>
      </c>
      <c r="H20" s="20">
        <f>'Income Statement'!I22</f>
        <v>-930</v>
      </c>
      <c r="I20" s="20">
        <f>'Income Statement'!J22</f>
        <v>2014</v>
      </c>
      <c r="J20" s="20">
        <f>'Income Statement'!K22</f>
        <v>-1014</v>
      </c>
      <c r="K20" s="20">
        <f>'Income Statement'!L22</f>
        <v>-1988</v>
      </c>
      <c r="L20" s="20">
        <f>'Income Statement'!M22</f>
        <v>-937</v>
      </c>
      <c r="M20" s="20">
        <f>'Income Statement'!N22</f>
        <v>-211</v>
      </c>
      <c r="N20" s="20">
        <f>'Income Statement'!O22</f>
        <v>-1053</v>
      </c>
      <c r="O20" s="20">
        <f>'Income Statement'!P22</f>
        <v>89</v>
      </c>
      <c r="P20" s="30">
        <v>0</v>
      </c>
      <c r="Q20" s="30">
        <v>0</v>
      </c>
      <c r="R20" s="30">
        <v>0</v>
      </c>
      <c r="S20" s="30">
        <v>0</v>
      </c>
      <c r="T20" s="30">
        <v>0</v>
      </c>
      <c r="U20" s="30">
        <v>0</v>
      </c>
      <c r="V20" s="30">
        <v>0</v>
      </c>
      <c r="W20" s="30">
        <v>0</v>
      </c>
      <c r="X20" s="30">
        <v>0</v>
      </c>
      <c r="Y20" s="30">
        <v>0</v>
      </c>
      <c r="AA20" s="31">
        <f>SUM(B20:E20)</f>
        <v>-359</v>
      </c>
      <c r="AB20" s="31">
        <f>SUM(F20:I20)</f>
        <v>5370</v>
      </c>
      <c r="AC20" s="31">
        <f>SUM(J20:M20)</f>
        <v>-4150</v>
      </c>
      <c r="AD20" s="31">
        <f>SUM(N20:Q20)</f>
        <v>-964</v>
      </c>
      <c r="AE20" s="31">
        <f>SUM(R20:U20)</f>
        <v>0</v>
      </c>
      <c r="AF20" s="31">
        <f>SUM(V20:Y20)</f>
        <v>0</v>
      </c>
      <c r="AH20" s="29" t="s">
        <v>155</v>
      </c>
    </row>
    <row r="21" spans="1:34" ht="21.75" customHeight="1" x14ac:dyDescent="0.45">
      <c r="A21" s="9" t="s">
        <v>156</v>
      </c>
      <c r="B21" s="19">
        <f>'Income Statement'!C26</f>
        <v>0.36502271252433482</v>
      </c>
      <c r="C21" s="19">
        <f>'Income Statement'!D26</f>
        <v>-0.10523267039969106</v>
      </c>
      <c r="D21" s="19">
        <f>'Income Statement'!E26</f>
        <v>5.8885941644562331E-2</v>
      </c>
      <c r="E21" s="19">
        <f>'Income Statement'!F26</f>
        <v>0.18845736602299848</v>
      </c>
      <c r="F21" s="19">
        <f>'Income Statement'!G26</f>
        <v>9.2119866814650384E-2</v>
      </c>
      <c r="G21" s="19">
        <f>'Income Statement'!H26</f>
        <v>0.17289131347041545</v>
      </c>
      <c r="H21" s="19">
        <f>'Income Statement'!I26</f>
        <v>-1.7975460122699387</v>
      </c>
      <c r="I21" s="19">
        <f>'Income Statement'!J26</f>
        <v>0.24543973941368077</v>
      </c>
      <c r="J21" s="19">
        <f>'Income Statement'!K26</f>
        <v>0.16231013776050865</v>
      </c>
      <c r="K21" s="19">
        <f>'Income Statement'!L26</f>
        <v>0.14200988467874795</v>
      </c>
      <c r="L21" s="19">
        <f>'Income Statement'!M26</f>
        <v>0.20911988232409903</v>
      </c>
      <c r="M21" s="19">
        <f>'Income Statement'!N26</f>
        <v>0.30360491769118564</v>
      </c>
      <c r="N21" s="19">
        <f>'Income Statement'!O26</f>
        <v>0.17212626563430614</v>
      </c>
      <c r="O21" s="19">
        <f>'Income Statement'!P26</f>
        <v>1.6390217969165337</v>
      </c>
      <c r="P21" s="28">
        <v>0.21</v>
      </c>
      <c r="Q21" s="28">
        <v>0.21</v>
      </c>
      <c r="R21" s="28">
        <v>0.21</v>
      </c>
      <c r="S21" s="28">
        <v>0.21</v>
      </c>
      <c r="T21" s="28">
        <v>0.21</v>
      </c>
      <c r="U21" s="28">
        <v>0.21</v>
      </c>
      <c r="V21" s="28">
        <v>0.21</v>
      </c>
      <c r="W21" s="28">
        <v>0.21</v>
      </c>
      <c r="X21" s="28">
        <v>0.21</v>
      </c>
      <c r="Y21" s="28">
        <v>0.21</v>
      </c>
      <c r="AA21" s="19">
        <f>'Income Statement'!AB26</f>
        <v>0.15459305092812947</v>
      </c>
      <c r="AB21" s="19">
        <f>'Income Statement'!AC26</f>
        <v>0.296500506357601</v>
      </c>
      <c r="AC21" s="19">
        <f>'Income Statement'!AD26</f>
        <v>9.3518866741882908E-2</v>
      </c>
      <c r="AD21" s="19">
        <f>'Income Statement'!AE26</f>
        <v>0.59978860492066488</v>
      </c>
      <c r="AE21" s="19">
        <f>'Income Statement'!AF26</f>
        <v>0.21000000000000005</v>
      </c>
      <c r="AF21" s="19">
        <f>'Income Statement'!AG26</f>
        <v>0.20999999999999996</v>
      </c>
      <c r="AH21" s="29" t="s">
        <v>157</v>
      </c>
    </row>
    <row r="22" spans="1:34" ht="21.75" customHeight="1" x14ac:dyDescent="0.45">
      <c r="A22" s="9" t="s">
        <v>158</v>
      </c>
      <c r="B22" s="20">
        <f>'Income Statement'!C31</f>
        <v>52740</v>
      </c>
      <c r="C22" s="20">
        <f>'Income Statement'!D31</f>
        <v>52029</v>
      </c>
      <c r="D22" s="20">
        <f>'Income Statement'!E31</f>
        <v>55979</v>
      </c>
      <c r="E22" s="20">
        <f>'Income Statement'!F31</f>
        <v>54940</v>
      </c>
      <c r="F22" s="20">
        <f>'Income Statement'!G31</f>
        <v>50039</v>
      </c>
      <c r="G22" s="20">
        <f>'Income Statement'!H31</f>
        <v>55577</v>
      </c>
      <c r="H22" s="20">
        <f>'Income Statement'!I31</f>
        <v>49056</v>
      </c>
      <c r="I22" s="20">
        <f>'Income Statement'!J31</f>
        <v>52620</v>
      </c>
      <c r="J22" s="20">
        <f>'Income Statement'!K31</f>
        <v>48346</v>
      </c>
      <c r="K22" s="20">
        <f>'Income Statement'!L31</f>
        <v>47185</v>
      </c>
      <c r="L22" s="20">
        <f>'Income Statement'!M31</f>
        <v>45933</v>
      </c>
      <c r="M22" s="20">
        <f>'Income Statement'!N31</f>
        <v>49320</v>
      </c>
      <c r="N22" s="20">
        <f>'Income Statement'!O31</f>
        <v>47120</v>
      </c>
      <c r="O22" s="20">
        <f>'Income Statement'!P31</f>
        <v>46106</v>
      </c>
      <c r="P22" s="30">
        <v>46106</v>
      </c>
      <c r="Q22" s="30">
        <v>46106</v>
      </c>
      <c r="R22" s="30">
        <v>46106</v>
      </c>
      <c r="S22" s="30">
        <v>46106</v>
      </c>
      <c r="T22" s="30">
        <v>46106</v>
      </c>
      <c r="U22" s="30">
        <v>46106</v>
      </c>
      <c r="V22" s="30">
        <v>46106</v>
      </c>
      <c r="W22" s="30">
        <v>46106</v>
      </c>
      <c r="X22" s="30">
        <v>46106</v>
      </c>
      <c r="Y22" s="30">
        <v>46106</v>
      </c>
      <c r="AH22" s="29" t="s">
        <v>159</v>
      </c>
    </row>
    <row r="24" spans="1:34" ht="15" customHeight="1" x14ac:dyDescent="0.45">
      <c r="A24" s="16" t="s">
        <v>160</v>
      </c>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row>
    <row r="25" spans="1:34" ht="21.75" customHeight="1" x14ac:dyDescent="0.45">
      <c r="A25" s="9" t="s">
        <v>599</v>
      </c>
      <c r="E25" s="106">
        <f>'Balance Sheet'!F41</f>
        <v>408.31035460992911</v>
      </c>
      <c r="F25" s="106">
        <f>'Balance Sheet'!G41</f>
        <v>413.76956867213391</v>
      </c>
      <c r="G25" s="106">
        <f>'Balance Sheet'!H41</f>
        <v>475.63317823003848</v>
      </c>
      <c r="H25" s="106">
        <f>'Balance Sheet'!I41</f>
        <v>482.88914272978013</v>
      </c>
      <c r="I25" s="106">
        <f>'Balance Sheet'!J41</f>
        <v>457.09910879277675</v>
      </c>
      <c r="J25" s="106">
        <f>'Balance Sheet'!K41</f>
        <v>492.30035252643944</v>
      </c>
      <c r="K25" s="106">
        <f>'Balance Sheet'!L41</f>
        <v>490.74721147760039</v>
      </c>
      <c r="L25" s="106">
        <f>'Balance Sheet'!M41</f>
        <v>490.85303119482046</v>
      </c>
      <c r="M25" s="106">
        <f>'Balance Sheet'!N41</f>
        <v>411.73924993128946</v>
      </c>
      <c r="N25" s="106">
        <f>'Balance Sheet'!O41</f>
        <v>484.6222449534099</v>
      </c>
      <c r="O25" s="106">
        <f>'Balance Sheet'!P41</f>
        <v>443.68998511317807</v>
      </c>
      <c r="P25" s="107">
        <v>491.3</v>
      </c>
      <c r="Q25" s="107">
        <v>412.2</v>
      </c>
      <c r="R25" s="107">
        <v>484.2</v>
      </c>
      <c r="S25" s="107">
        <v>444.1</v>
      </c>
      <c r="T25" s="107">
        <v>491.3</v>
      </c>
      <c r="U25" s="107">
        <v>412.2</v>
      </c>
      <c r="V25" s="107">
        <v>489.6</v>
      </c>
      <c r="W25" s="107">
        <v>444.1</v>
      </c>
      <c r="X25" s="107">
        <v>491.3</v>
      </c>
      <c r="Y25" s="107">
        <v>412.2</v>
      </c>
      <c r="AH25" s="29" t="s">
        <v>602</v>
      </c>
    </row>
    <row r="26" spans="1:34" ht="15" customHeight="1" x14ac:dyDescent="0.45">
      <c r="A26" s="9" t="s">
        <v>600</v>
      </c>
      <c r="E26" s="106">
        <f>'Balance Sheet'!F42</f>
        <v>378.08411347517733</v>
      </c>
      <c r="F26" s="106">
        <f>'Balance Sheet'!G42</f>
        <v>394.52206113851366</v>
      </c>
      <c r="G26" s="106">
        <f>'Balance Sheet'!H42</f>
        <v>461.0308620869074</v>
      </c>
      <c r="H26" s="106">
        <f>'Balance Sheet'!I42</f>
        <v>462.26328253419888</v>
      </c>
      <c r="I26" s="106">
        <f>'Balance Sheet'!J42</f>
        <v>415.9830647236322</v>
      </c>
      <c r="J26" s="106">
        <f>'Balance Sheet'!K42</f>
        <v>456.32573443008221</v>
      </c>
      <c r="K26" s="106">
        <f>'Balance Sheet'!L42</f>
        <v>462.54418735494761</v>
      </c>
      <c r="L26" s="106">
        <f>'Balance Sheet'!M42</f>
        <v>482.56545026486168</v>
      </c>
      <c r="M26" s="106">
        <f>'Balance Sheet'!N42</f>
        <v>394.93476251155585</v>
      </c>
      <c r="N26" s="106">
        <f>'Balance Sheet'!O42</f>
        <v>492.87899371873357</v>
      </c>
      <c r="O26" s="106">
        <f>'Balance Sheet'!P42</f>
        <v>451.62019518277708</v>
      </c>
      <c r="P26" s="107">
        <v>481.5</v>
      </c>
      <c r="Q26" s="107">
        <v>395.7</v>
      </c>
      <c r="R26" s="107">
        <v>493.9</v>
      </c>
      <c r="S26" s="107">
        <v>453</v>
      </c>
      <c r="T26" s="107">
        <v>481.5</v>
      </c>
      <c r="U26" s="107">
        <v>395.7</v>
      </c>
      <c r="V26" s="107">
        <v>499.4</v>
      </c>
      <c r="W26" s="107">
        <v>453</v>
      </c>
      <c r="X26" s="107">
        <v>481.5</v>
      </c>
      <c r="Y26" s="107">
        <v>395.7</v>
      </c>
      <c r="AH26" s="29" t="s">
        <v>603</v>
      </c>
    </row>
    <row r="27" spans="1:34" ht="15.75" customHeight="1" x14ac:dyDescent="0.45">
      <c r="A27" s="9" t="s">
        <v>161</v>
      </c>
      <c r="E27" s="20">
        <f>'Balance Sheet'!F12</f>
        <v>11143</v>
      </c>
      <c r="F27" s="20">
        <f>'Balance Sheet'!G12</f>
        <v>11540</v>
      </c>
      <c r="G27" s="20">
        <f>'Balance Sheet'!H12</f>
        <v>14788</v>
      </c>
      <c r="H27" s="20">
        <f>'Balance Sheet'!I12</f>
        <v>12640</v>
      </c>
      <c r="I27" s="20">
        <f>'Balance Sheet'!J12</f>
        <v>10145</v>
      </c>
      <c r="J27" s="20">
        <f>'Balance Sheet'!K12</f>
        <v>12018</v>
      </c>
      <c r="K27" s="20">
        <f>'Balance Sheet'!L12</f>
        <v>11994</v>
      </c>
      <c r="L27" s="20">
        <f>'Balance Sheet'!M12</f>
        <v>21307</v>
      </c>
      <c r="M27" s="20">
        <f>'Balance Sheet'!N12</f>
        <v>18889</v>
      </c>
      <c r="N27" s="20">
        <f>'Balance Sheet'!O12</f>
        <v>22397</v>
      </c>
      <c r="O27" s="20">
        <f>'Balance Sheet'!P12</f>
        <v>17162</v>
      </c>
      <c r="P27" s="30">
        <v>17162</v>
      </c>
      <c r="Q27" s="30">
        <v>17162</v>
      </c>
      <c r="R27" s="30">
        <v>17162</v>
      </c>
      <c r="S27" s="30">
        <v>17162</v>
      </c>
      <c r="T27" s="30">
        <v>17162</v>
      </c>
      <c r="U27" s="30">
        <v>17162</v>
      </c>
      <c r="V27" s="30">
        <v>17162</v>
      </c>
      <c r="W27" s="30">
        <v>17162</v>
      </c>
      <c r="X27" s="30">
        <v>17162</v>
      </c>
      <c r="Y27" s="30">
        <v>17162</v>
      </c>
      <c r="AH27" s="29" t="s">
        <v>162</v>
      </c>
    </row>
    <row r="28" spans="1:34" ht="21.75" customHeight="1" x14ac:dyDescent="0.45">
      <c r="A28" s="9" t="s">
        <v>601</v>
      </c>
      <c r="E28" s="106">
        <f>'Balance Sheet'!F44</f>
        <v>59.104229720603321</v>
      </c>
      <c r="F28" s="106">
        <f>'Balance Sheet'!G44</f>
        <v>38.426413401136706</v>
      </c>
      <c r="G28" s="106">
        <f>'Balance Sheet'!H44</f>
        <v>44.520741126442772</v>
      </c>
      <c r="H28" s="106">
        <f>'Balance Sheet'!I44</f>
        <v>49.621644312910604</v>
      </c>
      <c r="I28" s="106">
        <f>'Balance Sheet'!J44</f>
        <v>53.000764776575984</v>
      </c>
      <c r="J28" s="106">
        <f>'Balance Sheet'!K44</f>
        <v>36.454128440366972</v>
      </c>
      <c r="K28" s="106">
        <f>'Balance Sheet'!L44</f>
        <v>38.231879705269904</v>
      </c>
      <c r="L28" s="106">
        <f>'Balance Sheet'!M44</f>
        <v>46.232815442561204</v>
      </c>
      <c r="M28" s="106">
        <f>'Balance Sheet'!N44</f>
        <v>50.512076455256299</v>
      </c>
      <c r="N28" s="106">
        <f>'Balance Sheet'!O44</f>
        <v>32.378154833223824</v>
      </c>
      <c r="O28" s="106">
        <f>'Balance Sheet'!P44</f>
        <v>42.291079271918214</v>
      </c>
      <c r="P28" s="107">
        <v>46</v>
      </c>
      <c r="Q28" s="107">
        <v>50.6</v>
      </c>
      <c r="R28" s="107">
        <v>32.4</v>
      </c>
      <c r="S28" s="107">
        <v>41.9</v>
      </c>
      <c r="T28" s="107">
        <v>46</v>
      </c>
      <c r="U28" s="107">
        <v>50.6</v>
      </c>
      <c r="V28" s="107">
        <v>32.799999999999997</v>
      </c>
      <c r="W28" s="107">
        <v>41.9</v>
      </c>
      <c r="X28" s="107">
        <v>46</v>
      </c>
      <c r="Y28" s="107">
        <v>50.6</v>
      </c>
      <c r="AH28" s="29" t="s">
        <v>604</v>
      </c>
    </row>
    <row r="29" spans="1:34" ht="15" customHeight="1" x14ac:dyDescent="0.45">
      <c r="A29" s="9" t="s">
        <v>163</v>
      </c>
      <c r="E29" s="20">
        <f>'Balance Sheet'!F10</f>
        <v>96835</v>
      </c>
      <c r="F29" s="20">
        <f>'Balance Sheet'!G10</f>
        <v>93887</v>
      </c>
      <c r="G29" s="20">
        <f>'Balance Sheet'!H10</f>
        <v>92075</v>
      </c>
      <c r="H29" s="20">
        <f>'Balance Sheet'!I10</f>
        <v>61463</v>
      </c>
      <c r="I29" s="20">
        <f>'Balance Sheet'!J10</f>
        <v>40135</v>
      </c>
      <c r="J29" s="20">
        <f>'Balance Sheet'!K10</f>
        <v>42315</v>
      </c>
      <c r="K29" s="20">
        <f>'Balance Sheet'!L10</f>
        <v>27089</v>
      </c>
      <c r="L29" s="20">
        <f>'Balance Sheet'!M10</f>
        <v>0</v>
      </c>
      <c r="M29" s="20">
        <f>'Balance Sheet'!N10</f>
        <v>0</v>
      </c>
      <c r="N29" s="20">
        <f>'Balance Sheet'!O10</f>
        <v>0</v>
      </c>
      <c r="O29" s="20">
        <f>'Balance Sheet'!P10</f>
        <v>17536</v>
      </c>
      <c r="P29" s="30">
        <v>17536</v>
      </c>
      <c r="Q29" s="30">
        <v>17536</v>
      </c>
      <c r="R29" s="30">
        <v>17536</v>
      </c>
      <c r="S29" s="30">
        <v>17536</v>
      </c>
      <c r="T29" s="30">
        <v>17536</v>
      </c>
      <c r="U29" s="30">
        <v>17536</v>
      </c>
      <c r="V29" s="30">
        <v>17536</v>
      </c>
      <c r="W29" s="30">
        <v>17536</v>
      </c>
      <c r="X29" s="30">
        <v>17536</v>
      </c>
      <c r="Y29" s="30">
        <v>17536</v>
      </c>
      <c r="AH29" s="29" t="s">
        <v>164</v>
      </c>
    </row>
    <row r="31" spans="1:34" ht="15" customHeight="1" x14ac:dyDescent="0.45">
      <c r="A31" s="16" t="s">
        <v>165</v>
      </c>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row>
    <row r="32" spans="1:34" ht="21.75" customHeight="1" x14ac:dyDescent="0.45">
      <c r="A32" s="9" t="s">
        <v>166</v>
      </c>
      <c r="B32" s="20">
        <f>-'Cash Flow'!B26</f>
        <v>1417</v>
      </c>
      <c r="C32" s="20">
        <f>-'Cash Flow'!C26</f>
        <v>1135</v>
      </c>
      <c r="D32" s="20">
        <f>-'Cash Flow'!D26</f>
        <v>2872</v>
      </c>
      <c r="E32" s="20">
        <f>-'Cash Flow'!E26</f>
        <v>5177</v>
      </c>
      <c r="F32" s="20">
        <f>-'Cash Flow'!F26</f>
        <v>801</v>
      </c>
      <c r="G32" s="20">
        <f>-'Cash Flow'!G26</f>
        <v>736</v>
      </c>
      <c r="H32" s="20">
        <f>-'Cash Flow'!H26</f>
        <v>11731</v>
      </c>
      <c r="I32" s="20">
        <f>-'Cash Flow'!I26</f>
        <v>4324</v>
      </c>
      <c r="J32" s="20">
        <f>-'Cash Flow'!J26</f>
        <v>1441</v>
      </c>
      <c r="K32" s="20">
        <f>-'Cash Flow'!K26</f>
        <v>1340</v>
      </c>
      <c r="L32" s="20">
        <f>-'Cash Flow'!L26</f>
        <v>4674</v>
      </c>
      <c r="M32" s="20">
        <f>-'Cash Flow'!M26</f>
        <v>6890</v>
      </c>
      <c r="N32" s="20">
        <f>-'Cash Flow'!N26</f>
        <v>11</v>
      </c>
      <c r="O32" s="20">
        <f>-'Cash Flow'!O26</f>
        <v>2955</v>
      </c>
      <c r="P32" s="30">
        <v>3500</v>
      </c>
      <c r="Q32" s="30">
        <v>3500</v>
      </c>
      <c r="R32" s="30">
        <v>3500</v>
      </c>
      <c r="S32" s="30">
        <v>3500</v>
      </c>
      <c r="T32" s="30">
        <v>3500</v>
      </c>
      <c r="U32" s="30">
        <v>3500</v>
      </c>
      <c r="V32" s="30">
        <v>3500</v>
      </c>
      <c r="W32" s="30">
        <v>3500</v>
      </c>
      <c r="X32" s="30">
        <v>3500</v>
      </c>
      <c r="Y32" s="30">
        <v>3500</v>
      </c>
      <c r="AA32" s="31">
        <f>SUM(B32:E32)</f>
        <v>10601</v>
      </c>
      <c r="AB32" s="31">
        <f>SUM(F32:I32)</f>
        <v>17592</v>
      </c>
      <c r="AC32" s="31">
        <f>SUM(J32:M32)</f>
        <v>14345</v>
      </c>
      <c r="AD32" s="31">
        <f>SUM(N32:Q32)</f>
        <v>9966</v>
      </c>
      <c r="AE32" s="31">
        <f>SUM(R32:U32)</f>
        <v>14000</v>
      </c>
      <c r="AF32" s="31">
        <f>SUM(V32:Y32)</f>
        <v>14000</v>
      </c>
      <c r="AH32" s="29" t="s">
        <v>167</v>
      </c>
    </row>
    <row r="33" spans="1:34" ht="15" customHeight="1" x14ac:dyDescent="0.45">
      <c r="A33" s="9" t="s">
        <v>168</v>
      </c>
      <c r="B33" s="20">
        <f>-'Cash Flow'!B27</f>
        <v>6001</v>
      </c>
      <c r="C33" s="20">
        <f>-'Cash Flow'!C27</f>
        <v>3918</v>
      </c>
      <c r="D33" s="20">
        <f>-'Cash Flow'!D27</f>
        <v>3806</v>
      </c>
      <c r="E33" s="20">
        <f>-'Cash Flow'!E27</f>
        <v>3962</v>
      </c>
      <c r="F33" s="20">
        <f>-'Cash Flow'!F27</f>
        <v>7231</v>
      </c>
      <c r="G33" s="20">
        <f>-'Cash Flow'!G27</f>
        <v>4295</v>
      </c>
      <c r="H33" s="20">
        <f>-'Cash Flow'!H27</f>
        <v>4542</v>
      </c>
      <c r="I33" s="20">
        <f>-'Cash Flow'!I27</f>
        <v>4868</v>
      </c>
      <c r="J33" s="20">
        <f>-'Cash Flow'!J27</f>
        <v>6880</v>
      </c>
      <c r="K33" s="20">
        <f>-'Cash Flow'!K27</f>
        <v>4300</v>
      </c>
      <c r="L33" s="20">
        <f>-'Cash Flow'!L27</f>
        <v>4914</v>
      </c>
      <c r="M33" s="20">
        <f>-'Cash Flow'!M27</f>
        <v>4417</v>
      </c>
      <c r="N33" s="20">
        <f>-'Cash Flow'!N27</f>
        <v>6579</v>
      </c>
      <c r="O33" s="20">
        <f>-'Cash Flow'!O27</f>
        <v>3592</v>
      </c>
      <c r="P33" s="30">
        <v>5000</v>
      </c>
      <c r="Q33" s="30">
        <v>5000</v>
      </c>
      <c r="R33" s="30">
        <v>5000</v>
      </c>
      <c r="S33" s="30">
        <v>5000</v>
      </c>
      <c r="T33" s="30">
        <v>5000</v>
      </c>
      <c r="U33" s="30">
        <v>5000</v>
      </c>
      <c r="V33" s="30">
        <v>5000</v>
      </c>
      <c r="W33" s="30">
        <v>5000</v>
      </c>
      <c r="X33" s="30">
        <v>5000</v>
      </c>
      <c r="Y33" s="30">
        <v>5000</v>
      </c>
      <c r="AA33" s="31">
        <f>SUM(B33:E33)</f>
        <v>17687</v>
      </c>
      <c r="AB33" s="31">
        <f>SUM(F33:I33)</f>
        <v>20936</v>
      </c>
      <c r="AC33" s="31">
        <f>SUM(J33:M33)</f>
        <v>20511</v>
      </c>
      <c r="AD33" s="31">
        <f>SUM(N33:Q33)</f>
        <v>20171</v>
      </c>
      <c r="AE33" s="31">
        <f>SUM(R33:U33)</f>
        <v>20000</v>
      </c>
      <c r="AF33" s="31">
        <f>SUM(V33:Y33)</f>
        <v>20000</v>
      </c>
      <c r="AH33" s="29" t="s">
        <v>169</v>
      </c>
    </row>
    <row r="34" spans="1:34" ht="21.75" customHeight="1" x14ac:dyDescent="0.45">
      <c r="A34" s="9" t="s">
        <v>170</v>
      </c>
      <c r="P34" s="30">
        <v>395</v>
      </c>
      <c r="Q34" s="30">
        <v>395</v>
      </c>
      <c r="R34" s="30">
        <v>281</v>
      </c>
      <c r="S34" s="30">
        <v>281</v>
      </c>
      <c r="T34" s="30">
        <v>281</v>
      </c>
      <c r="U34" s="30">
        <v>281</v>
      </c>
      <c r="V34" s="30">
        <v>0</v>
      </c>
      <c r="W34" s="30">
        <v>0</v>
      </c>
      <c r="X34" s="30">
        <v>0</v>
      </c>
      <c r="Y34" s="30">
        <v>0</v>
      </c>
      <c r="AD34" s="31">
        <f>SUM(N34:Q34)</f>
        <v>790</v>
      </c>
      <c r="AE34" s="31">
        <f>SUM(R34:U34)</f>
        <v>1124</v>
      </c>
      <c r="AF34" s="31">
        <f>SUM(V34:Y34)</f>
        <v>0</v>
      </c>
      <c r="AH34" s="29" t="s">
        <v>171</v>
      </c>
    </row>
    <row r="35" spans="1:34" ht="21.75" customHeight="1" x14ac:dyDescent="0.45">
      <c r="A35" s="9" t="s">
        <v>172</v>
      </c>
      <c r="B35" s="20">
        <f>-'Cash Flow'!B40</f>
        <v>7898</v>
      </c>
      <c r="C35" s="20">
        <f>-'Cash Flow'!C40</f>
        <v>15582</v>
      </c>
      <c r="D35" s="20">
        <f>-'Cash Flow'!D40</f>
        <v>17999</v>
      </c>
      <c r="E35" s="20">
        <f>-'Cash Flow'!E40</f>
        <v>17789</v>
      </c>
      <c r="F35" s="20">
        <f>-'Cash Flow'!F40</f>
        <v>17500</v>
      </c>
      <c r="G35" s="20">
        <f>-'Cash Flow'!G40</f>
        <v>18368</v>
      </c>
      <c r="H35" s="20">
        <f>-'Cash Flow'!H40</f>
        <v>29532</v>
      </c>
      <c r="I35" s="20">
        <f>-'Cash Flow'!I40</f>
        <v>9932</v>
      </c>
      <c r="J35" s="20">
        <f>-'Cash Flow'!J40</f>
        <v>5000</v>
      </c>
      <c r="K35" s="20">
        <f>-'Cash Flow'!K40</f>
        <v>38649</v>
      </c>
      <c r="L35" s="20">
        <f>-'Cash Flow'!L40</f>
        <v>4001</v>
      </c>
      <c r="M35" s="20">
        <f>-'Cash Flow'!M40</f>
        <v>-1152</v>
      </c>
      <c r="N35" s="20">
        <f>-'Cash Flow'!N40</f>
        <v>8500</v>
      </c>
      <c r="O35" s="20">
        <f>-'Cash Flow'!O40</f>
        <v>22000</v>
      </c>
      <c r="P35" s="30">
        <v>10000</v>
      </c>
      <c r="Q35" s="30">
        <v>10000</v>
      </c>
      <c r="R35" s="30">
        <v>10000</v>
      </c>
      <c r="S35" s="30">
        <v>10000</v>
      </c>
      <c r="T35" s="30">
        <v>10000</v>
      </c>
      <c r="U35" s="30">
        <v>10000</v>
      </c>
      <c r="V35" s="30">
        <v>10000</v>
      </c>
      <c r="W35" s="30">
        <v>10000</v>
      </c>
      <c r="X35" s="30">
        <v>10000</v>
      </c>
      <c r="Y35" s="30">
        <v>10000</v>
      </c>
      <c r="AA35" s="31">
        <f>SUM(B35:E35)</f>
        <v>59268</v>
      </c>
      <c r="AB35" s="31">
        <f>SUM(F35:I35)</f>
        <v>75332</v>
      </c>
      <c r="AC35" s="31">
        <f>SUM(J35:M35)</f>
        <v>46498</v>
      </c>
      <c r="AD35" s="31">
        <f>SUM(N35:Q35)</f>
        <v>50500</v>
      </c>
      <c r="AE35" s="31">
        <f>SUM(R35:U35)</f>
        <v>40000</v>
      </c>
      <c r="AF35" s="31">
        <f>SUM(V35:Y35)</f>
        <v>40000</v>
      </c>
      <c r="AH35" s="29" t="s">
        <v>173</v>
      </c>
    </row>
    <row r="36" spans="1:34" ht="15" customHeight="1" x14ac:dyDescent="0.45">
      <c r="A36" s="9" t="s">
        <v>174</v>
      </c>
      <c r="B36" s="20">
        <f>'Cash Flow'!B38+'Cash Flow'!B37</f>
        <v>314</v>
      </c>
      <c r="C36" s="20">
        <f>'Cash Flow'!C38+'Cash Flow'!C37</f>
        <v>1594</v>
      </c>
      <c r="D36" s="20">
        <f>'Cash Flow'!D38+'Cash Flow'!D37</f>
        <v>273</v>
      </c>
      <c r="E36" s="20">
        <f>'Cash Flow'!E38+'Cash Flow'!E37</f>
        <v>1237</v>
      </c>
      <c r="F36" s="20">
        <f>'Cash Flow'!F38+'Cash Flow'!F37</f>
        <v>939</v>
      </c>
      <c r="G36" s="20">
        <f>'Cash Flow'!G38+'Cash Flow'!G37</f>
        <v>1786</v>
      </c>
      <c r="H36" s="20">
        <f>'Cash Flow'!H38+'Cash Flow'!H37</f>
        <v>304</v>
      </c>
      <c r="I36" s="20">
        <f>'Cash Flow'!I38+'Cash Flow'!I37</f>
        <v>1104</v>
      </c>
      <c r="J36" s="20">
        <f>'Cash Flow'!J38+'Cash Flow'!J37</f>
        <v>563</v>
      </c>
      <c r="K36" s="20">
        <f>'Cash Flow'!K38+'Cash Flow'!K37</f>
        <v>1968</v>
      </c>
      <c r="L36" s="20">
        <f>'Cash Flow'!L38+'Cash Flow'!L37</f>
        <v>321</v>
      </c>
      <c r="M36" s="20">
        <f>'Cash Flow'!M38+'Cash Flow'!M37</f>
        <v>1055</v>
      </c>
      <c r="N36" s="20">
        <f>'Cash Flow'!N38+'Cash Flow'!N37</f>
        <v>477</v>
      </c>
      <c r="O36" s="20">
        <f>'Cash Flow'!O38+'Cash Flow'!O37</f>
        <v>1461</v>
      </c>
      <c r="P36" s="30">
        <v>1000</v>
      </c>
      <c r="Q36" s="30">
        <v>1000</v>
      </c>
      <c r="R36" s="30">
        <v>1000</v>
      </c>
      <c r="S36" s="30">
        <v>1000</v>
      </c>
      <c r="T36" s="30">
        <v>1000</v>
      </c>
      <c r="U36" s="30">
        <v>1000</v>
      </c>
      <c r="V36" s="30">
        <v>1000</v>
      </c>
      <c r="W36" s="30">
        <v>1000</v>
      </c>
      <c r="X36" s="30">
        <v>1000</v>
      </c>
      <c r="Y36" s="30">
        <v>1000</v>
      </c>
      <c r="AA36" s="31">
        <f>SUM(B36:E36)</f>
        <v>3418</v>
      </c>
      <c r="AB36" s="31">
        <f>SUM(F36:I36)</f>
        <v>4133</v>
      </c>
      <c r="AC36" s="31">
        <f>SUM(J36:M36)</f>
        <v>3907</v>
      </c>
      <c r="AD36" s="31">
        <f>SUM(N36:Q36)</f>
        <v>3938</v>
      </c>
      <c r="AE36" s="31">
        <f>SUM(R36:U36)</f>
        <v>4000</v>
      </c>
      <c r="AF36" s="31">
        <f>SUM(V36:Y36)</f>
        <v>4000</v>
      </c>
      <c r="AH36" s="29" t="s">
        <v>175</v>
      </c>
    </row>
    <row r="38" spans="1:34" ht="15" customHeight="1" x14ac:dyDescent="0.45">
      <c r="A38" s="16" t="s">
        <v>608</v>
      </c>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row>
    <row r="39" spans="1:34" ht="21.75" customHeight="1" x14ac:dyDescent="0.45">
      <c r="A39" s="9" t="s">
        <v>176</v>
      </c>
      <c r="F39" s="32">
        <v>57.9</v>
      </c>
      <c r="G39" s="32">
        <v>60.7</v>
      </c>
      <c r="H39" s="32">
        <v>69.8</v>
      </c>
      <c r="I39" s="32">
        <v>74.7</v>
      </c>
      <c r="J39" s="32">
        <v>74.7</v>
      </c>
      <c r="K39" s="32">
        <v>77.7</v>
      </c>
      <c r="L39" s="32">
        <v>86.8</v>
      </c>
      <c r="M39" s="32">
        <v>97.6</v>
      </c>
      <c r="N39" s="32">
        <v>94</v>
      </c>
      <c r="O39" s="32">
        <v>92</v>
      </c>
      <c r="P39" s="110">
        <f>+L39*(1+P40)</f>
        <v>109.40766619767783</v>
      </c>
      <c r="Q39" s="110">
        <f t="shared" ref="Q39:Y39" si="0">+M39*(1+Q40)</f>
        <v>122.76639560696339</v>
      </c>
      <c r="R39" s="110">
        <f t="shared" si="0"/>
        <v>117.99574564737719</v>
      </c>
      <c r="S39" s="110">
        <f t="shared" si="0"/>
        <v>115.25034588896931</v>
      </c>
      <c r="T39" s="110">
        <f t="shared" si="0"/>
        <v>136.78080121051366</v>
      </c>
      <c r="U39" s="110">
        <f t="shared" si="0"/>
        <v>153.17464967535469</v>
      </c>
      <c r="V39" s="110">
        <f t="shared" si="0"/>
        <v>146.93008186329601</v>
      </c>
      <c r="W39" s="110">
        <f t="shared" si="0"/>
        <v>143.22885745538386</v>
      </c>
      <c r="X39" s="110">
        <f t="shared" si="0"/>
        <v>169.65405609943542</v>
      </c>
      <c r="Y39" s="110">
        <f t="shared" si="0"/>
        <v>189.61979229894584</v>
      </c>
      <c r="AB39" s="33">
        <f>SUM(F39:I39)</f>
        <v>263.09999999999997</v>
      </c>
      <c r="AC39" s="33">
        <f>SUM(J39:M39)</f>
        <v>336.79999999999995</v>
      </c>
      <c r="AH39" s="29" t="s">
        <v>177</v>
      </c>
    </row>
    <row r="40" spans="1:34" ht="21.75" customHeight="1" x14ac:dyDescent="0.45">
      <c r="A40" s="49" t="s">
        <v>607</v>
      </c>
      <c r="F40" s="32"/>
      <c r="G40" s="32"/>
      <c r="H40" s="32"/>
      <c r="I40" s="32"/>
      <c r="J40" s="108">
        <f>+J39/F39 -1</f>
        <v>0.29015544041450791</v>
      </c>
      <c r="K40" s="108">
        <f t="shared" ref="K40:O40" si="1">+K39/G39 -1</f>
        <v>0.2800658978583197</v>
      </c>
      <c r="L40" s="108">
        <f t="shared" si="1"/>
        <v>0.2435530085959885</v>
      </c>
      <c r="M40" s="108">
        <f t="shared" si="1"/>
        <v>0.3065595716198124</v>
      </c>
      <c r="N40" s="108">
        <f t="shared" si="1"/>
        <v>0.25836680053547512</v>
      </c>
      <c r="O40" s="108">
        <f t="shared" si="1"/>
        <v>0.18404118404118397</v>
      </c>
      <c r="P40" s="109">
        <f>+AVERAGE(J40:O40)</f>
        <v>0.26045698384421462</v>
      </c>
      <c r="Q40" s="109">
        <f>+P40*0.99</f>
        <v>0.25785241400577247</v>
      </c>
      <c r="R40" s="109">
        <f t="shared" ref="R40:Y41" si="2">+Q40*0.99</f>
        <v>0.25527388986571475</v>
      </c>
      <c r="S40" s="109">
        <f t="shared" si="2"/>
        <v>0.25272115096705761</v>
      </c>
      <c r="T40" s="109">
        <f t="shared" si="2"/>
        <v>0.25019393945738705</v>
      </c>
      <c r="U40" s="109">
        <f t="shared" si="2"/>
        <v>0.24769200006281317</v>
      </c>
      <c r="V40" s="109">
        <f t="shared" si="2"/>
        <v>0.24521508006218504</v>
      </c>
      <c r="W40" s="109">
        <f t="shared" si="2"/>
        <v>0.24276292926156318</v>
      </c>
      <c r="X40" s="109">
        <f t="shared" si="2"/>
        <v>0.24033529996894754</v>
      </c>
      <c r="Y40" s="109">
        <f t="shared" si="2"/>
        <v>0.23793194696925807</v>
      </c>
      <c r="AB40" s="33"/>
      <c r="AC40" s="33"/>
      <c r="AH40" s="29"/>
    </row>
    <row r="41" spans="1:34" ht="15" customHeight="1" x14ac:dyDescent="0.45">
      <c r="A41" s="9" t="s">
        <v>178</v>
      </c>
      <c r="F41" s="34">
        <f>'Income Statement'!G9/(F39*1000)</f>
        <v>1.1520034542314335</v>
      </c>
      <c r="G41" s="34">
        <f>'Income Statement'!H9/(G39*1000)</f>
        <v>1.1081878088962109</v>
      </c>
      <c r="H41" s="34">
        <f>'Income Statement'!I9/(H39*1000)</f>
        <v>1.0284527220630373</v>
      </c>
      <c r="I41" s="34">
        <f>'Income Statement'!J9/(I39*1000)</f>
        <v>1.1446050870147255</v>
      </c>
      <c r="J41" s="34">
        <f>'Income Statement'!K9/(J39*1000)</f>
        <v>0.85441767068273089</v>
      </c>
      <c r="K41" s="34">
        <f>'Income Statement'!L9/(K39*1000)</f>
        <v>0.91499356499356499</v>
      </c>
      <c r="L41" s="34">
        <f>'Income Statement'!M9/(L39*1000)</f>
        <v>0.78294930875576041</v>
      </c>
      <c r="M41" s="34">
        <f>'Income Statement'!N9/(M39*1000)</f>
        <v>0.8201434426229508</v>
      </c>
      <c r="N41" s="34">
        <f>'Income Statement'!O9 /  (N39*1000)</f>
        <v>0.66560638297872343</v>
      </c>
      <c r="O41" s="34">
        <f>'Income Statement'!P9 /  (O39*1000)</f>
        <v>0.85427173913043475</v>
      </c>
      <c r="P41" s="111">
        <f>+AVERAGE(J41:O41)</f>
        <v>0.81539701819402755</v>
      </c>
      <c r="Q41" s="111">
        <f>+P41</f>
        <v>0.81539701819402755</v>
      </c>
      <c r="R41" s="111">
        <f t="shared" ref="R41:Y42" si="3">+Q41</f>
        <v>0.81539701819402755</v>
      </c>
      <c r="S41" s="111">
        <f t="shared" si="3"/>
        <v>0.81539701819402755</v>
      </c>
      <c r="T41" s="111">
        <f t="shared" si="3"/>
        <v>0.81539701819402755</v>
      </c>
      <c r="U41" s="111">
        <f t="shared" si="3"/>
        <v>0.81539701819402755</v>
      </c>
      <c r="V41" s="111">
        <f t="shared" si="3"/>
        <v>0.81539701819402755</v>
      </c>
      <c r="W41" s="111">
        <f t="shared" si="3"/>
        <v>0.81539701819402755</v>
      </c>
      <c r="X41" s="111">
        <f t="shared" si="3"/>
        <v>0.81539701819402755</v>
      </c>
      <c r="Y41" s="111">
        <f t="shared" si="3"/>
        <v>0.81539701819402755</v>
      </c>
      <c r="AH41" s="29" t="s">
        <v>179</v>
      </c>
    </row>
    <row r="42" spans="1:34" ht="15" customHeight="1" x14ac:dyDescent="0.45">
      <c r="A42" s="9" t="s">
        <v>180</v>
      </c>
      <c r="F42" s="34">
        <f>'Income Statement'!G10/(F39*1000)</f>
        <v>0.43910189982728842</v>
      </c>
      <c r="G42" s="34">
        <f>'Income Statement'!H10/(G39*1000)</f>
        <v>0.41449752883031299</v>
      </c>
      <c r="H42" s="34">
        <f>'Income Statement'!I10/(H39*1000)</f>
        <v>0.36544412607449855</v>
      </c>
      <c r="I42" s="34">
        <f>'Income Statement'!J10/(I39*1000)</f>
        <v>0.33380187416331997</v>
      </c>
      <c r="J42" s="34">
        <f>'Income Statement'!K10/(J39*1000)</f>
        <v>0.34254350736278449</v>
      </c>
      <c r="K42" s="34">
        <f>'Income Statement'!L10/(K39*1000)</f>
        <v>0.3424967824967825</v>
      </c>
      <c r="L42" s="34">
        <f>'Income Statement'!M10/(L39*1000)</f>
        <v>0.29266129032258065</v>
      </c>
      <c r="M42" s="34">
        <f>'Income Statement'!N10/(M39*1000)</f>
        <v>0.26108606557377051</v>
      </c>
      <c r="N42" s="34">
        <f>'Income Statement'!O10/(N39*1000)</f>
        <v>0.27759574468085108</v>
      </c>
      <c r="O42" s="34">
        <f>'Income Statement'!P10/(O39*1000)</f>
        <v>0.28127173913043479</v>
      </c>
      <c r="P42" s="111">
        <f>+AVERAGE(J42:O42)</f>
        <v>0.29960918826120064</v>
      </c>
      <c r="Q42" s="111">
        <f>+P42*0.99</f>
        <v>0.29661309637858863</v>
      </c>
      <c r="R42" s="111">
        <f t="shared" ref="R42:Y42" si="4">+Q42*0.99</f>
        <v>0.29364696541480273</v>
      </c>
      <c r="S42" s="111">
        <f t="shared" si="4"/>
        <v>0.29071049576065472</v>
      </c>
      <c r="T42" s="111">
        <f t="shared" si="4"/>
        <v>0.28780339080304818</v>
      </c>
      <c r="U42" s="111">
        <f t="shared" si="4"/>
        <v>0.28492535689501769</v>
      </c>
      <c r="V42" s="111">
        <f t="shared" si="4"/>
        <v>0.28207610332606753</v>
      </c>
      <c r="W42" s="111">
        <f t="shared" si="4"/>
        <v>0.27925534229280685</v>
      </c>
      <c r="X42" s="111">
        <f t="shared" si="4"/>
        <v>0.27646278886987879</v>
      </c>
      <c r="Y42" s="111">
        <f t="shared" si="4"/>
        <v>0.27369816098117999</v>
      </c>
      <c r="AH42" s="29" t="s">
        <v>181</v>
      </c>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pageSetUpPr fitToPage="1"/>
  </sheetPr>
  <dimension ref="A1:AG62"/>
  <sheetViews>
    <sheetView showGridLines="0" zoomScale="90" zoomScaleNormal="90" workbookViewId="0">
      <pane xSplit="2" ySplit="6" topLeftCell="C7" activePane="bottomRight" state="frozen"/>
      <selection pane="topRight" activeCell="B1" sqref="B1"/>
      <selection pane="bottomLeft" activeCell="A7" sqref="A7"/>
      <selection pane="bottomRight" activeCell="C7" sqref="C7"/>
    </sheetView>
  </sheetViews>
  <sheetFormatPr defaultColWidth="8.6640625" defaultRowHeight="14.25" x14ac:dyDescent="0.45"/>
  <cols>
    <col min="1" max="1" width="1.59765625" customWidth="1"/>
    <col min="2" max="2" width="46" customWidth="1"/>
    <col min="3" max="26" width="10.53125" customWidth="1"/>
    <col min="27" max="27" width="2" customWidth="1"/>
    <col min="28" max="33" width="11.46484375" customWidth="1"/>
  </cols>
  <sheetData>
    <row r="1" spans="1:33" ht="17.25" customHeight="1" x14ac:dyDescent="0.5">
      <c r="B1" s="13" t="s">
        <v>182</v>
      </c>
    </row>
    <row r="2" spans="1:33" ht="15" customHeight="1" x14ac:dyDescent="0.45">
      <c r="B2" s="4" t="s">
        <v>183</v>
      </c>
    </row>
    <row r="4" spans="1:33" ht="15" customHeight="1" x14ac:dyDescent="0.45">
      <c r="B4" s="5" t="s">
        <v>108</v>
      </c>
      <c r="C4" s="22" t="s">
        <v>109</v>
      </c>
      <c r="D4" s="22" t="s">
        <v>110</v>
      </c>
      <c r="E4" s="22" t="s">
        <v>111</v>
      </c>
      <c r="F4" s="22" t="s">
        <v>112</v>
      </c>
      <c r="G4" s="22" t="s">
        <v>113</v>
      </c>
      <c r="H4" s="22" t="s">
        <v>114</v>
      </c>
      <c r="I4" s="22" t="s">
        <v>115</v>
      </c>
      <c r="J4" s="22" t="s">
        <v>116</v>
      </c>
      <c r="K4" s="22" t="s">
        <v>117</v>
      </c>
      <c r="L4" s="22" t="s">
        <v>118</v>
      </c>
      <c r="M4" s="22" t="s">
        <v>119</v>
      </c>
      <c r="N4" s="22" t="s">
        <v>120</v>
      </c>
      <c r="O4" s="22" t="s">
        <v>121</v>
      </c>
      <c r="P4" s="22" t="s">
        <v>122</v>
      </c>
      <c r="Q4" s="23" t="s">
        <v>123</v>
      </c>
      <c r="R4" s="23" t="s">
        <v>124</v>
      </c>
      <c r="S4" s="23" t="s">
        <v>125</v>
      </c>
      <c r="T4" s="23" t="s">
        <v>126</v>
      </c>
      <c r="U4" s="23" t="s">
        <v>127</v>
      </c>
      <c r="V4" s="23" t="s">
        <v>128</v>
      </c>
      <c r="W4" s="23" t="s">
        <v>129</v>
      </c>
      <c r="X4" s="23" t="s">
        <v>130</v>
      </c>
      <c r="Y4" s="23" t="s">
        <v>131</v>
      </c>
      <c r="Z4" s="23" t="s">
        <v>132</v>
      </c>
      <c r="AB4" s="14" t="s">
        <v>73</v>
      </c>
      <c r="AC4" s="14" t="s">
        <v>74</v>
      </c>
      <c r="AD4" s="14" t="s">
        <v>75</v>
      </c>
      <c r="AE4" s="15" t="s">
        <v>76</v>
      </c>
      <c r="AF4" s="15" t="s">
        <v>77</v>
      </c>
      <c r="AG4" s="15" t="s">
        <v>78</v>
      </c>
    </row>
    <row r="5" spans="1:33" ht="15" customHeight="1" x14ac:dyDescent="0.45">
      <c r="B5" s="5" t="s">
        <v>134</v>
      </c>
      <c r="C5" s="24">
        <v>45016</v>
      </c>
      <c r="D5" s="24">
        <v>45107</v>
      </c>
      <c r="E5" s="24">
        <v>45199</v>
      </c>
      <c r="F5" s="24">
        <v>45291</v>
      </c>
      <c r="G5" s="24">
        <v>45382</v>
      </c>
      <c r="H5" s="24">
        <v>45473</v>
      </c>
      <c r="I5" s="24">
        <v>45565</v>
      </c>
      <c r="J5" s="24">
        <v>45657</v>
      </c>
      <c r="K5" s="24">
        <v>45747</v>
      </c>
      <c r="L5" s="24">
        <v>45838</v>
      </c>
      <c r="M5" s="24">
        <v>45930</v>
      </c>
      <c r="N5" s="24">
        <v>46022</v>
      </c>
      <c r="O5" s="24">
        <v>46112</v>
      </c>
      <c r="P5" s="24">
        <v>46203</v>
      </c>
      <c r="Q5" s="25">
        <v>46295</v>
      </c>
      <c r="R5" s="25">
        <v>46387</v>
      </c>
      <c r="S5" s="25">
        <v>46477</v>
      </c>
      <c r="T5" s="25">
        <v>46568</v>
      </c>
      <c r="U5" s="25">
        <v>46660</v>
      </c>
      <c r="V5" s="25">
        <v>46752</v>
      </c>
      <c r="W5" s="25">
        <v>46843</v>
      </c>
      <c r="X5" s="25">
        <v>46934</v>
      </c>
      <c r="Y5" s="25">
        <v>47026</v>
      </c>
      <c r="Z5" s="25">
        <v>47118</v>
      </c>
      <c r="AB5" s="26">
        <v>45291</v>
      </c>
      <c r="AC5" s="26">
        <v>45657</v>
      </c>
      <c r="AD5" s="26">
        <v>46022</v>
      </c>
      <c r="AE5" s="27">
        <v>46387</v>
      </c>
      <c r="AF5" s="27">
        <v>46752</v>
      </c>
      <c r="AG5" s="27">
        <v>47118</v>
      </c>
    </row>
    <row r="6" spans="1:33" ht="15" customHeight="1" x14ac:dyDescent="0.45">
      <c r="B6" s="5" t="s">
        <v>79</v>
      </c>
      <c r="C6" s="22" t="s">
        <v>80</v>
      </c>
      <c r="D6" s="22" t="s">
        <v>80</v>
      </c>
      <c r="E6" s="22" t="s">
        <v>80</v>
      </c>
      <c r="F6" s="22" t="s">
        <v>80</v>
      </c>
      <c r="G6" s="22" t="s">
        <v>80</v>
      </c>
      <c r="H6" s="22" t="s">
        <v>80</v>
      </c>
      <c r="I6" s="22" t="s">
        <v>80</v>
      </c>
      <c r="J6" s="22" t="s">
        <v>80</v>
      </c>
      <c r="K6" s="22" t="s">
        <v>80</v>
      </c>
      <c r="L6" s="22" t="s">
        <v>80</v>
      </c>
      <c r="M6" s="22" t="s">
        <v>80</v>
      </c>
      <c r="N6" s="22" t="s">
        <v>80</v>
      </c>
      <c r="O6" s="22" t="s">
        <v>80</v>
      </c>
      <c r="P6" s="22" t="s">
        <v>80</v>
      </c>
      <c r="Q6" s="23" t="s">
        <v>82</v>
      </c>
      <c r="R6" s="23" t="s">
        <v>82</v>
      </c>
      <c r="S6" s="23" t="s">
        <v>82</v>
      </c>
      <c r="T6" s="23" t="s">
        <v>82</v>
      </c>
      <c r="U6" s="23" t="s">
        <v>82</v>
      </c>
      <c r="V6" s="23" t="s">
        <v>82</v>
      </c>
      <c r="W6" s="23" t="s">
        <v>82</v>
      </c>
      <c r="X6" s="23" t="s">
        <v>82</v>
      </c>
      <c r="Y6" s="23" t="s">
        <v>82</v>
      </c>
      <c r="Z6" s="23" t="s">
        <v>82</v>
      </c>
      <c r="AB6" s="14" t="s">
        <v>80</v>
      </c>
      <c r="AC6" s="14" t="s">
        <v>80</v>
      </c>
      <c r="AD6" s="14" t="s">
        <v>80</v>
      </c>
      <c r="AE6" s="15" t="s">
        <v>81</v>
      </c>
      <c r="AF6" s="15" t="s">
        <v>82</v>
      </c>
      <c r="AG6" s="15" t="s">
        <v>82</v>
      </c>
    </row>
    <row r="8" spans="1:33" ht="15" customHeight="1" x14ac:dyDescent="0.45">
      <c r="A8" t="s">
        <v>597</v>
      </c>
      <c r="B8" s="16" t="s">
        <v>184</v>
      </c>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row>
    <row r="9" spans="1:33" ht="15" customHeight="1" x14ac:dyDescent="0.45">
      <c r="B9" s="10" t="s">
        <v>84</v>
      </c>
      <c r="C9" s="35">
        <v>55407</v>
      </c>
      <c r="D9" s="35">
        <v>63330</v>
      </c>
      <c r="E9" s="35">
        <v>63677</v>
      </c>
      <c r="F9" s="18">
        <f>'10-K Data'!B9-SUM(C9:E9)</f>
        <v>84600</v>
      </c>
      <c r="G9" s="35">
        <v>66701</v>
      </c>
      <c r="H9" s="35">
        <v>67267</v>
      </c>
      <c r="I9" s="35">
        <v>71786</v>
      </c>
      <c r="J9" s="18">
        <f>'10-K Data'!C9-SUM(G9:I9)</f>
        <v>85502</v>
      </c>
      <c r="K9" s="35">
        <v>63825</v>
      </c>
      <c r="L9" s="35">
        <v>71095</v>
      </c>
      <c r="M9" s="35">
        <v>67960</v>
      </c>
      <c r="N9" s="18">
        <f>'10-K Data'!D9-SUM(K9:M9)</f>
        <v>80046</v>
      </c>
      <c r="O9" s="35">
        <v>62567</v>
      </c>
      <c r="P9" s="35">
        <v>78593</v>
      </c>
      <c r="Q9" s="112">
        <f>+(Drivers!P$39*1000)*Drivers!P41</f>
        <v>89210.684785153993</v>
      </c>
      <c r="R9" s="112">
        <f>+(Drivers!Q$39*1000)*Drivers!Q41</f>
        <v>100103.35291234631</v>
      </c>
      <c r="S9" s="112">
        <f>+(Drivers!R$39*1000)*Drivers!R41</f>
        <v>96213.37916045227</v>
      </c>
      <c r="T9" s="112">
        <f>+(Drivers!S$39*1000)*Drivers!S41</f>
        <v>93974.788383695864</v>
      </c>
      <c r="U9" s="112">
        <f>+(Drivers!T$39*1000)*Drivers!T41</f>
        <v>111530.65745324286</v>
      </c>
      <c r="V9" s="112">
        <f>+(Drivers!U$39*1000)*Drivers!U41</f>
        <v>124898.15260819897</v>
      </c>
      <c r="W9" s="112">
        <f>+(Drivers!V$39*1000)*Drivers!V41</f>
        <v>119806.35063433593</v>
      </c>
      <c r="X9" s="112">
        <f>+(Drivers!W$39*1000)*Drivers!W41</f>
        <v>116788.38328845742</v>
      </c>
      <c r="Y9" s="112">
        <f>+(Drivers!X$39*1000)*Drivers!X41</f>
        <v>138335.41146800193</v>
      </c>
      <c r="Z9" s="112">
        <f>+(Drivers!Y$39*1000)*Drivers!Y41</f>
        <v>154615.41323113127</v>
      </c>
      <c r="AB9" s="36">
        <f>SUM(C9:F9)</f>
        <v>267014</v>
      </c>
      <c r="AC9" s="36">
        <f>SUM(G9:J9)</f>
        <v>291256</v>
      </c>
      <c r="AD9" s="36">
        <f>SUM(K9:N9)</f>
        <v>282926</v>
      </c>
      <c r="AE9" s="36">
        <f>SUM(O9:R9)</f>
        <v>330474.03769750032</v>
      </c>
      <c r="AF9" s="36">
        <f>SUM(S9:V9)</f>
        <v>426616.97760558996</v>
      </c>
      <c r="AG9" s="36">
        <f>SUM(W9:Z9)</f>
        <v>529545.55862192658</v>
      </c>
    </row>
    <row r="10" spans="1:33" ht="15" customHeight="1" x14ac:dyDescent="0.45">
      <c r="B10" s="9" t="s">
        <v>185</v>
      </c>
      <c r="C10" s="37">
        <v>23863</v>
      </c>
      <c r="D10" s="37">
        <v>25067</v>
      </c>
      <c r="E10" s="37">
        <v>26091</v>
      </c>
      <c r="F10" s="20">
        <f>'10-K Data'!B10-SUM(C10:E10)</f>
        <v>24208</v>
      </c>
      <c r="G10" s="37">
        <v>25424</v>
      </c>
      <c r="H10" s="37">
        <v>25160</v>
      </c>
      <c r="I10" s="37">
        <v>25508</v>
      </c>
      <c r="J10" s="20">
        <f>'10-K Data'!C10-SUM(G10:I10)</f>
        <v>24935</v>
      </c>
      <c r="K10" s="37">
        <v>25588</v>
      </c>
      <c r="L10" s="37">
        <v>26612</v>
      </c>
      <c r="M10" s="37">
        <v>25403</v>
      </c>
      <c r="N10" s="20">
        <f>'10-K Data'!D10-SUM(K10:M10)</f>
        <v>25482</v>
      </c>
      <c r="O10" s="37">
        <v>26094</v>
      </c>
      <c r="P10" s="37">
        <v>25877</v>
      </c>
      <c r="Q10" s="112">
        <f>+(Drivers!P$39*1000)*Drivers!P42</f>
        <v>32779.542059038657</v>
      </c>
      <c r="R10" s="112">
        <f>+(Drivers!Q$39*1000)*Drivers!Q42</f>
        <v>36414.120732220174</v>
      </c>
      <c r="S10" s="112">
        <f>+(Drivers!R$39*1000)*Drivers!R42</f>
        <v>34649.09264120923</v>
      </c>
      <c r="T10" s="112">
        <f>+(Drivers!S$39*1000)*Drivers!S42</f>
        <v>33504.4851899692</v>
      </c>
      <c r="U10" s="112">
        <f>+(Drivers!T$39*1000)*Drivers!T42</f>
        <v>39365.978385143506</v>
      </c>
      <c r="V10" s="112">
        <f>+(Drivers!U$39*1000)*Drivers!U42</f>
        <v>43643.341726019738</v>
      </c>
      <c r="W10" s="112">
        <f>+(Drivers!V$39*1000)*Drivers!V42</f>
        <v>41445.464953378651</v>
      </c>
      <c r="X10" s="112">
        <f>+(Drivers!W$39*1000)*Drivers!W42</f>
        <v>39997.423614910862</v>
      </c>
      <c r="Y10" s="112">
        <f>+(Drivers!X$39*1000)*Drivers!X42</f>
        <v>46903.033492336792</v>
      </c>
      <c r="Z10" s="112">
        <f>+(Drivers!Y$39*1000)*Drivers!Y42</f>
        <v>51898.588437854793</v>
      </c>
      <c r="AB10" s="31">
        <f>SUM(C10:F10)</f>
        <v>99229</v>
      </c>
      <c r="AC10" s="31">
        <f>SUM(G10:J10)</f>
        <v>101027</v>
      </c>
      <c r="AD10" s="31">
        <f>SUM(K10:N10)</f>
        <v>103085</v>
      </c>
      <c r="AE10" s="31">
        <f>SUM(O10:R10)</f>
        <v>121164.66279125883</v>
      </c>
      <c r="AF10" s="31">
        <f>SUM(S10:V10)</f>
        <v>151162.89794234169</v>
      </c>
      <c r="AG10" s="31">
        <f>SUM(W10:Z10)</f>
        <v>180244.5104984811</v>
      </c>
    </row>
    <row r="11" spans="1:33" ht="15" customHeight="1" x14ac:dyDescent="0.45">
      <c r="B11" s="38" t="s">
        <v>86</v>
      </c>
      <c r="C11" s="39">
        <f t="shared" ref="C11:Z11" si="0">C9-C10</f>
        <v>31544</v>
      </c>
      <c r="D11" s="39">
        <f t="shared" si="0"/>
        <v>38263</v>
      </c>
      <c r="E11" s="39">
        <f t="shared" si="0"/>
        <v>37586</v>
      </c>
      <c r="F11" s="39">
        <f t="shared" si="0"/>
        <v>60392</v>
      </c>
      <c r="G11" s="39">
        <f t="shared" si="0"/>
        <v>41277</v>
      </c>
      <c r="H11" s="39">
        <f t="shared" si="0"/>
        <v>42107</v>
      </c>
      <c r="I11" s="39">
        <f t="shared" si="0"/>
        <v>46278</v>
      </c>
      <c r="J11" s="39">
        <f t="shared" si="0"/>
        <v>60567</v>
      </c>
      <c r="K11" s="39">
        <f t="shared" si="0"/>
        <v>38237</v>
      </c>
      <c r="L11" s="39">
        <f t="shared" si="0"/>
        <v>44483</v>
      </c>
      <c r="M11" s="39">
        <f t="shared" si="0"/>
        <v>42557</v>
      </c>
      <c r="N11" s="39">
        <f t="shared" si="0"/>
        <v>54564</v>
      </c>
      <c r="O11" s="39">
        <f t="shared" si="0"/>
        <v>36473</v>
      </c>
      <c r="P11" s="39">
        <f t="shared" si="0"/>
        <v>52716</v>
      </c>
      <c r="Q11" s="114">
        <f t="shared" si="0"/>
        <v>56431.142726115337</v>
      </c>
      <c r="R11" s="114">
        <f t="shared" si="0"/>
        <v>63689.232180126135</v>
      </c>
      <c r="S11" s="114">
        <f t="shared" si="0"/>
        <v>61564.28651924304</v>
      </c>
      <c r="T11" s="114">
        <f t="shared" si="0"/>
        <v>60470.303193726664</v>
      </c>
      <c r="U11" s="114">
        <f t="shared" si="0"/>
        <v>72164.679068099358</v>
      </c>
      <c r="V11" s="114">
        <f t="shared" si="0"/>
        <v>81254.810882179241</v>
      </c>
      <c r="W11" s="114">
        <f t="shared" si="0"/>
        <v>78360.88568095729</v>
      </c>
      <c r="X11" s="114">
        <f t="shared" si="0"/>
        <v>76790.95967354656</v>
      </c>
      <c r="Y11" s="114">
        <f t="shared" si="0"/>
        <v>91432.377975665135</v>
      </c>
      <c r="Z11" s="114">
        <f t="shared" si="0"/>
        <v>102716.82479327648</v>
      </c>
      <c r="AB11" s="39">
        <f t="shared" ref="AB11:AG11" si="1">AB9-AB10</f>
        <v>167785</v>
      </c>
      <c r="AC11" s="39">
        <f t="shared" si="1"/>
        <v>190229</v>
      </c>
      <c r="AD11" s="39">
        <f t="shared" si="1"/>
        <v>179841</v>
      </c>
      <c r="AE11" s="39">
        <f t="shared" si="1"/>
        <v>209309.37490624149</v>
      </c>
      <c r="AF11" s="39">
        <f t="shared" si="1"/>
        <v>275454.07966324827</v>
      </c>
      <c r="AG11" s="39">
        <f t="shared" si="1"/>
        <v>349301.04812344548</v>
      </c>
    </row>
    <row r="12" spans="1:33" ht="15" customHeight="1" x14ac:dyDescent="0.45">
      <c r="B12" s="40" t="s">
        <v>186</v>
      </c>
      <c r="C12" s="41">
        <f t="shared" ref="C12:Z12" si="2">IF(C9=0,0,C11/C9)</f>
        <v>0.56931434656270863</v>
      </c>
      <c r="D12" s="41">
        <f t="shared" si="2"/>
        <v>0.60418443075951367</v>
      </c>
      <c r="E12" s="41">
        <f t="shared" si="2"/>
        <v>0.59026021954551877</v>
      </c>
      <c r="F12" s="41">
        <f t="shared" si="2"/>
        <v>0.71385342789598105</v>
      </c>
      <c r="G12" s="41">
        <f t="shared" si="2"/>
        <v>0.61883629930585748</v>
      </c>
      <c r="H12" s="41">
        <f t="shared" si="2"/>
        <v>0.62596815674847994</v>
      </c>
      <c r="I12" s="41">
        <f t="shared" si="2"/>
        <v>0.64466609088123028</v>
      </c>
      <c r="J12" s="41">
        <f t="shared" si="2"/>
        <v>0.70836939486795636</v>
      </c>
      <c r="K12" s="41">
        <f t="shared" si="2"/>
        <v>0.59909126517822175</v>
      </c>
      <c r="L12" s="41">
        <f t="shared" si="2"/>
        <v>0.62568394401856675</v>
      </c>
      <c r="M12" s="41">
        <f t="shared" si="2"/>
        <v>0.62620659211300767</v>
      </c>
      <c r="N12" s="41">
        <f t="shared" si="2"/>
        <v>0.68165804662319163</v>
      </c>
      <c r="O12" s="41">
        <f t="shared" si="2"/>
        <v>0.58294308501286618</v>
      </c>
      <c r="P12" s="41">
        <f t="shared" si="2"/>
        <v>0.67074675861717969</v>
      </c>
      <c r="Q12" s="115">
        <f t="shared" si="2"/>
        <v>0.63256035823532131</v>
      </c>
      <c r="R12" s="115">
        <f t="shared" si="2"/>
        <v>0.63623475465296808</v>
      </c>
      <c r="S12" s="115">
        <f>IF(S9=0,0,S11/S9)</f>
        <v>0.63987240710643845</v>
      </c>
      <c r="T12" s="115">
        <f t="shared" si="2"/>
        <v>0.643473683035374</v>
      </c>
      <c r="U12" s="115">
        <f t="shared" si="2"/>
        <v>0.64703894620502034</v>
      </c>
      <c r="V12" s="115">
        <f>IF(V9=0,0,V11/V9)</f>
        <v>0.65056855674297021</v>
      </c>
      <c r="W12" s="115">
        <f t="shared" si="2"/>
        <v>0.65406287117554041</v>
      </c>
      <c r="X12" s="115">
        <f t="shared" si="2"/>
        <v>0.65752224246378499</v>
      </c>
      <c r="Y12" s="115">
        <f t="shared" si="2"/>
        <v>0.66094702003914718</v>
      </c>
      <c r="Z12" s="115">
        <f t="shared" si="2"/>
        <v>0.6643375498387557</v>
      </c>
      <c r="AB12" s="41">
        <f t="shared" ref="AB12:AG12" si="3">IF(AB9=0,0,AB11/AB9)</f>
        <v>0.62837529118323388</v>
      </c>
      <c r="AC12" s="41">
        <f t="shared" si="3"/>
        <v>0.65313332600873464</v>
      </c>
      <c r="AD12" s="41">
        <f t="shared" si="3"/>
        <v>0.63564677689572535</v>
      </c>
      <c r="AE12" s="41">
        <f t="shared" si="3"/>
        <v>0.6333610239538181</v>
      </c>
      <c r="AF12" s="41">
        <f t="shared" si="3"/>
        <v>0.64567069320412107</v>
      </c>
      <c r="AG12" s="41">
        <f t="shared" si="3"/>
        <v>0.65962416724343043</v>
      </c>
    </row>
    <row r="13" spans="1:33" x14ac:dyDescent="0.45">
      <c r="Q13" s="116"/>
      <c r="R13" s="116"/>
      <c r="S13" s="116"/>
      <c r="T13" s="116"/>
      <c r="U13" s="116"/>
      <c r="V13" s="116"/>
      <c r="W13" s="116"/>
      <c r="X13" s="116"/>
      <c r="Y13" s="116"/>
      <c r="Z13" s="116"/>
    </row>
    <row r="14" spans="1:33" ht="15" customHeight="1" x14ac:dyDescent="0.45">
      <c r="B14" s="9" t="s">
        <v>187</v>
      </c>
      <c r="C14" s="37">
        <v>6517</v>
      </c>
      <c r="D14" s="37">
        <v>6730</v>
      </c>
      <c r="E14" s="37">
        <v>6634</v>
      </c>
      <c r="F14" s="20">
        <f>'10-K Data'!B11-SUM(C14:E14)</f>
        <v>6846</v>
      </c>
      <c r="G14" s="37">
        <v>7960</v>
      </c>
      <c r="H14" s="37">
        <v>8659</v>
      </c>
      <c r="I14" s="37">
        <v>8813</v>
      </c>
      <c r="J14" s="20">
        <f>'10-K Data'!C11-SUM(G14:I14)</f>
        <v>7831</v>
      </c>
      <c r="K14" s="37">
        <v>8772</v>
      </c>
      <c r="L14" s="37">
        <v>9116</v>
      </c>
      <c r="M14" s="37">
        <v>9616</v>
      </c>
      <c r="N14" s="20">
        <f>'10-K Data'!D11-SUM(K14:M14)</f>
        <v>6316</v>
      </c>
      <c r="O14" s="37">
        <v>7986</v>
      </c>
      <c r="P14" s="37">
        <v>9148</v>
      </c>
      <c r="Q14" s="113">
        <f>M14*(1+Drivers!P11)</f>
        <v>9904.48</v>
      </c>
      <c r="R14" s="113">
        <f>N14*(1+Drivers!Q11)</f>
        <v>6505.4800000000005</v>
      </c>
      <c r="S14" s="113">
        <f>O14*(1+Drivers!R11)</f>
        <v>8225.58</v>
      </c>
      <c r="T14" s="113">
        <f>P14*(1+Drivers!S11)</f>
        <v>9422.44</v>
      </c>
      <c r="U14" s="113">
        <f>Q14*(1+Drivers!T11)</f>
        <v>10201.6144</v>
      </c>
      <c r="V14" s="113">
        <f>R14*(1+Drivers!U11)</f>
        <v>6700.644400000001</v>
      </c>
      <c r="W14" s="113">
        <f>S14*(1+Drivers!V11)</f>
        <v>8472.3474000000006</v>
      </c>
      <c r="X14" s="113">
        <f>T14*(1+Drivers!W11)</f>
        <v>9705.1132000000016</v>
      </c>
      <c r="Y14" s="113">
        <f>U14*(1+Drivers!X11)</f>
        <v>10507.662832</v>
      </c>
      <c r="Z14" s="113">
        <f>V14*(1+Drivers!Y11)</f>
        <v>6901.6637320000009</v>
      </c>
      <c r="AB14" s="31">
        <f>SUM(C14:F14)</f>
        <v>26727</v>
      </c>
      <c r="AC14" s="31">
        <f>SUM(G14:J14)</f>
        <v>33263</v>
      </c>
      <c r="AD14" s="31">
        <f>SUM(K14:N14)</f>
        <v>33820</v>
      </c>
      <c r="AE14" s="31">
        <f>SUM(O14:R14)</f>
        <v>33543.96</v>
      </c>
      <c r="AF14" s="31">
        <f>SUM(S14:V14)</f>
        <v>34550.2788</v>
      </c>
      <c r="AG14" s="31">
        <f>SUM(W14:Z14)</f>
        <v>35586.787164000001</v>
      </c>
    </row>
    <row r="15" spans="1:33" ht="15" customHeight="1" x14ac:dyDescent="0.45">
      <c r="B15" s="9" t="s">
        <v>188</v>
      </c>
      <c r="C15" s="37">
        <v>23127</v>
      </c>
      <c r="D15" s="37">
        <v>19810</v>
      </c>
      <c r="E15" s="37">
        <v>19513</v>
      </c>
      <c r="F15" s="20">
        <f>'10-K Data'!B12-SUM(C15:E15)</f>
        <v>20353</v>
      </c>
      <c r="G15" s="37">
        <v>24815</v>
      </c>
      <c r="H15" s="37">
        <v>23095</v>
      </c>
      <c r="I15" s="37">
        <v>23696</v>
      </c>
      <c r="J15" s="20">
        <f>'10-K Data'!C12-SUM(G15:I15)</f>
        <v>23763</v>
      </c>
      <c r="K15" s="37">
        <v>26799</v>
      </c>
      <c r="L15" s="37">
        <v>25200</v>
      </c>
      <c r="M15" s="37">
        <v>25732</v>
      </c>
      <c r="N15" s="20">
        <f>'10-K Data'!D12-SUM(K15:M15)</f>
        <v>25209</v>
      </c>
      <c r="O15" s="37">
        <v>28965</v>
      </c>
      <c r="P15" s="37">
        <v>26130</v>
      </c>
      <c r="Q15" s="113">
        <f>M15*(1+Drivers!P12)</f>
        <v>26761.280000000002</v>
      </c>
      <c r="R15" s="113">
        <f>N15*(1+Drivers!Q12)</f>
        <v>26217.360000000001</v>
      </c>
      <c r="S15" s="113">
        <f>O15*(1+Drivers!R12)</f>
        <v>30123.600000000002</v>
      </c>
      <c r="T15" s="113">
        <f>P15*(1+Drivers!S12)</f>
        <v>27175.200000000001</v>
      </c>
      <c r="U15" s="113">
        <f>Q15*(1+Drivers!T12)</f>
        <v>27831.731200000002</v>
      </c>
      <c r="V15" s="113">
        <f>R15*(1+Drivers!U12)</f>
        <v>27266.054400000001</v>
      </c>
      <c r="W15" s="113">
        <f>S15*(1+Drivers!V12)</f>
        <v>31328.544000000002</v>
      </c>
      <c r="X15" s="113">
        <f>T15*(1+Drivers!W12)</f>
        <v>28262.208000000002</v>
      </c>
      <c r="Y15" s="113">
        <f>U15*(1+Drivers!X12)</f>
        <v>28945.000448000003</v>
      </c>
      <c r="Z15" s="113">
        <f>V15*(1+Drivers!Y12)</f>
        <v>28356.696576000002</v>
      </c>
      <c r="AB15" s="31">
        <f>SUM(C15:F15)</f>
        <v>82803</v>
      </c>
      <c r="AC15" s="31">
        <f>SUM(G15:J15)</f>
        <v>95369</v>
      </c>
      <c r="AD15" s="31">
        <f>SUM(K15:N15)</f>
        <v>102940</v>
      </c>
      <c r="AE15" s="31">
        <f>SUM(O15:R15)</f>
        <v>108073.64</v>
      </c>
      <c r="AF15" s="31">
        <f>SUM(S15:V15)</f>
        <v>112396.58559999999</v>
      </c>
      <c r="AG15" s="31">
        <f>SUM(W15:Z15)</f>
        <v>116892.44902400002</v>
      </c>
    </row>
    <row r="16" spans="1:33" ht="15" customHeight="1" x14ac:dyDescent="0.45">
      <c r="B16" s="9" t="s">
        <v>189</v>
      </c>
      <c r="C16" s="37">
        <v>12572</v>
      </c>
      <c r="D16" s="37">
        <v>18857</v>
      </c>
      <c r="E16" s="37">
        <v>12010</v>
      </c>
      <c r="F16" s="20">
        <f>'10-K Data'!B13-SUM(C16:E16)</f>
        <v>12780</v>
      </c>
      <c r="G16" s="37">
        <v>14027</v>
      </c>
      <c r="H16" s="37">
        <v>14338</v>
      </c>
      <c r="I16" s="37">
        <v>15134</v>
      </c>
      <c r="J16" s="20">
        <f>'10-K Data'!C13-SUM(G16:I16)</f>
        <v>14171</v>
      </c>
      <c r="K16" s="37">
        <v>14569</v>
      </c>
      <c r="L16" s="37">
        <v>15628</v>
      </c>
      <c r="M16" s="37">
        <v>15628</v>
      </c>
      <c r="N16" s="20">
        <f>'10-K Data'!D13-SUM(K16:M16)</f>
        <v>14515</v>
      </c>
      <c r="O16" s="37">
        <v>14795</v>
      </c>
      <c r="P16" s="37">
        <v>16859</v>
      </c>
      <c r="Q16" s="113">
        <f>M16*(1+Drivers!P13)</f>
        <v>16253.12</v>
      </c>
      <c r="R16" s="113">
        <f>N16*(1+Drivers!Q13)</f>
        <v>15095.6</v>
      </c>
      <c r="S16" s="113">
        <f>O16*(1+Drivers!R13)</f>
        <v>15386.800000000001</v>
      </c>
      <c r="T16" s="113">
        <f>P16*(1+Drivers!S13)</f>
        <v>17533.36</v>
      </c>
      <c r="U16" s="113">
        <f>Q16*(1+Drivers!T13)</f>
        <v>16903.2448</v>
      </c>
      <c r="V16" s="113">
        <f>R16*(1+Drivers!U13)</f>
        <v>15699.424000000001</v>
      </c>
      <c r="W16" s="113">
        <f>S16*(1+Drivers!V13)</f>
        <v>16002.272000000001</v>
      </c>
      <c r="X16" s="113">
        <f>T16*(1+Drivers!W13)</f>
        <v>18234.6944</v>
      </c>
      <c r="Y16" s="113">
        <f>U16*(1+Drivers!X13)</f>
        <v>17579.374592</v>
      </c>
      <c r="Z16" s="113">
        <f>V16*(1+Drivers!Y13)</f>
        <v>16327.400960000001</v>
      </c>
      <c r="AB16" s="31">
        <f>SUM(C16:F16)</f>
        <v>56219</v>
      </c>
      <c r="AC16" s="31">
        <f>SUM(G16:J16)</f>
        <v>57670</v>
      </c>
      <c r="AD16" s="31">
        <f>SUM(K16:N16)</f>
        <v>60340</v>
      </c>
      <c r="AE16" s="31">
        <f>SUM(O16:R16)</f>
        <v>63002.720000000001</v>
      </c>
      <c r="AF16" s="31">
        <f>SUM(S16:V16)</f>
        <v>65522.828800000003</v>
      </c>
      <c r="AG16" s="31">
        <f>SUM(W16:Z16)</f>
        <v>68143.741952000011</v>
      </c>
    </row>
    <row r="17" spans="2:33" ht="15" customHeight="1" x14ac:dyDescent="0.45">
      <c r="B17" s="38" t="s">
        <v>88</v>
      </c>
      <c r="C17" s="39">
        <f t="shared" ref="C17:Z17" si="4">C14+C15+C16</f>
        <v>42216</v>
      </c>
      <c r="D17" s="39">
        <f t="shared" si="4"/>
        <v>45397</v>
      </c>
      <c r="E17" s="39">
        <f t="shared" si="4"/>
        <v>38157</v>
      </c>
      <c r="F17" s="39">
        <f t="shared" si="4"/>
        <v>39979</v>
      </c>
      <c r="G17" s="39">
        <f t="shared" si="4"/>
        <v>46802</v>
      </c>
      <c r="H17" s="39">
        <f t="shared" si="4"/>
        <v>46092</v>
      </c>
      <c r="I17" s="39">
        <f t="shared" si="4"/>
        <v>47643</v>
      </c>
      <c r="J17" s="39">
        <f t="shared" si="4"/>
        <v>45765</v>
      </c>
      <c r="K17" s="39">
        <f t="shared" si="4"/>
        <v>50140</v>
      </c>
      <c r="L17" s="39">
        <f t="shared" si="4"/>
        <v>49944</v>
      </c>
      <c r="M17" s="39">
        <f t="shared" si="4"/>
        <v>50976</v>
      </c>
      <c r="N17" s="39">
        <f t="shared" si="4"/>
        <v>46040</v>
      </c>
      <c r="O17" s="39">
        <f t="shared" si="4"/>
        <v>51746</v>
      </c>
      <c r="P17" s="39">
        <f t="shared" si="4"/>
        <v>52137</v>
      </c>
      <c r="Q17" s="114">
        <f t="shared" si="4"/>
        <v>52918.880000000005</v>
      </c>
      <c r="R17" s="114">
        <f t="shared" si="4"/>
        <v>47818.44</v>
      </c>
      <c r="S17" s="114">
        <f t="shared" si="4"/>
        <v>53735.98</v>
      </c>
      <c r="T17" s="114">
        <f t="shared" si="4"/>
        <v>54131</v>
      </c>
      <c r="U17" s="114">
        <f t="shared" si="4"/>
        <v>54936.590400000001</v>
      </c>
      <c r="V17" s="114">
        <f t="shared" si="4"/>
        <v>49666.122799999997</v>
      </c>
      <c r="W17" s="114">
        <f t="shared" si="4"/>
        <v>55803.163400000005</v>
      </c>
      <c r="X17" s="114">
        <f t="shared" si="4"/>
        <v>56202.015600000006</v>
      </c>
      <c r="Y17" s="114">
        <f t="shared" si="4"/>
        <v>57032.037872000001</v>
      </c>
      <c r="Z17" s="114">
        <f t="shared" si="4"/>
        <v>51585.761268000002</v>
      </c>
      <c r="AB17" s="39">
        <f t="shared" ref="AB17:AG17" si="5">AB14+AB15+AB16</f>
        <v>165749</v>
      </c>
      <c r="AC17" s="39">
        <f t="shared" si="5"/>
        <v>186302</v>
      </c>
      <c r="AD17" s="39">
        <f t="shared" si="5"/>
        <v>197100</v>
      </c>
      <c r="AE17" s="39">
        <f t="shared" si="5"/>
        <v>204620.32</v>
      </c>
      <c r="AF17" s="39">
        <f t="shared" si="5"/>
        <v>212469.69319999998</v>
      </c>
      <c r="AG17" s="39">
        <f t="shared" si="5"/>
        <v>220622.97814000002</v>
      </c>
    </row>
    <row r="18" spans="2:33" ht="15" customHeight="1" x14ac:dyDescent="0.45">
      <c r="B18" s="10" t="s">
        <v>89</v>
      </c>
      <c r="C18" s="36">
        <f t="shared" ref="C18:Z18" si="6">C11-C17</f>
        <v>-10672</v>
      </c>
      <c r="D18" s="36">
        <f t="shared" si="6"/>
        <v>-7134</v>
      </c>
      <c r="E18" s="36">
        <f t="shared" si="6"/>
        <v>-571</v>
      </c>
      <c r="F18" s="36">
        <f t="shared" si="6"/>
        <v>20413</v>
      </c>
      <c r="G18" s="36">
        <f t="shared" si="6"/>
        <v>-5525</v>
      </c>
      <c r="H18" s="36">
        <f t="shared" si="6"/>
        <v>-3985</v>
      </c>
      <c r="I18" s="36">
        <f t="shared" si="6"/>
        <v>-1365</v>
      </c>
      <c r="J18" s="36">
        <f t="shared" si="6"/>
        <v>14802</v>
      </c>
      <c r="K18" s="36">
        <f t="shared" si="6"/>
        <v>-11903</v>
      </c>
      <c r="L18" s="36">
        <f t="shared" si="6"/>
        <v>-5461</v>
      </c>
      <c r="M18" s="36">
        <f t="shared" si="6"/>
        <v>-8419</v>
      </c>
      <c r="N18" s="36">
        <f t="shared" si="6"/>
        <v>8524</v>
      </c>
      <c r="O18" s="36">
        <f t="shared" si="6"/>
        <v>-15273</v>
      </c>
      <c r="P18" s="36">
        <f t="shared" si="6"/>
        <v>579</v>
      </c>
      <c r="Q18" s="112">
        <f t="shared" si="6"/>
        <v>3512.262726115332</v>
      </c>
      <c r="R18" s="112">
        <f t="shared" si="6"/>
        <v>15870.792180126133</v>
      </c>
      <c r="S18" s="112">
        <f t="shared" si="6"/>
        <v>7828.3065192430367</v>
      </c>
      <c r="T18" s="112">
        <f t="shared" si="6"/>
        <v>6339.3031937266642</v>
      </c>
      <c r="U18" s="112">
        <f t="shared" si="6"/>
        <v>17228.088668099357</v>
      </c>
      <c r="V18" s="112">
        <f t="shared" si="6"/>
        <v>31588.688082179244</v>
      </c>
      <c r="W18" s="112">
        <f t="shared" si="6"/>
        <v>22557.722280957285</v>
      </c>
      <c r="X18" s="112">
        <f t="shared" si="6"/>
        <v>20588.944073546554</v>
      </c>
      <c r="Y18" s="112">
        <f t="shared" si="6"/>
        <v>34400.340103665134</v>
      </c>
      <c r="Z18" s="112">
        <f t="shared" si="6"/>
        <v>51131.063525276477</v>
      </c>
      <c r="AB18" s="36">
        <f t="shared" ref="AB18:AG18" si="7">AB11-AB17</f>
        <v>2036</v>
      </c>
      <c r="AC18" s="36">
        <f t="shared" si="7"/>
        <v>3927</v>
      </c>
      <c r="AD18" s="36">
        <f t="shared" si="7"/>
        <v>-17259</v>
      </c>
      <c r="AE18" s="36">
        <f t="shared" si="7"/>
        <v>4689.0549062414793</v>
      </c>
      <c r="AF18" s="36">
        <f t="shared" si="7"/>
        <v>62984.386463248287</v>
      </c>
      <c r="AG18" s="36">
        <f t="shared" si="7"/>
        <v>128678.06998344546</v>
      </c>
    </row>
    <row r="19" spans="2:33" ht="15" customHeight="1" x14ac:dyDescent="0.45">
      <c r="B19" s="40" t="s">
        <v>190</v>
      </c>
      <c r="C19" s="41">
        <f t="shared" ref="C19:Z19" si="8">IF(C9=0,0,C18/C9)</f>
        <v>-0.19261104192611042</v>
      </c>
      <c r="D19" s="41">
        <f t="shared" si="8"/>
        <v>-0.11264803410705827</v>
      </c>
      <c r="E19" s="41">
        <f t="shared" si="8"/>
        <v>-8.967130989211175E-3</v>
      </c>
      <c r="F19" s="41">
        <f t="shared" si="8"/>
        <v>0.24128841607565013</v>
      </c>
      <c r="G19" s="41">
        <f t="shared" si="8"/>
        <v>-8.2832341344207736E-2</v>
      </c>
      <c r="H19" s="41">
        <f t="shared" si="8"/>
        <v>-5.9241530022150532E-2</v>
      </c>
      <c r="I19" s="41">
        <f t="shared" si="8"/>
        <v>-1.9014849692140529E-2</v>
      </c>
      <c r="J19" s="41">
        <f t="shared" si="8"/>
        <v>0.17311875745596594</v>
      </c>
      <c r="K19" s="41">
        <f t="shared" si="8"/>
        <v>-0.18649432040736388</v>
      </c>
      <c r="L19" s="41">
        <f t="shared" si="8"/>
        <v>-7.681271538082847E-2</v>
      </c>
      <c r="M19" s="41">
        <f t="shared" si="8"/>
        <v>-0.1238816951147734</v>
      </c>
      <c r="N19" s="41">
        <f t="shared" si="8"/>
        <v>0.10648876895784924</v>
      </c>
      <c r="O19" s="41">
        <f t="shared" si="8"/>
        <v>-0.24410631802707497</v>
      </c>
      <c r="P19" s="41">
        <f t="shared" si="8"/>
        <v>7.3670683139719821E-3</v>
      </c>
      <c r="Q19" s="115">
        <f t="shared" si="8"/>
        <v>3.9370426699155053E-2</v>
      </c>
      <c r="R19" s="115">
        <f t="shared" si="8"/>
        <v>0.15854406189593975</v>
      </c>
      <c r="S19" s="115">
        <f t="shared" si="8"/>
        <v>8.1364011819894569E-2</v>
      </c>
      <c r="T19" s="115">
        <f t="shared" si="8"/>
        <v>6.7457488362128629E-2</v>
      </c>
      <c r="U19" s="115">
        <f t="shared" si="8"/>
        <v>0.15446953386177167</v>
      </c>
      <c r="V19" s="115">
        <f t="shared" si="8"/>
        <v>0.25291557499070322</v>
      </c>
      <c r="W19" s="115">
        <f t="shared" si="8"/>
        <v>0.18828486270987665</v>
      </c>
      <c r="X19" s="115">
        <f t="shared" si="8"/>
        <v>0.17629273985832652</v>
      </c>
      <c r="Y19" s="115">
        <f t="shared" si="8"/>
        <v>0.24867342163956482</v>
      </c>
      <c r="Z19" s="115">
        <f t="shared" si="8"/>
        <v>0.33069835960559602</v>
      </c>
      <c r="AB19" s="41">
        <f t="shared" ref="AB19:AG19" si="9">IF(AB9=0,0,AB18/AB9)</f>
        <v>7.6250683484761096E-3</v>
      </c>
      <c r="AC19" s="41">
        <f t="shared" si="9"/>
        <v>1.3482984041530475E-2</v>
      </c>
      <c r="AD19" s="41">
        <f t="shared" si="9"/>
        <v>-6.1001816729462831E-2</v>
      </c>
      <c r="AE19" s="41">
        <f t="shared" si="9"/>
        <v>1.4188875286274711E-2</v>
      </c>
      <c r="AF19" s="41">
        <f t="shared" si="9"/>
        <v>0.14763684937423599</v>
      </c>
      <c r="AG19" s="41">
        <f t="shared" si="9"/>
        <v>0.24299716594416049</v>
      </c>
    </row>
    <row r="20" spans="2:33" x14ac:dyDescent="0.45">
      <c r="Q20" s="116"/>
      <c r="R20" s="116"/>
      <c r="S20" s="116"/>
      <c r="T20" s="116"/>
      <c r="U20" s="116"/>
      <c r="V20" s="116"/>
      <c r="W20" s="116"/>
      <c r="X20" s="116"/>
      <c r="Y20" s="116"/>
      <c r="Z20" s="116"/>
    </row>
    <row r="21" spans="2:33" ht="15" customHeight="1" x14ac:dyDescent="0.45">
      <c r="B21" s="9" t="s">
        <v>191</v>
      </c>
      <c r="C21" s="37">
        <v>1891</v>
      </c>
      <c r="D21" s="37">
        <v>2176</v>
      </c>
      <c r="E21" s="37">
        <v>2246</v>
      </c>
      <c r="F21" s="20">
        <f>'10-K Data'!B15-SUM(C21:E21)</f>
        <v>2515</v>
      </c>
      <c r="G21" s="37">
        <v>2564</v>
      </c>
      <c r="H21" s="37">
        <v>2340</v>
      </c>
      <c r="I21" s="37">
        <v>1969</v>
      </c>
      <c r="J21" s="20">
        <f>'10-K Data'!C15-SUM(G21:I21)</f>
        <v>1604</v>
      </c>
      <c r="K21" s="37">
        <v>1593</v>
      </c>
      <c r="L21" s="37">
        <v>1379</v>
      </c>
      <c r="M21" s="37">
        <v>1198</v>
      </c>
      <c r="N21" s="20">
        <f>'10-K Data'!D15-SUM(K21:M21)</f>
        <v>1285</v>
      </c>
      <c r="O21" s="37">
        <v>1215</v>
      </c>
      <c r="P21" s="37">
        <v>1213</v>
      </c>
      <c r="Q21" s="113">
        <f>('Balance Sheet'!P9+'Balance Sheet'!P10)*Drivers!P19/4</f>
        <v>1134.4327499999999</v>
      </c>
      <c r="R21" s="113">
        <f>('Balance Sheet'!Q9+'Balance Sheet'!Q10)*Drivers!Q19/4</f>
        <v>1076.7896952310634</v>
      </c>
      <c r="S21" s="113">
        <f>('Balance Sheet'!R9+'Balance Sheet'!R10)*Drivers!R19/4</f>
        <v>1165.9155852112817</v>
      </c>
      <c r="T21" s="113">
        <f>('Balance Sheet'!S9+'Balance Sheet'!S10)*Drivers!S19/4</f>
        <v>1442.9784148741944</v>
      </c>
      <c r="U21" s="113">
        <f>('Balance Sheet'!T9+'Balance Sheet'!T10)*Drivers!T19/4</f>
        <v>1567.8211721769296</v>
      </c>
      <c r="V21" s="113">
        <f>('Balance Sheet'!U9+'Balance Sheet'!U10)*Drivers!U19/4</f>
        <v>1609.3296792359688</v>
      </c>
      <c r="W21" s="113">
        <f>('Balance Sheet'!V9+'Balance Sheet'!V10)*Drivers!V19/4</f>
        <v>1835.4275265973513</v>
      </c>
      <c r="X21" s="113">
        <f>('Balance Sheet'!W9+'Balance Sheet'!W10)*Drivers!W19/4</f>
        <v>2314.1322538340728</v>
      </c>
      <c r="Y21" s="113">
        <f>('Balance Sheet'!X9+'Balance Sheet'!X10)*Drivers!X19/4</f>
        <v>2580.7937222351843</v>
      </c>
      <c r="Z21" s="113">
        <f>('Balance Sheet'!Y9+'Balance Sheet'!Y10)*Drivers!Y19/4</f>
        <v>2751.6051527377085</v>
      </c>
      <c r="AB21" s="31">
        <f>SUM(C21:F21)</f>
        <v>8828</v>
      </c>
      <c r="AC21" s="31">
        <f>SUM(G21:J21)</f>
        <v>8477</v>
      </c>
      <c r="AD21" s="31">
        <f>SUM(K21:N21)</f>
        <v>5455</v>
      </c>
      <c r="AE21" s="31">
        <f>SUM(O21:R21)</f>
        <v>4639.2224452310638</v>
      </c>
      <c r="AF21" s="31">
        <f>SUM(S21:V21)</f>
        <v>5786.0448514983746</v>
      </c>
      <c r="AG21" s="31">
        <f>SUM(W21:Z21)</f>
        <v>9481.9586554043162</v>
      </c>
    </row>
    <row r="22" spans="2:33" ht="15" customHeight="1" x14ac:dyDescent="0.45">
      <c r="B22" s="9" t="s">
        <v>192</v>
      </c>
      <c r="C22" s="37">
        <v>-465</v>
      </c>
      <c r="D22" s="37">
        <v>-221</v>
      </c>
      <c r="E22" s="37">
        <v>210</v>
      </c>
      <c r="F22" s="20">
        <f>'10-K Data'!B16-SUM(C22:E22)</f>
        <v>117</v>
      </c>
      <c r="G22" s="37">
        <v>258</v>
      </c>
      <c r="H22" s="37">
        <v>4028</v>
      </c>
      <c r="I22" s="37">
        <v>-930</v>
      </c>
      <c r="J22" s="20">
        <f>'10-K Data'!C16-SUM(G22:I22)</f>
        <v>2014</v>
      </c>
      <c r="K22" s="37">
        <v>-1014</v>
      </c>
      <c r="L22" s="37">
        <v>-1988</v>
      </c>
      <c r="M22" s="37">
        <v>-937</v>
      </c>
      <c r="N22" s="20">
        <f>'10-K Data'!D16-SUM(K22:M22)</f>
        <v>-211</v>
      </c>
      <c r="O22" s="37">
        <v>-1053</v>
      </c>
      <c r="P22" s="37">
        <v>89</v>
      </c>
      <c r="Q22" s="117">
        <f>Drivers!P20</f>
        <v>0</v>
      </c>
      <c r="R22" s="117">
        <f>Drivers!Q20</f>
        <v>0</v>
      </c>
      <c r="S22" s="117">
        <f>Drivers!R20</f>
        <v>0</v>
      </c>
      <c r="T22" s="117">
        <f>Drivers!S20</f>
        <v>0</v>
      </c>
      <c r="U22" s="117">
        <f>Drivers!T20</f>
        <v>0</v>
      </c>
      <c r="V22" s="117">
        <f>Drivers!U20</f>
        <v>0</v>
      </c>
      <c r="W22" s="117">
        <f>Drivers!V20</f>
        <v>0</v>
      </c>
      <c r="X22" s="117">
        <f>Drivers!W20</f>
        <v>0</v>
      </c>
      <c r="Y22" s="117">
        <f>Drivers!X20</f>
        <v>0</v>
      </c>
      <c r="Z22" s="117">
        <f>Drivers!Y20</f>
        <v>0</v>
      </c>
      <c r="AB22" s="31">
        <f>SUM(C22:F22)</f>
        <v>-359</v>
      </c>
      <c r="AC22" s="31">
        <f>SUM(G22:J22)</f>
        <v>5370</v>
      </c>
      <c r="AD22" s="31">
        <f>SUM(K22:N22)</f>
        <v>-4150</v>
      </c>
      <c r="AE22" s="31">
        <f>SUM(O22:R22)</f>
        <v>-964</v>
      </c>
      <c r="AF22" s="31">
        <f>SUM(S22:V22)</f>
        <v>0</v>
      </c>
      <c r="AG22" s="31">
        <f>SUM(W22:Z22)</f>
        <v>0</v>
      </c>
    </row>
    <row r="23" spans="2:33" ht="15" customHeight="1" x14ac:dyDescent="0.45">
      <c r="B23" s="42" t="s">
        <v>193</v>
      </c>
      <c r="C23" s="43">
        <f t="shared" ref="C23:Z23" si="10">C21+C22</f>
        <v>1426</v>
      </c>
      <c r="D23" s="43">
        <f t="shared" si="10"/>
        <v>1955</v>
      </c>
      <c r="E23" s="43">
        <f t="shared" si="10"/>
        <v>2456</v>
      </c>
      <c r="F23" s="43">
        <f t="shared" si="10"/>
        <v>2632</v>
      </c>
      <c r="G23" s="43">
        <f t="shared" si="10"/>
        <v>2822</v>
      </c>
      <c r="H23" s="43">
        <f t="shared" si="10"/>
        <v>6368</v>
      </c>
      <c r="I23" s="43">
        <f t="shared" si="10"/>
        <v>1039</v>
      </c>
      <c r="J23" s="43">
        <f t="shared" si="10"/>
        <v>3618</v>
      </c>
      <c r="K23" s="43">
        <f t="shared" si="10"/>
        <v>579</v>
      </c>
      <c r="L23" s="43">
        <f t="shared" si="10"/>
        <v>-609</v>
      </c>
      <c r="M23" s="43">
        <f t="shared" si="10"/>
        <v>261</v>
      </c>
      <c r="N23" s="43">
        <f t="shared" si="10"/>
        <v>1074</v>
      </c>
      <c r="O23" s="43">
        <f t="shared" si="10"/>
        <v>162</v>
      </c>
      <c r="P23" s="43">
        <f t="shared" si="10"/>
        <v>1302</v>
      </c>
      <c r="Q23" s="118">
        <f t="shared" si="10"/>
        <v>1134.4327499999999</v>
      </c>
      <c r="R23" s="118">
        <f t="shared" si="10"/>
        <v>1076.7896952310634</v>
      </c>
      <c r="S23" s="118">
        <f t="shared" si="10"/>
        <v>1165.9155852112817</v>
      </c>
      <c r="T23" s="118">
        <f t="shared" si="10"/>
        <v>1442.9784148741944</v>
      </c>
      <c r="U23" s="118">
        <f t="shared" si="10"/>
        <v>1567.8211721769296</v>
      </c>
      <c r="V23" s="118">
        <f t="shared" si="10"/>
        <v>1609.3296792359688</v>
      </c>
      <c r="W23" s="118">
        <f t="shared" si="10"/>
        <v>1835.4275265973513</v>
      </c>
      <c r="X23" s="118">
        <f t="shared" si="10"/>
        <v>2314.1322538340728</v>
      </c>
      <c r="Y23" s="118">
        <f t="shared" si="10"/>
        <v>2580.7937222351843</v>
      </c>
      <c r="Z23" s="118">
        <f t="shared" si="10"/>
        <v>2751.6051527377085</v>
      </c>
      <c r="AB23" s="43">
        <f t="shared" ref="AB23:AG23" si="11">AB21+AB22</f>
        <v>8469</v>
      </c>
      <c r="AC23" s="43">
        <f t="shared" si="11"/>
        <v>13847</v>
      </c>
      <c r="AD23" s="43">
        <f t="shared" si="11"/>
        <v>1305</v>
      </c>
      <c r="AE23" s="43">
        <f t="shared" si="11"/>
        <v>3675.2224452310638</v>
      </c>
      <c r="AF23" s="43">
        <f t="shared" si="11"/>
        <v>5786.0448514983746</v>
      </c>
      <c r="AG23" s="43">
        <f t="shared" si="11"/>
        <v>9481.9586554043162</v>
      </c>
    </row>
    <row r="24" spans="2:33" ht="15" customHeight="1" x14ac:dyDescent="0.45">
      <c r="B24" s="10" t="s">
        <v>194</v>
      </c>
      <c r="C24" s="36">
        <f t="shared" ref="C24:Z24" si="12">C18+C23</f>
        <v>-9246</v>
      </c>
      <c r="D24" s="36">
        <f t="shared" si="12"/>
        <v>-5179</v>
      </c>
      <c r="E24" s="36">
        <f t="shared" si="12"/>
        <v>1885</v>
      </c>
      <c r="F24" s="36">
        <f t="shared" si="12"/>
        <v>23045</v>
      </c>
      <c r="G24" s="36">
        <f t="shared" si="12"/>
        <v>-2703</v>
      </c>
      <c r="H24" s="36">
        <f t="shared" si="12"/>
        <v>2383</v>
      </c>
      <c r="I24" s="36">
        <f t="shared" si="12"/>
        <v>-326</v>
      </c>
      <c r="J24" s="36">
        <f t="shared" si="12"/>
        <v>18420</v>
      </c>
      <c r="K24" s="36">
        <f t="shared" si="12"/>
        <v>-11324</v>
      </c>
      <c r="L24" s="36">
        <f t="shared" si="12"/>
        <v>-6070</v>
      </c>
      <c r="M24" s="36">
        <f t="shared" si="12"/>
        <v>-8158</v>
      </c>
      <c r="N24" s="36">
        <f t="shared" si="12"/>
        <v>9598</v>
      </c>
      <c r="O24" s="36">
        <f t="shared" si="12"/>
        <v>-15111</v>
      </c>
      <c r="P24" s="36">
        <f t="shared" si="12"/>
        <v>1881</v>
      </c>
      <c r="Q24" s="112">
        <f t="shared" si="12"/>
        <v>4646.695476115332</v>
      </c>
      <c r="R24" s="112">
        <f t="shared" si="12"/>
        <v>16947.581875357195</v>
      </c>
      <c r="S24" s="112">
        <f t="shared" si="12"/>
        <v>8994.2221044543185</v>
      </c>
      <c r="T24" s="112">
        <f t="shared" si="12"/>
        <v>7782.2816086008588</v>
      </c>
      <c r="U24" s="112">
        <f t="shared" si="12"/>
        <v>18795.909840276287</v>
      </c>
      <c r="V24" s="112">
        <f t="shared" si="12"/>
        <v>33198.017761415213</v>
      </c>
      <c r="W24" s="112">
        <f t="shared" si="12"/>
        <v>24393.149807554637</v>
      </c>
      <c r="X24" s="112">
        <f t="shared" si="12"/>
        <v>22903.076327380626</v>
      </c>
      <c r="Y24" s="112">
        <f t="shared" si="12"/>
        <v>36981.133825900317</v>
      </c>
      <c r="Z24" s="112">
        <f t="shared" si="12"/>
        <v>53882.668678014183</v>
      </c>
      <c r="AB24" s="36">
        <f t="shared" ref="AB24:AG24" si="13">AB18+AB23</f>
        <v>10505</v>
      </c>
      <c r="AC24" s="36">
        <f t="shared" si="13"/>
        <v>17774</v>
      </c>
      <c r="AD24" s="36">
        <f t="shared" si="13"/>
        <v>-15954</v>
      </c>
      <c r="AE24" s="36">
        <f t="shared" si="13"/>
        <v>8364.2773514725432</v>
      </c>
      <c r="AF24" s="36">
        <f t="shared" si="13"/>
        <v>68770.43131474666</v>
      </c>
      <c r="AG24" s="36">
        <f t="shared" si="13"/>
        <v>138160.02863884976</v>
      </c>
    </row>
    <row r="25" spans="2:33" ht="15" customHeight="1" x14ac:dyDescent="0.45">
      <c r="B25" s="9" t="s">
        <v>195</v>
      </c>
      <c r="C25" s="37">
        <v>-3375</v>
      </c>
      <c r="D25" s="37">
        <v>545</v>
      </c>
      <c r="E25" s="37">
        <v>111</v>
      </c>
      <c r="F25" s="20">
        <f>'10-K Data'!B17-SUM(C25:E25)</f>
        <v>4343</v>
      </c>
      <c r="G25" s="37">
        <v>-249</v>
      </c>
      <c r="H25" s="37">
        <v>412</v>
      </c>
      <c r="I25" s="37">
        <v>586</v>
      </c>
      <c r="J25" s="20">
        <f>'10-K Data'!C17-SUM(G25:I25)</f>
        <v>4521</v>
      </c>
      <c r="K25" s="37">
        <v>-1838</v>
      </c>
      <c r="L25" s="37">
        <v>-862</v>
      </c>
      <c r="M25" s="37">
        <v>-1706</v>
      </c>
      <c r="N25" s="20">
        <f>'10-K Data'!D17-SUM(K25:M25)</f>
        <v>2914</v>
      </c>
      <c r="O25" s="37">
        <v>-2601</v>
      </c>
      <c r="P25" s="37">
        <v>3083</v>
      </c>
      <c r="Q25" s="113">
        <f>Q24*Drivers!P21</f>
        <v>975.80604998421973</v>
      </c>
      <c r="R25" s="113">
        <f>R24*Drivers!Q21</f>
        <v>3558.9921938250109</v>
      </c>
      <c r="S25" s="113">
        <f>S24*Drivers!R21</f>
        <v>1888.7866419354068</v>
      </c>
      <c r="T25" s="113">
        <f>T24*Drivers!S21</f>
        <v>1634.2791378061802</v>
      </c>
      <c r="U25" s="113">
        <f>U24*Drivers!T21</f>
        <v>3947.1410664580198</v>
      </c>
      <c r="V25" s="113">
        <f>V24*Drivers!U21</f>
        <v>6971.5837298971946</v>
      </c>
      <c r="W25" s="113">
        <f>W24*Drivers!V21</f>
        <v>5122.5614595864736</v>
      </c>
      <c r="X25" s="113">
        <f>X24*Drivers!W21</f>
        <v>4809.6460287499312</v>
      </c>
      <c r="Y25" s="113">
        <f>Y24*Drivers!X21</f>
        <v>7766.0381034390666</v>
      </c>
      <c r="Z25" s="113">
        <f>Z24*Drivers!Y21</f>
        <v>11315.360422382977</v>
      </c>
      <c r="AB25" s="31">
        <f>SUM(C25:F25)</f>
        <v>1624</v>
      </c>
      <c r="AC25" s="31">
        <f>SUM(G25:J25)</f>
        <v>5270</v>
      </c>
      <c r="AD25" s="31">
        <f>SUM(K25:N25)</f>
        <v>-1492</v>
      </c>
      <c r="AE25" s="31">
        <f>SUM(O25:R25)</f>
        <v>5016.7982438092304</v>
      </c>
      <c r="AF25" s="31">
        <f>SUM(S25:V25)</f>
        <v>14441.790576096802</v>
      </c>
      <c r="AG25" s="31">
        <f>SUM(W25:Z25)</f>
        <v>29013.606014158446</v>
      </c>
    </row>
    <row r="26" spans="2:33" ht="15" customHeight="1" x14ac:dyDescent="0.45">
      <c r="B26" s="40" t="s">
        <v>156</v>
      </c>
      <c r="C26" s="41">
        <f t="shared" ref="C26:Z26" si="14">IF(C24=0,0,C25/C24)</f>
        <v>0.36502271252433482</v>
      </c>
      <c r="D26" s="41">
        <f t="shared" si="14"/>
        <v>-0.10523267039969106</v>
      </c>
      <c r="E26" s="41">
        <f t="shared" si="14"/>
        <v>5.8885941644562331E-2</v>
      </c>
      <c r="F26" s="41">
        <f t="shared" si="14"/>
        <v>0.18845736602299848</v>
      </c>
      <c r="G26" s="41">
        <f t="shared" si="14"/>
        <v>9.2119866814650384E-2</v>
      </c>
      <c r="H26" s="41">
        <f t="shared" si="14"/>
        <v>0.17289131347041545</v>
      </c>
      <c r="I26" s="41">
        <f t="shared" si="14"/>
        <v>-1.7975460122699387</v>
      </c>
      <c r="J26" s="41">
        <f t="shared" si="14"/>
        <v>0.24543973941368077</v>
      </c>
      <c r="K26" s="41">
        <f t="shared" si="14"/>
        <v>0.16231013776050865</v>
      </c>
      <c r="L26" s="41">
        <f t="shared" si="14"/>
        <v>0.14200988467874795</v>
      </c>
      <c r="M26" s="41">
        <f t="shared" si="14"/>
        <v>0.20911988232409903</v>
      </c>
      <c r="N26" s="41">
        <f t="shared" si="14"/>
        <v>0.30360491769118564</v>
      </c>
      <c r="O26" s="41">
        <f t="shared" si="14"/>
        <v>0.17212626563430614</v>
      </c>
      <c r="P26" s="41">
        <f t="shared" si="14"/>
        <v>1.6390217969165337</v>
      </c>
      <c r="Q26" s="115">
        <f t="shared" si="14"/>
        <v>0.21</v>
      </c>
      <c r="R26" s="115">
        <f t="shared" si="14"/>
        <v>0.21</v>
      </c>
      <c r="S26" s="115">
        <f t="shared" si="14"/>
        <v>0.21</v>
      </c>
      <c r="T26" s="115">
        <f t="shared" si="14"/>
        <v>0.21</v>
      </c>
      <c r="U26" s="115">
        <f t="shared" si="14"/>
        <v>0.21</v>
      </c>
      <c r="V26" s="115">
        <f t="shared" si="14"/>
        <v>0.21</v>
      </c>
      <c r="W26" s="115">
        <f t="shared" si="14"/>
        <v>0.21</v>
      </c>
      <c r="X26" s="115">
        <f t="shared" si="14"/>
        <v>0.21</v>
      </c>
      <c r="Y26" s="115">
        <f t="shared" si="14"/>
        <v>0.21</v>
      </c>
      <c r="Z26" s="115">
        <f t="shared" si="14"/>
        <v>0.20999999999999996</v>
      </c>
      <c r="AB26" s="41">
        <f t="shared" ref="AB26:AG26" si="15">IF(AB24=0,0,AB25/AB24)</f>
        <v>0.15459305092812947</v>
      </c>
      <c r="AC26" s="41">
        <f t="shared" si="15"/>
        <v>0.296500506357601</v>
      </c>
      <c r="AD26" s="41">
        <f t="shared" si="15"/>
        <v>9.3518866741882908E-2</v>
      </c>
      <c r="AE26" s="41">
        <f t="shared" si="15"/>
        <v>0.59978860492066488</v>
      </c>
      <c r="AF26" s="41">
        <f t="shared" si="15"/>
        <v>0.21000000000000005</v>
      </c>
      <c r="AG26" s="41">
        <f t="shared" si="15"/>
        <v>0.20999999999999996</v>
      </c>
    </row>
    <row r="27" spans="2:33" ht="15" customHeight="1" x14ac:dyDescent="0.45">
      <c r="B27" s="38" t="s">
        <v>91</v>
      </c>
      <c r="C27" s="39">
        <f t="shared" ref="C27:Z27" si="16">C24-C25</f>
        <v>-5871</v>
      </c>
      <c r="D27" s="39">
        <f t="shared" si="16"/>
        <v>-5724</v>
      </c>
      <c r="E27" s="39">
        <f t="shared" si="16"/>
        <v>1774</v>
      </c>
      <c r="F27" s="39">
        <f t="shared" si="16"/>
        <v>18702</v>
      </c>
      <c r="G27" s="39">
        <f t="shared" si="16"/>
        <v>-2454</v>
      </c>
      <c r="H27" s="39">
        <f t="shared" si="16"/>
        <v>1971</v>
      </c>
      <c r="I27" s="39">
        <f t="shared" si="16"/>
        <v>-912</v>
      </c>
      <c r="J27" s="39">
        <f t="shared" si="16"/>
        <v>13899</v>
      </c>
      <c r="K27" s="39">
        <f t="shared" si="16"/>
        <v>-9486</v>
      </c>
      <c r="L27" s="39">
        <f t="shared" si="16"/>
        <v>-5208</v>
      </c>
      <c r="M27" s="39">
        <f t="shared" si="16"/>
        <v>-6452</v>
      </c>
      <c r="N27" s="39">
        <f t="shared" si="16"/>
        <v>6684</v>
      </c>
      <c r="O27" s="39">
        <f t="shared" si="16"/>
        <v>-12510</v>
      </c>
      <c r="P27" s="39">
        <f t="shared" si="16"/>
        <v>-1202</v>
      </c>
      <c r="Q27" s="114">
        <f t="shared" si="16"/>
        <v>3670.8894261311125</v>
      </c>
      <c r="R27" s="114">
        <f t="shared" si="16"/>
        <v>13388.589681532183</v>
      </c>
      <c r="S27" s="114">
        <f t="shared" si="16"/>
        <v>7105.4354625189117</v>
      </c>
      <c r="T27" s="114">
        <f t="shared" si="16"/>
        <v>6148.0024707946786</v>
      </c>
      <c r="U27" s="114">
        <f t="shared" si="16"/>
        <v>14848.768773818267</v>
      </c>
      <c r="V27" s="114">
        <f t="shared" si="16"/>
        <v>26226.434031518016</v>
      </c>
      <c r="W27" s="114">
        <f t="shared" si="16"/>
        <v>19270.588347968165</v>
      </c>
      <c r="X27" s="114">
        <f t="shared" si="16"/>
        <v>18093.430298630694</v>
      </c>
      <c r="Y27" s="114">
        <f t="shared" si="16"/>
        <v>29215.09572246125</v>
      </c>
      <c r="Z27" s="114">
        <f t="shared" si="16"/>
        <v>42567.308255631207</v>
      </c>
      <c r="AB27" s="39">
        <f t="shared" ref="AB27:AG27" si="17">AB24-AB25</f>
        <v>8881</v>
      </c>
      <c r="AC27" s="39">
        <f t="shared" si="17"/>
        <v>12504</v>
      </c>
      <c r="AD27" s="39">
        <f t="shared" si="17"/>
        <v>-14462</v>
      </c>
      <c r="AE27" s="39">
        <f t="shared" si="17"/>
        <v>3347.4791076633128</v>
      </c>
      <c r="AF27" s="39">
        <f t="shared" si="17"/>
        <v>54328.640738649861</v>
      </c>
      <c r="AG27" s="39">
        <f t="shared" si="17"/>
        <v>109146.42262469132</v>
      </c>
    </row>
    <row r="28" spans="2:33" ht="15" customHeight="1" x14ac:dyDescent="0.45">
      <c r="B28" s="40" t="s">
        <v>196</v>
      </c>
      <c r="C28" s="41">
        <f t="shared" ref="C28:Z28" si="18">IF(C9=0,0,C27/C9)</f>
        <v>-0.1059613406248308</v>
      </c>
      <c r="D28" s="41">
        <f t="shared" si="18"/>
        <v>-9.0383704405495022E-2</v>
      </c>
      <c r="E28" s="41">
        <f t="shared" si="18"/>
        <v>2.7859352670508975E-2</v>
      </c>
      <c r="F28" s="41">
        <f t="shared" si="18"/>
        <v>0.22106382978723405</v>
      </c>
      <c r="G28" s="41">
        <f t="shared" si="18"/>
        <v>-3.6791052607906931E-2</v>
      </c>
      <c r="H28" s="41">
        <f t="shared" si="18"/>
        <v>2.9301143205435056E-2</v>
      </c>
      <c r="I28" s="41">
        <f t="shared" si="18"/>
        <v>-1.270442704705653E-2</v>
      </c>
      <c r="J28" s="41">
        <f t="shared" si="18"/>
        <v>0.16255760099178967</v>
      </c>
      <c r="K28" s="41">
        <f t="shared" si="18"/>
        <v>-0.14862514688601644</v>
      </c>
      <c r="L28" s="41">
        <f t="shared" si="18"/>
        <v>-7.3254096631268015E-2</v>
      </c>
      <c r="M28" s="41">
        <f t="shared" si="18"/>
        <v>-9.4938198940553262E-2</v>
      </c>
      <c r="N28" s="41">
        <f t="shared" si="18"/>
        <v>8.3501986357844241E-2</v>
      </c>
      <c r="O28" s="41">
        <f t="shared" si="18"/>
        <v>-0.19994565825435134</v>
      </c>
      <c r="P28" s="41">
        <f t="shared" si="18"/>
        <v>-1.5293982924687949E-2</v>
      </c>
      <c r="Q28" s="115">
        <f t="shared" si="18"/>
        <v>4.1148539941955518E-2</v>
      </c>
      <c r="R28" s="115">
        <f t="shared" si="18"/>
        <v>0.13374766470865027</v>
      </c>
      <c r="S28" s="115">
        <f t="shared" si="18"/>
        <v>7.3850804581651608E-2</v>
      </c>
      <c r="T28" s="115">
        <f t="shared" si="18"/>
        <v>6.5421828306679378E-2</v>
      </c>
      <c r="U28" s="115">
        <f t="shared" si="18"/>
        <v>0.13313620768391268</v>
      </c>
      <c r="V28" s="115">
        <f t="shared" si="18"/>
        <v>0.2099825616619759</v>
      </c>
      <c r="W28" s="115">
        <f t="shared" si="18"/>
        <v>0.16084780352574488</v>
      </c>
      <c r="X28" s="115">
        <f t="shared" si="18"/>
        <v>0.15492491452631424</v>
      </c>
      <c r="Y28" s="115">
        <f t="shared" si="18"/>
        <v>0.21119029041395473</v>
      </c>
      <c r="Z28" s="115">
        <f t="shared" si="18"/>
        <v>0.27531089796331137</v>
      </c>
      <c r="AB28" s="41">
        <f t="shared" ref="AB28:AG28" si="19">IF(AB9=0,0,AB27/AB9)</f>
        <v>3.3260428292149473E-2</v>
      </c>
      <c r="AC28" s="41">
        <f t="shared" si="19"/>
        <v>4.2931304419479774E-2</v>
      </c>
      <c r="AD28" s="41">
        <f t="shared" si="19"/>
        <v>-5.111583947746054E-2</v>
      </c>
      <c r="AE28" s="41">
        <f t="shared" si="19"/>
        <v>1.0129325531851403E-2</v>
      </c>
      <c r="AF28" s="41">
        <f t="shared" si="19"/>
        <v>0.12734758246981212</v>
      </c>
      <c r="AG28" s="41">
        <f t="shared" si="19"/>
        <v>0.20611337560592649</v>
      </c>
    </row>
    <row r="29" spans="2:33" x14ac:dyDescent="0.45">
      <c r="Q29" s="116"/>
      <c r="R29" s="116"/>
      <c r="S29" s="116"/>
      <c r="T29" s="116"/>
      <c r="U29" s="116"/>
      <c r="V29" s="116"/>
      <c r="W29" s="116"/>
      <c r="X29" s="116"/>
      <c r="Y29" s="116"/>
      <c r="Z29" s="116"/>
    </row>
    <row r="30" spans="2:33" ht="15" customHeight="1" x14ac:dyDescent="0.45">
      <c r="B30" s="9" t="s">
        <v>197</v>
      </c>
      <c r="C30" s="37">
        <v>52740</v>
      </c>
      <c r="D30" s="37">
        <v>52029</v>
      </c>
      <c r="E30" s="37">
        <v>51638</v>
      </c>
      <c r="F30" s="20">
        <f>4*'10-K Data'!B19-SUM(C30:E30)</f>
        <v>50633</v>
      </c>
      <c r="G30" s="37">
        <v>50039</v>
      </c>
      <c r="H30" s="37">
        <v>49780</v>
      </c>
      <c r="I30" s="37">
        <v>49056</v>
      </c>
      <c r="J30" s="20">
        <f>4*'10-K Data'!C19-SUM(G30:I30)</f>
        <v>47977</v>
      </c>
      <c r="K30" s="37">
        <v>48346</v>
      </c>
      <c r="L30" s="37">
        <v>47185</v>
      </c>
      <c r="M30" s="37">
        <v>45933</v>
      </c>
      <c r="N30" s="20">
        <f>4*'10-K Data'!D19-SUM(K30:M30)</f>
        <v>46568</v>
      </c>
      <c r="O30" s="37">
        <v>47120</v>
      </c>
      <c r="P30" s="37">
        <v>46106</v>
      </c>
      <c r="Q30" s="113">
        <f t="shared" ref="Q30:Z30" si="20">Q31</f>
        <v>46106</v>
      </c>
      <c r="R30" s="113">
        <f t="shared" si="20"/>
        <v>46106</v>
      </c>
      <c r="S30" s="113">
        <f t="shared" si="20"/>
        <v>46106</v>
      </c>
      <c r="T30" s="113">
        <f t="shared" si="20"/>
        <v>46106</v>
      </c>
      <c r="U30" s="113">
        <f t="shared" si="20"/>
        <v>46106</v>
      </c>
      <c r="V30" s="113">
        <f t="shared" si="20"/>
        <v>46106</v>
      </c>
      <c r="W30" s="113">
        <f t="shared" si="20"/>
        <v>46106</v>
      </c>
      <c r="X30" s="113">
        <f t="shared" si="20"/>
        <v>46106</v>
      </c>
      <c r="Y30" s="113">
        <f t="shared" si="20"/>
        <v>46106</v>
      </c>
      <c r="Z30" s="113">
        <f t="shared" si="20"/>
        <v>46106</v>
      </c>
      <c r="AB30" s="20">
        <f>'10-K Data'!B19</f>
        <v>51760</v>
      </c>
      <c r="AC30" s="20">
        <f>'10-K Data'!C19</f>
        <v>49213</v>
      </c>
      <c r="AD30" s="20">
        <f>'10-K Data'!D19</f>
        <v>47008</v>
      </c>
      <c r="AE30" s="31">
        <f>AVERAGE(O30:R30)</f>
        <v>46359.5</v>
      </c>
      <c r="AF30" s="31">
        <f>AVERAGE(S30:V30)</f>
        <v>46106</v>
      </c>
      <c r="AG30" s="31">
        <f>AVERAGE(W30:Z30)</f>
        <v>46106</v>
      </c>
    </row>
    <row r="31" spans="2:33" ht="15" customHeight="1" x14ac:dyDescent="0.45">
      <c r="B31" s="9" t="s">
        <v>198</v>
      </c>
      <c r="C31" s="37">
        <v>52740</v>
      </c>
      <c r="D31" s="37">
        <v>52029</v>
      </c>
      <c r="E31" s="37">
        <v>55979</v>
      </c>
      <c r="F31" s="37">
        <v>54940</v>
      </c>
      <c r="G31" s="37">
        <v>50039</v>
      </c>
      <c r="H31" s="37">
        <v>55577</v>
      </c>
      <c r="I31" s="37">
        <v>49056</v>
      </c>
      <c r="J31" s="37">
        <v>52620</v>
      </c>
      <c r="K31" s="37">
        <v>48346</v>
      </c>
      <c r="L31" s="37">
        <v>47185</v>
      </c>
      <c r="M31" s="37">
        <v>45933</v>
      </c>
      <c r="N31" s="37">
        <v>49320</v>
      </c>
      <c r="O31" s="37">
        <v>47120</v>
      </c>
      <c r="P31" s="37">
        <v>46106</v>
      </c>
      <c r="Q31" s="117">
        <f>Drivers!P22</f>
        <v>46106</v>
      </c>
      <c r="R31" s="117">
        <f>Drivers!Q22</f>
        <v>46106</v>
      </c>
      <c r="S31" s="117">
        <f>Drivers!R22</f>
        <v>46106</v>
      </c>
      <c r="T31" s="117">
        <f>Drivers!S22</f>
        <v>46106</v>
      </c>
      <c r="U31" s="117">
        <f>Drivers!T22</f>
        <v>46106</v>
      </c>
      <c r="V31" s="117">
        <f>Drivers!U22</f>
        <v>46106</v>
      </c>
      <c r="W31" s="117">
        <f>Drivers!V22</f>
        <v>46106</v>
      </c>
      <c r="X31" s="117">
        <f>Drivers!W22</f>
        <v>46106</v>
      </c>
      <c r="Y31" s="117">
        <f>Drivers!X22</f>
        <v>46106</v>
      </c>
      <c r="Z31" s="117">
        <f>Drivers!Y22</f>
        <v>46106</v>
      </c>
      <c r="AB31" s="20">
        <f>'10-K Data'!B20</f>
        <v>56027</v>
      </c>
      <c r="AC31" s="20">
        <f>'10-K Data'!C20</f>
        <v>54294</v>
      </c>
      <c r="AD31" s="20">
        <f>'10-K Data'!D20</f>
        <v>47008</v>
      </c>
      <c r="AE31" s="31">
        <f>AVERAGE(O31:R31)</f>
        <v>46359.5</v>
      </c>
      <c r="AF31" s="31">
        <f>AVERAGE(S31:V31)</f>
        <v>46106</v>
      </c>
      <c r="AG31" s="31">
        <f>AVERAGE(W31:Z31)</f>
        <v>46106</v>
      </c>
    </row>
    <row r="32" spans="2:33" ht="15" customHeight="1" x14ac:dyDescent="0.45">
      <c r="B32" s="10" t="s">
        <v>92</v>
      </c>
      <c r="C32" s="44">
        <f t="shared" ref="C32:P32" si="21">IF(C27&gt;0,C27/C31,C27/C30)</f>
        <v>-0.11131968145620023</v>
      </c>
      <c r="D32" s="44">
        <f t="shared" si="21"/>
        <v>-0.11001556824078879</v>
      </c>
      <c r="E32" s="44">
        <f t="shared" si="21"/>
        <v>3.1690455349327427E-2</v>
      </c>
      <c r="F32" s="44">
        <f t="shared" si="21"/>
        <v>0.34040771751001092</v>
      </c>
      <c r="G32" s="44">
        <f t="shared" si="21"/>
        <v>-4.9041747436999142E-2</v>
      </c>
      <c r="H32" s="44">
        <f t="shared" si="21"/>
        <v>3.5464310776040446E-2</v>
      </c>
      <c r="I32" s="44">
        <f t="shared" si="21"/>
        <v>-1.8590998043052837E-2</v>
      </c>
      <c r="J32" s="44">
        <f t="shared" si="21"/>
        <v>0.26413911060433293</v>
      </c>
      <c r="K32" s="44">
        <f t="shared" si="21"/>
        <v>-0.19621064824390849</v>
      </c>
      <c r="L32" s="44">
        <f t="shared" si="21"/>
        <v>-0.11037405955282399</v>
      </c>
      <c r="M32" s="44">
        <f t="shared" si="21"/>
        <v>-0.14046546056212308</v>
      </c>
      <c r="N32" s="44">
        <f t="shared" si="21"/>
        <v>0.13552311435523115</v>
      </c>
      <c r="O32" s="44">
        <f t="shared" si="21"/>
        <v>-0.26549235993208831</v>
      </c>
      <c r="P32" s="44">
        <f t="shared" si="21"/>
        <v>-2.6070359606125016E-2</v>
      </c>
      <c r="Q32" s="119">
        <f t="shared" ref="Q32:Z32" si="22">Q27/Q31</f>
        <v>7.9618475385657236E-2</v>
      </c>
      <c r="R32" s="119">
        <f t="shared" si="22"/>
        <v>0.29038714443959968</v>
      </c>
      <c r="S32" s="119">
        <f t="shared" si="22"/>
        <v>0.15411086328284632</v>
      </c>
      <c r="T32" s="119">
        <f t="shared" si="22"/>
        <v>0.13334495447001862</v>
      </c>
      <c r="U32" s="119">
        <f t="shared" si="22"/>
        <v>0.32205718938572564</v>
      </c>
      <c r="V32" s="119">
        <f t="shared" si="22"/>
        <v>0.5688290901730364</v>
      </c>
      <c r="W32" s="119">
        <f t="shared" si="22"/>
        <v>0.41796270220726511</v>
      </c>
      <c r="X32" s="119">
        <f t="shared" si="22"/>
        <v>0.3924311434223462</v>
      </c>
      <c r="Y32" s="119">
        <f t="shared" si="22"/>
        <v>0.63365062513471671</v>
      </c>
      <c r="Z32" s="119">
        <f t="shared" si="22"/>
        <v>0.92324878010738753</v>
      </c>
      <c r="AB32" s="44">
        <f t="shared" ref="AB32:AG32" si="23">IF(AB27&gt;0,AB27/AB31,AB27/AB30)</f>
        <v>0.15851285987113356</v>
      </c>
      <c r="AC32" s="44">
        <f t="shared" si="23"/>
        <v>0.23030169079456295</v>
      </c>
      <c r="AD32" s="44">
        <f t="shared" si="23"/>
        <v>-0.3076497617426821</v>
      </c>
      <c r="AE32" s="44">
        <f t="shared" si="23"/>
        <v>7.2206971767670339E-2</v>
      </c>
      <c r="AF32" s="44">
        <f t="shared" si="23"/>
        <v>1.1783420973116268</v>
      </c>
      <c r="AG32" s="44">
        <f t="shared" si="23"/>
        <v>2.3672932508717155</v>
      </c>
    </row>
    <row r="33" spans="1:33" x14ac:dyDescent="0.45">
      <c r="Q33" s="116"/>
      <c r="R33" s="116"/>
      <c r="S33" s="116"/>
      <c r="T33" s="116"/>
      <c r="U33" s="116"/>
      <c r="V33" s="116"/>
      <c r="W33" s="116"/>
      <c r="X33" s="116"/>
      <c r="Y33" s="116"/>
      <c r="Z33" s="116"/>
    </row>
    <row r="34" spans="1:33" ht="15" customHeight="1" x14ac:dyDescent="0.45">
      <c r="A34" t="s">
        <v>597</v>
      </c>
      <c r="B34" s="16" t="s">
        <v>199</v>
      </c>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row>
    <row r="35" spans="1:33" ht="15" customHeight="1" x14ac:dyDescent="0.45">
      <c r="B35" s="9" t="s">
        <v>136</v>
      </c>
      <c r="G35" s="41">
        <f t="shared" ref="G35:Z35" si="24">G9/C9-1</f>
        <v>0.20383706029924009</v>
      </c>
      <c r="H35" s="41">
        <f t="shared" si="24"/>
        <v>6.2166429812095414E-2</v>
      </c>
      <c r="I35" s="41">
        <f t="shared" si="24"/>
        <v>0.12734582345273804</v>
      </c>
      <c r="J35" s="41">
        <f t="shared" si="24"/>
        <v>1.0661938534278992E-2</v>
      </c>
      <c r="K35" s="41">
        <f t="shared" si="24"/>
        <v>-4.3117794335917004E-2</v>
      </c>
      <c r="L35" s="41">
        <f t="shared" si="24"/>
        <v>5.6907547534452263E-2</v>
      </c>
      <c r="M35" s="41">
        <f t="shared" si="24"/>
        <v>-5.3297300309252504E-2</v>
      </c>
      <c r="N35" s="41">
        <f t="shared" si="24"/>
        <v>-6.3811372833384006E-2</v>
      </c>
      <c r="O35" s="41">
        <f t="shared" si="24"/>
        <v>-1.97101449275362E-2</v>
      </c>
      <c r="P35" s="41">
        <f t="shared" si="24"/>
        <v>0.1054645193051551</v>
      </c>
      <c r="Q35" s="115">
        <f t="shared" si="24"/>
        <v>0.31269400802168912</v>
      </c>
      <c r="R35" s="115">
        <f t="shared" si="24"/>
        <v>0.25057283202591396</v>
      </c>
      <c r="S35" s="115">
        <f t="shared" si="24"/>
        <v>0.53776558186347878</v>
      </c>
      <c r="T35" s="115">
        <f t="shared" si="24"/>
        <v>0.19571448327072205</v>
      </c>
      <c r="U35" s="115">
        <f t="shared" si="24"/>
        <v>0.2501939394573871</v>
      </c>
      <c r="V35" s="115">
        <f t="shared" si="24"/>
        <v>0.24769200006281289</v>
      </c>
      <c r="W35" s="115">
        <f t="shared" si="24"/>
        <v>0.24521508006218506</v>
      </c>
      <c r="X35" s="115">
        <f t="shared" si="24"/>
        <v>0.2427629292615634</v>
      </c>
      <c r="Y35" s="115">
        <f t="shared" si="24"/>
        <v>0.24033529996894765</v>
      </c>
      <c r="Z35" s="115">
        <f t="shared" si="24"/>
        <v>0.23793194696925801</v>
      </c>
      <c r="AC35" s="41">
        <f>AC9/AB9-1</f>
        <v>9.0789247005774953E-2</v>
      </c>
      <c r="AD35" s="41">
        <f>AD9/AC9-1</f>
        <v>-2.8600269179004045E-2</v>
      </c>
      <c r="AE35" s="41">
        <f>AE9/AD9-1</f>
        <v>0.16805821203247606</v>
      </c>
      <c r="AF35" s="41">
        <f>AF9/AE9-1</f>
        <v>0.29092433577518784</v>
      </c>
      <c r="AG35" s="41">
        <f>AG9/AF9-1</f>
        <v>0.24126695940238641</v>
      </c>
    </row>
    <row r="36" spans="1:33" ht="15" customHeight="1" x14ac:dyDescent="0.45">
      <c r="B36" s="9" t="s">
        <v>200</v>
      </c>
      <c r="D36" s="41">
        <f t="shared" ref="D36:Z36" si="25">D9/C9-1</f>
        <v>0.14299637229952888</v>
      </c>
      <c r="E36" s="41">
        <f t="shared" si="25"/>
        <v>5.4792357492499111E-3</v>
      </c>
      <c r="F36" s="41">
        <f t="shared" si="25"/>
        <v>0.32858017808627915</v>
      </c>
      <c r="G36" s="41">
        <f t="shared" si="25"/>
        <v>-0.21157210401891258</v>
      </c>
      <c r="H36" s="41">
        <f t="shared" si="25"/>
        <v>8.4856299006010882E-3</v>
      </c>
      <c r="I36" s="41">
        <f t="shared" si="25"/>
        <v>6.7180043706423609E-2</v>
      </c>
      <c r="J36" s="41">
        <f t="shared" si="25"/>
        <v>0.19106789624717901</v>
      </c>
      <c r="K36" s="41">
        <f t="shared" si="25"/>
        <v>-0.25352623330448409</v>
      </c>
      <c r="L36" s="41">
        <f t="shared" si="25"/>
        <v>0.11390520955738337</v>
      </c>
      <c r="M36" s="41">
        <f t="shared" si="25"/>
        <v>-4.409592798368378E-2</v>
      </c>
      <c r="N36" s="41">
        <f t="shared" si="25"/>
        <v>0.17783990582695708</v>
      </c>
      <c r="O36" s="41">
        <f t="shared" si="25"/>
        <v>-0.21836194188341707</v>
      </c>
      <c r="P36" s="41">
        <f t="shared" si="25"/>
        <v>0.25614141640161736</v>
      </c>
      <c r="Q36" s="115">
        <f t="shared" si="25"/>
        <v>0.1350970797037141</v>
      </c>
      <c r="R36" s="115">
        <f t="shared" si="25"/>
        <v>0.12210048777705396</v>
      </c>
      <c r="S36" s="115">
        <f t="shared" si="25"/>
        <v>-3.8859575016435444E-2</v>
      </c>
      <c r="T36" s="115">
        <f t="shared" si="25"/>
        <v>-2.3266938509904911E-2</v>
      </c>
      <c r="U36" s="115">
        <f t="shared" si="25"/>
        <v>0.18681466988642725</v>
      </c>
      <c r="V36" s="115">
        <f t="shared" si="25"/>
        <v>0.11985489425237339</v>
      </c>
      <c r="W36" s="115">
        <f t="shared" si="25"/>
        <v>-4.0767632407148868E-2</v>
      </c>
      <c r="X36" s="115">
        <f t="shared" si="25"/>
        <v>-2.5190378722825146E-2</v>
      </c>
      <c r="Y36" s="115">
        <f t="shared" si="25"/>
        <v>0.18449633065238324</v>
      </c>
      <c r="Z36" s="115">
        <f t="shared" si="25"/>
        <v>0.11768499179181635</v>
      </c>
    </row>
    <row r="37" spans="1:33" ht="15" customHeight="1" x14ac:dyDescent="0.45">
      <c r="B37" s="9" t="s">
        <v>201</v>
      </c>
      <c r="G37" s="41">
        <f t="shared" ref="G37:Z37" si="26">G11/C11-1</f>
        <v>0.30855313213289381</v>
      </c>
      <c r="H37" s="41">
        <f t="shared" si="26"/>
        <v>0.10046258787862938</v>
      </c>
      <c r="I37" s="41">
        <f t="shared" si="26"/>
        <v>0.23125631884212217</v>
      </c>
      <c r="J37" s="41">
        <f t="shared" si="26"/>
        <v>2.8977347993111024E-3</v>
      </c>
      <c r="K37" s="41">
        <f t="shared" si="26"/>
        <v>-7.3648763233762127E-2</v>
      </c>
      <c r="L37" s="41">
        <f t="shared" si="26"/>
        <v>5.6427672358515313E-2</v>
      </c>
      <c r="M37" s="41">
        <f t="shared" si="26"/>
        <v>-8.0405376204676138E-2</v>
      </c>
      <c r="N37" s="41">
        <f t="shared" si="26"/>
        <v>-9.9113378572489919E-2</v>
      </c>
      <c r="O37" s="41">
        <f t="shared" si="26"/>
        <v>-4.6133326359285465E-2</v>
      </c>
      <c r="P37" s="41">
        <f t="shared" si="26"/>
        <v>0.18508194141582179</v>
      </c>
      <c r="Q37" s="115">
        <f t="shared" si="26"/>
        <v>0.32601317588446865</v>
      </c>
      <c r="R37" s="115">
        <f t="shared" si="26"/>
        <v>0.16723906202122518</v>
      </c>
      <c r="S37" s="115">
        <f t="shared" si="26"/>
        <v>0.68794139553212075</v>
      </c>
      <c r="T37" s="115">
        <f t="shared" si="26"/>
        <v>0.14709581898715118</v>
      </c>
      <c r="U37" s="115">
        <f t="shared" si="26"/>
        <v>0.27880945842875549</v>
      </c>
      <c r="V37" s="115">
        <f t="shared" si="26"/>
        <v>0.27580138903816698</v>
      </c>
      <c r="W37" s="115">
        <f t="shared" si="26"/>
        <v>0.27283024154700741</v>
      </c>
      <c r="X37" s="115">
        <f t="shared" si="26"/>
        <v>0.26989539687826536</v>
      </c>
      <c r="Y37" s="115">
        <f t="shared" si="26"/>
        <v>0.26699625296446627</v>
      </c>
      <c r="Z37" s="115">
        <f t="shared" si="26"/>
        <v>0.26413222402569492</v>
      </c>
      <c r="AC37" s="41">
        <f>AC11/AB11-1</f>
        <v>0.13376642727299815</v>
      </c>
      <c r="AD37" s="41">
        <f>AD11/AC11-1</f>
        <v>-5.4607867359866225E-2</v>
      </c>
      <c r="AE37" s="41">
        <f>AE11/AD11-1</f>
        <v>0.16385793509956836</v>
      </c>
      <c r="AF37" s="41">
        <f>AF11/AE11-1</f>
        <v>0.31601405711825281</v>
      </c>
      <c r="AG37" s="41">
        <f>AG11/AF11-1</f>
        <v>0.26809175798186602</v>
      </c>
    </row>
    <row r="38" spans="1:33" ht="15" customHeight="1" x14ac:dyDescent="0.45">
      <c r="B38" s="9" t="s">
        <v>202</v>
      </c>
      <c r="C38" s="41">
        <f t="shared" ref="C38:Z38" si="27">IF(C9=0,0,C10/C9)</f>
        <v>0.43068565343729132</v>
      </c>
      <c r="D38" s="41">
        <f t="shared" si="27"/>
        <v>0.39581556924048633</v>
      </c>
      <c r="E38" s="41">
        <f t="shared" si="27"/>
        <v>0.40973978045448123</v>
      </c>
      <c r="F38" s="41">
        <f t="shared" si="27"/>
        <v>0.28614657210401889</v>
      </c>
      <c r="G38" s="41">
        <f t="shared" si="27"/>
        <v>0.38116370069414252</v>
      </c>
      <c r="H38" s="41">
        <f t="shared" si="27"/>
        <v>0.37403184325152006</v>
      </c>
      <c r="I38" s="41">
        <f t="shared" si="27"/>
        <v>0.35533390911876966</v>
      </c>
      <c r="J38" s="41">
        <f t="shared" si="27"/>
        <v>0.2916306051320437</v>
      </c>
      <c r="K38" s="41">
        <f t="shared" si="27"/>
        <v>0.4009087348217783</v>
      </c>
      <c r="L38" s="41">
        <f t="shared" si="27"/>
        <v>0.3743160559814333</v>
      </c>
      <c r="M38" s="41">
        <f t="shared" si="27"/>
        <v>0.37379340788699233</v>
      </c>
      <c r="N38" s="41">
        <f t="shared" si="27"/>
        <v>0.31834195337680832</v>
      </c>
      <c r="O38" s="41">
        <f t="shared" si="27"/>
        <v>0.41705691498713382</v>
      </c>
      <c r="P38" s="41">
        <f t="shared" si="27"/>
        <v>0.32925324138282036</v>
      </c>
      <c r="Q38" s="115">
        <f t="shared" si="27"/>
        <v>0.36743964176467869</v>
      </c>
      <c r="R38" s="115">
        <f t="shared" si="27"/>
        <v>0.36376524534703186</v>
      </c>
      <c r="S38" s="115">
        <f t="shared" si="27"/>
        <v>0.3601275928935615</v>
      </c>
      <c r="T38" s="115">
        <f t="shared" si="27"/>
        <v>0.35652631696462594</v>
      </c>
      <c r="U38" s="115">
        <f t="shared" si="27"/>
        <v>0.35296105379497966</v>
      </c>
      <c r="V38" s="115">
        <f t="shared" si="27"/>
        <v>0.34943144325702991</v>
      </c>
      <c r="W38" s="115">
        <f t="shared" si="27"/>
        <v>0.34593712882445965</v>
      </c>
      <c r="X38" s="115">
        <f t="shared" si="27"/>
        <v>0.34247775753621496</v>
      </c>
      <c r="Y38" s="115">
        <f t="shared" si="27"/>
        <v>0.33905297996085287</v>
      </c>
      <c r="Z38" s="115">
        <f t="shared" si="27"/>
        <v>0.3356624501612443</v>
      </c>
      <c r="AB38" s="41">
        <f t="shared" ref="AB38:AG38" si="28">IF(AB9=0,0,AB10/AB9)</f>
        <v>0.37162470881676618</v>
      </c>
      <c r="AC38" s="41">
        <f t="shared" si="28"/>
        <v>0.34686667399126542</v>
      </c>
      <c r="AD38" s="41">
        <f t="shared" si="28"/>
        <v>0.36435322310427459</v>
      </c>
      <c r="AE38" s="41">
        <f t="shared" si="28"/>
        <v>0.3666389760461819</v>
      </c>
      <c r="AF38" s="41">
        <f t="shared" si="28"/>
        <v>0.35432930679587893</v>
      </c>
      <c r="AG38" s="41">
        <f t="shared" si="28"/>
        <v>0.34037583275656957</v>
      </c>
    </row>
    <row r="39" spans="1:33" ht="15" customHeight="1" x14ac:dyDescent="0.45">
      <c r="B39" s="9" t="s">
        <v>203</v>
      </c>
      <c r="C39" s="41">
        <f t="shared" ref="C39:Z39" si="29">IF(C9=0,0,C14/C9)</f>
        <v>0.11762051726316169</v>
      </c>
      <c r="D39" s="41">
        <f t="shared" si="29"/>
        <v>0.10626875098689405</v>
      </c>
      <c r="E39" s="41">
        <f t="shared" si="29"/>
        <v>0.10418204375206118</v>
      </c>
      <c r="F39" s="41">
        <f t="shared" si="29"/>
        <v>8.0921985815602837E-2</v>
      </c>
      <c r="G39" s="41">
        <f t="shared" si="29"/>
        <v>0.11933854065156445</v>
      </c>
      <c r="H39" s="41">
        <f t="shared" si="29"/>
        <v>0.12872582395528268</v>
      </c>
      <c r="I39" s="41">
        <f t="shared" si="29"/>
        <v>0.12276767057643552</v>
      </c>
      <c r="J39" s="41">
        <f t="shared" si="29"/>
        <v>9.1588500853781202E-2</v>
      </c>
      <c r="K39" s="41">
        <f t="shared" si="29"/>
        <v>0.13743830787309047</v>
      </c>
      <c r="L39" s="41">
        <f t="shared" si="29"/>
        <v>0.12822280047823334</v>
      </c>
      <c r="M39" s="41">
        <f t="shared" si="29"/>
        <v>0.1414949970570924</v>
      </c>
      <c r="N39" s="41">
        <f t="shared" si="29"/>
        <v>7.8904629837843243E-2</v>
      </c>
      <c r="O39" s="41">
        <f t="shared" si="29"/>
        <v>0.12763917080889287</v>
      </c>
      <c r="P39" s="41">
        <f t="shared" si="29"/>
        <v>0.11639713460486303</v>
      </c>
      <c r="Q39" s="115">
        <f t="shared" si="29"/>
        <v>0.1110234723996677</v>
      </c>
      <c r="R39" s="115">
        <f t="shared" si="29"/>
        <v>6.4987633388228327E-2</v>
      </c>
      <c r="S39" s="115">
        <f t="shared" si="29"/>
        <v>8.5493099522909788E-2</v>
      </c>
      <c r="T39" s="115">
        <f t="shared" si="29"/>
        <v>0.1002656155130512</v>
      </c>
      <c r="U39" s="115">
        <f t="shared" si="29"/>
        <v>9.1469149675521597E-2</v>
      </c>
      <c r="V39" s="115">
        <f t="shared" si="29"/>
        <v>5.364886717756092E-2</v>
      </c>
      <c r="W39" s="115">
        <f t="shared" si="29"/>
        <v>7.0717014207858406E-2</v>
      </c>
      <c r="X39" s="115">
        <f t="shared" si="29"/>
        <v>8.3099987573500303E-2</v>
      </c>
      <c r="Y39" s="115">
        <f t="shared" si="29"/>
        <v>7.5957867334861734E-2</v>
      </c>
      <c r="Z39" s="115">
        <f t="shared" si="29"/>
        <v>4.4637617865968197E-2</v>
      </c>
      <c r="AB39" s="41">
        <f t="shared" ref="AB39:AG39" si="30">IF(AB9=0,0,AB14/AB9)</f>
        <v>0.10009587512265275</v>
      </c>
      <c r="AC39" s="41">
        <f t="shared" si="30"/>
        <v>0.11420537259318263</v>
      </c>
      <c r="AD39" s="41">
        <f t="shared" si="30"/>
        <v>0.11953655726232301</v>
      </c>
      <c r="AE39" s="41">
        <f t="shared" si="30"/>
        <v>0.10150255745870267</v>
      </c>
      <c r="AF39" s="41">
        <f t="shared" si="30"/>
        <v>8.0986647540178175E-2</v>
      </c>
      <c r="AG39" s="41">
        <f t="shared" si="30"/>
        <v>6.7202503324945234E-2</v>
      </c>
    </row>
    <row r="40" spans="1:33" ht="15" customHeight="1" x14ac:dyDescent="0.45">
      <c r="B40" s="9" t="s">
        <v>204</v>
      </c>
      <c r="C40" s="41">
        <f t="shared" ref="C40:Z40" si="31">IF(C9=0,0,C15/C9)</f>
        <v>0.41740213330445614</v>
      </c>
      <c r="D40" s="41">
        <f t="shared" si="31"/>
        <v>0.3128059371545871</v>
      </c>
      <c r="E40" s="41">
        <f t="shared" si="31"/>
        <v>0.30643717511817453</v>
      </c>
      <c r="F40" s="41">
        <f t="shared" si="31"/>
        <v>0.2405791962174941</v>
      </c>
      <c r="G40" s="41">
        <f t="shared" si="31"/>
        <v>0.37203340279755925</v>
      </c>
      <c r="H40" s="41">
        <f t="shared" si="31"/>
        <v>0.34333328377956501</v>
      </c>
      <c r="I40" s="41">
        <f t="shared" si="31"/>
        <v>0.33009221853843368</v>
      </c>
      <c r="J40" s="41">
        <f t="shared" si="31"/>
        <v>0.27792332343103088</v>
      </c>
      <c r="K40" s="41">
        <f t="shared" si="31"/>
        <v>0.41988249118683901</v>
      </c>
      <c r="L40" s="41">
        <f t="shared" si="31"/>
        <v>0.35445530628032912</v>
      </c>
      <c r="M40" s="41">
        <f t="shared" si="31"/>
        <v>0.37863449087698647</v>
      </c>
      <c r="N40" s="41">
        <f t="shared" si="31"/>
        <v>0.31493141443669892</v>
      </c>
      <c r="O40" s="41">
        <f t="shared" si="31"/>
        <v>0.4629437243275209</v>
      </c>
      <c r="P40" s="41">
        <f t="shared" si="31"/>
        <v>0.33247235758909827</v>
      </c>
      <c r="Q40" s="115">
        <f t="shared" si="31"/>
        <v>0.29997841698501887</v>
      </c>
      <c r="R40" s="115">
        <f t="shared" si="31"/>
        <v>0.26190291570909474</v>
      </c>
      <c r="S40" s="115">
        <f t="shared" si="31"/>
        <v>0.31309159144866688</v>
      </c>
      <c r="T40" s="115">
        <f t="shared" si="31"/>
        <v>0.28917543170243259</v>
      </c>
      <c r="U40" s="115">
        <f t="shared" si="31"/>
        <v>0.24954332589376094</v>
      </c>
      <c r="V40" s="115">
        <f t="shared" si="31"/>
        <v>0.21830630662354661</v>
      </c>
      <c r="W40" s="115">
        <f t="shared" si="31"/>
        <v>0.26149318324216936</v>
      </c>
      <c r="X40" s="115">
        <f t="shared" si="31"/>
        <v>0.24199502728105021</v>
      </c>
      <c r="Y40" s="115">
        <f t="shared" si="31"/>
        <v>0.20923782378523673</v>
      </c>
      <c r="Z40" s="115">
        <f t="shared" si="31"/>
        <v>0.18340148619989252</v>
      </c>
      <c r="AB40" s="41">
        <f t="shared" ref="AB40:AG40" si="32">IF(AB9=0,0,AB15/AB9)</f>
        <v>0.31010733519590733</v>
      </c>
      <c r="AC40" s="41">
        <f t="shared" si="32"/>
        <v>0.32744046474579064</v>
      </c>
      <c r="AD40" s="41">
        <f t="shared" si="32"/>
        <v>0.36384072160211506</v>
      </c>
      <c r="AE40" s="41">
        <f t="shared" si="32"/>
        <v>0.32702611301322648</v>
      </c>
      <c r="AF40" s="41">
        <f t="shared" si="32"/>
        <v>0.26346017973975555</v>
      </c>
      <c r="AG40" s="41">
        <f t="shared" si="32"/>
        <v>0.22074106206876215</v>
      </c>
    </row>
    <row r="41" spans="1:33" ht="15" customHeight="1" x14ac:dyDescent="0.45">
      <c r="B41" s="9" t="s">
        <v>205</v>
      </c>
      <c r="C41" s="41">
        <f t="shared" ref="C41:Z41" si="33">IF(C9=0,0,C16/C9)</f>
        <v>0.2269027379212013</v>
      </c>
      <c r="D41" s="41">
        <f t="shared" si="33"/>
        <v>0.29775777672509079</v>
      </c>
      <c r="E41" s="41">
        <f t="shared" si="33"/>
        <v>0.18860813166449425</v>
      </c>
      <c r="F41" s="41">
        <f t="shared" si="33"/>
        <v>0.15106382978723404</v>
      </c>
      <c r="G41" s="41">
        <f t="shared" si="33"/>
        <v>0.21029669720094152</v>
      </c>
      <c r="H41" s="41">
        <f t="shared" si="33"/>
        <v>0.21315057903578277</v>
      </c>
      <c r="I41" s="41">
        <f t="shared" si="33"/>
        <v>0.21082105145850166</v>
      </c>
      <c r="J41" s="41">
        <f t="shared" si="33"/>
        <v>0.16573881312717831</v>
      </c>
      <c r="K41" s="41">
        <f t="shared" si="33"/>
        <v>0.2282647865256561</v>
      </c>
      <c r="L41" s="41">
        <f t="shared" si="33"/>
        <v>0.21981855264083269</v>
      </c>
      <c r="M41" s="41">
        <f t="shared" si="33"/>
        <v>0.22995879929370217</v>
      </c>
      <c r="N41" s="41">
        <f t="shared" si="33"/>
        <v>0.18133323339080029</v>
      </c>
      <c r="O41" s="41">
        <f t="shared" si="33"/>
        <v>0.23646650790352741</v>
      </c>
      <c r="P41" s="41">
        <f t="shared" si="33"/>
        <v>0.21451019810924637</v>
      </c>
      <c r="Q41" s="115">
        <f t="shared" si="33"/>
        <v>0.18218804215147966</v>
      </c>
      <c r="R41" s="115">
        <f t="shared" si="33"/>
        <v>0.15080014365970529</v>
      </c>
      <c r="S41" s="115">
        <f t="shared" si="33"/>
        <v>0.15992370431496725</v>
      </c>
      <c r="T41" s="115">
        <f t="shared" si="33"/>
        <v>0.18657514745776163</v>
      </c>
      <c r="U41" s="115">
        <f t="shared" si="33"/>
        <v>0.15155693677396612</v>
      </c>
      <c r="V41" s="115">
        <f t="shared" si="33"/>
        <v>0.12569780795115945</v>
      </c>
      <c r="W41" s="115">
        <f t="shared" si="33"/>
        <v>0.13356781101563597</v>
      </c>
      <c r="X41" s="115">
        <f t="shared" si="33"/>
        <v>0.15613448775090796</v>
      </c>
      <c r="Y41" s="115">
        <f t="shared" si="33"/>
        <v>0.12707790727948387</v>
      </c>
      <c r="Z41" s="115">
        <f t="shared" si="33"/>
        <v>0.10560008616729898</v>
      </c>
      <c r="AB41" s="41">
        <f t="shared" ref="AB41:AG41" si="34">IF(AB9=0,0,AB16/AB9)</f>
        <v>0.21054701251619765</v>
      </c>
      <c r="AC41" s="41">
        <f t="shared" si="34"/>
        <v>0.19800450462823083</v>
      </c>
      <c r="AD41" s="41">
        <f t="shared" si="34"/>
        <v>0.21327131476075017</v>
      </c>
      <c r="AE41" s="41">
        <f t="shared" si="34"/>
        <v>0.19064347819561425</v>
      </c>
      <c r="AF41" s="41">
        <f t="shared" si="34"/>
        <v>0.15358701654995144</v>
      </c>
      <c r="AG41" s="41">
        <f t="shared" si="34"/>
        <v>0.12868343590556255</v>
      </c>
    </row>
    <row r="42" spans="1:33" ht="15" customHeight="1" x14ac:dyDescent="0.45">
      <c r="B42" s="9" t="s">
        <v>206</v>
      </c>
      <c r="C42" s="41">
        <f t="shared" ref="C42:Z42" si="35">IF(C9=0,0,C17/C9)</f>
        <v>0.76192538848881908</v>
      </c>
      <c r="D42" s="41">
        <f t="shared" si="35"/>
        <v>0.71683246486657193</v>
      </c>
      <c r="E42" s="41">
        <f t="shared" si="35"/>
        <v>0.59922735053472997</v>
      </c>
      <c r="F42" s="41">
        <f t="shared" si="35"/>
        <v>0.47256501182033095</v>
      </c>
      <c r="G42" s="41">
        <f t="shared" si="35"/>
        <v>0.70166864065006518</v>
      </c>
      <c r="H42" s="41">
        <f t="shared" si="35"/>
        <v>0.68520968677063043</v>
      </c>
      <c r="I42" s="41">
        <f t="shared" si="35"/>
        <v>0.6636809405733709</v>
      </c>
      <c r="J42" s="41">
        <f t="shared" si="35"/>
        <v>0.53525063741199042</v>
      </c>
      <c r="K42" s="41">
        <f t="shared" si="35"/>
        <v>0.78558558558558556</v>
      </c>
      <c r="L42" s="41">
        <f t="shared" si="35"/>
        <v>0.70249665939939521</v>
      </c>
      <c r="M42" s="41">
        <f t="shared" si="35"/>
        <v>0.75008828722778109</v>
      </c>
      <c r="N42" s="41">
        <f t="shared" si="35"/>
        <v>0.57516927766534243</v>
      </c>
      <c r="O42" s="41">
        <f t="shared" si="35"/>
        <v>0.82704940303994123</v>
      </c>
      <c r="P42" s="41">
        <f t="shared" si="35"/>
        <v>0.66337969030320765</v>
      </c>
      <c r="Q42" s="115">
        <f t="shared" si="35"/>
        <v>0.59318993153616628</v>
      </c>
      <c r="R42" s="115">
        <f t="shared" si="35"/>
        <v>0.47769069275702836</v>
      </c>
      <c r="S42" s="115">
        <f t="shared" si="35"/>
        <v>0.55850839528654395</v>
      </c>
      <c r="T42" s="115">
        <f t="shared" si="35"/>
        <v>0.57601619467324539</v>
      </c>
      <c r="U42" s="115">
        <f t="shared" si="35"/>
        <v>0.49256941234324864</v>
      </c>
      <c r="V42" s="115">
        <f t="shared" si="35"/>
        <v>0.39765298175226693</v>
      </c>
      <c r="W42" s="115">
        <f t="shared" si="35"/>
        <v>0.46577800846566375</v>
      </c>
      <c r="X42" s="115">
        <f t="shared" si="35"/>
        <v>0.48122950260545849</v>
      </c>
      <c r="Y42" s="115">
        <f t="shared" si="35"/>
        <v>0.41227359839958233</v>
      </c>
      <c r="Z42" s="115">
        <f t="shared" si="35"/>
        <v>0.33363919023315969</v>
      </c>
      <c r="AB42" s="41">
        <f t="shared" ref="AB42:AG42" si="36">IF(AB9=0,0,AB17/AB9)</f>
        <v>0.62075022283475778</v>
      </c>
      <c r="AC42" s="41">
        <f t="shared" si="36"/>
        <v>0.63965034196720416</v>
      </c>
      <c r="AD42" s="41">
        <f t="shared" si="36"/>
        <v>0.69664859362518816</v>
      </c>
      <c r="AE42" s="41">
        <f t="shared" si="36"/>
        <v>0.61917214866754344</v>
      </c>
      <c r="AF42" s="41">
        <f t="shared" si="36"/>
        <v>0.49803384382988508</v>
      </c>
      <c r="AG42" s="41">
        <f t="shared" si="36"/>
        <v>0.41662700129926994</v>
      </c>
    </row>
    <row r="43" spans="1:33" x14ac:dyDescent="0.45">
      <c r="Q43" s="116"/>
      <c r="R43" s="116"/>
      <c r="S43" s="116"/>
      <c r="T43" s="116"/>
      <c r="U43" s="116"/>
      <c r="V43" s="116"/>
      <c r="W43" s="116"/>
      <c r="X43" s="116"/>
      <c r="Y43" s="116"/>
      <c r="Z43" s="116"/>
    </row>
    <row r="44" spans="1:33" ht="15" customHeight="1" x14ac:dyDescent="0.45">
      <c r="A44" t="s">
        <v>597</v>
      </c>
      <c r="B44" s="16" t="s">
        <v>207</v>
      </c>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row>
    <row r="45" spans="1:33" ht="15" customHeight="1" x14ac:dyDescent="0.45">
      <c r="B45" s="9" t="s">
        <v>91</v>
      </c>
      <c r="C45" s="31">
        <f t="shared" ref="C45:Z45" si="37">C27</f>
        <v>-5871</v>
      </c>
      <c r="D45" s="31">
        <f t="shared" si="37"/>
        <v>-5724</v>
      </c>
      <c r="E45" s="31">
        <f t="shared" si="37"/>
        <v>1774</v>
      </c>
      <c r="F45" s="31">
        <f t="shared" si="37"/>
        <v>18702</v>
      </c>
      <c r="G45" s="31">
        <f t="shared" si="37"/>
        <v>-2454</v>
      </c>
      <c r="H45" s="31">
        <f t="shared" si="37"/>
        <v>1971</v>
      </c>
      <c r="I45" s="31">
        <f t="shared" si="37"/>
        <v>-912</v>
      </c>
      <c r="J45" s="31">
        <f t="shared" si="37"/>
        <v>13899</v>
      </c>
      <c r="K45" s="31">
        <f t="shared" si="37"/>
        <v>-9486</v>
      </c>
      <c r="L45" s="31">
        <f t="shared" si="37"/>
        <v>-5208</v>
      </c>
      <c r="M45" s="31">
        <f t="shared" si="37"/>
        <v>-6452</v>
      </c>
      <c r="N45" s="31">
        <f t="shared" si="37"/>
        <v>6684</v>
      </c>
      <c r="O45" s="31">
        <f t="shared" si="37"/>
        <v>-12510</v>
      </c>
      <c r="P45" s="31">
        <f t="shared" si="37"/>
        <v>-1202</v>
      </c>
      <c r="Q45" s="113">
        <f t="shared" si="37"/>
        <v>3670.8894261311125</v>
      </c>
      <c r="R45" s="113">
        <f t="shared" si="37"/>
        <v>13388.589681532183</v>
      </c>
      <c r="S45" s="113">
        <f t="shared" si="37"/>
        <v>7105.4354625189117</v>
      </c>
      <c r="T45" s="113">
        <f t="shared" si="37"/>
        <v>6148.0024707946786</v>
      </c>
      <c r="U45" s="113">
        <f t="shared" si="37"/>
        <v>14848.768773818267</v>
      </c>
      <c r="V45" s="113">
        <f t="shared" si="37"/>
        <v>26226.434031518016</v>
      </c>
      <c r="W45" s="113">
        <f t="shared" si="37"/>
        <v>19270.588347968165</v>
      </c>
      <c r="X45" s="113">
        <f t="shared" si="37"/>
        <v>18093.430298630694</v>
      </c>
      <c r="Y45" s="113">
        <f t="shared" si="37"/>
        <v>29215.09572246125</v>
      </c>
      <c r="Z45" s="113">
        <f t="shared" si="37"/>
        <v>42567.308255631207</v>
      </c>
      <c r="AB45" s="31">
        <f t="shared" ref="AB45:AG45" si="38">AB27</f>
        <v>8881</v>
      </c>
      <c r="AC45" s="31">
        <f t="shared" si="38"/>
        <v>12504</v>
      </c>
      <c r="AD45" s="31">
        <f t="shared" si="38"/>
        <v>-14462</v>
      </c>
      <c r="AE45" s="31">
        <f t="shared" si="38"/>
        <v>3347.4791076633128</v>
      </c>
      <c r="AF45" s="31">
        <f t="shared" si="38"/>
        <v>54328.640738649861</v>
      </c>
      <c r="AG45" s="31">
        <f t="shared" si="38"/>
        <v>109146.42262469132</v>
      </c>
    </row>
    <row r="46" spans="1:33" ht="15" customHeight="1" x14ac:dyDescent="0.45">
      <c r="B46" s="9" t="s">
        <v>208</v>
      </c>
      <c r="C46" s="31">
        <f t="shared" ref="C46:Z46" si="39">C59</f>
        <v>7059</v>
      </c>
      <c r="D46" s="31">
        <f t="shared" si="39"/>
        <v>7266</v>
      </c>
      <c r="E46" s="31">
        <f t="shared" si="39"/>
        <v>7200</v>
      </c>
      <c r="F46" s="31">
        <f t="shared" si="39"/>
        <v>7337</v>
      </c>
      <c r="G46" s="31">
        <f t="shared" si="39"/>
        <v>9111</v>
      </c>
      <c r="H46" s="31">
        <f t="shared" si="39"/>
        <v>9699</v>
      </c>
      <c r="I46" s="31">
        <f t="shared" si="39"/>
        <v>9457</v>
      </c>
      <c r="J46" s="31">
        <f t="shared" si="39"/>
        <v>9409</v>
      </c>
      <c r="K46" s="31">
        <f t="shared" si="39"/>
        <v>9698</v>
      </c>
      <c r="L46" s="31">
        <f t="shared" si="39"/>
        <v>9801</v>
      </c>
      <c r="M46" s="31">
        <f t="shared" si="39"/>
        <v>9511</v>
      </c>
      <c r="N46" s="31">
        <f t="shared" si="39"/>
        <v>9368</v>
      </c>
      <c r="O46" s="31">
        <f t="shared" si="39"/>
        <v>8488</v>
      </c>
      <c r="P46" s="31">
        <f t="shared" si="39"/>
        <v>8347</v>
      </c>
      <c r="Q46" s="113">
        <f t="shared" si="39"/>
        <v>9813.1753263669398</v>
      </c>
      <c r="R46" s="113">
        <f t="shared" si="39"/>
        <v>11011.368820358093</v>
      </c>
      <c r="S46" s="113">
        <f t="shared" si="39"/>
        <v>10583.471707649749</v>
      </c>
      <c r="T46" s="113">
        <f t="shared" si="39"/>
        <v>10337.226722206546</v>
      </c>
      <c r="U46" s="113">
        <f t="shared" si="39"/>
        <v>12268.372319856715</v>
      </c>
      <c r="V46" s="113">
        <f t="shared" si="39"/>
        <v>13738.796786901887</v>
      </c>
      <c r="W46" s="113">
        <f t="shared" si="39"/>
        <v>13178.698569776952</v>
      </c>
      <c r="X46" s="113">
        <f t="shared" si="39"/>
        <v>12846.722161730317</v>
      </c>
      <c r="Y46" s="113">
        <f t="shared" si="39"/>
        <v>15216.895261480213</v>
      </c>
      <c r="Z46" s="113">
        <f t="shared" si="39"/>
        <v>17007.69545542444</v>
      </c>
      <c r="AB46" s="31">
        <f t="shared" ref="AB46:AG46" si="40">AB59</f>
        <v>28862</v>
      </c>
      <c r="AC46" s="31">
        <f t="shared" si="40"/>
        <v>37676</v>
      </c>
      <c r="AD46" s="31">
        <f t="shared" si="40"/>
        <v>38378</v>
      </c>
      <c r="AE46" s="31">
        <f t="shared" si="40"/>
        <v>37659.544146725035</v>
      </c>
      <c r="AF46" s="31">
        <f t="shared" si="40"/>
        <v>46927.867536614896</v>
      </c>
      <c r="AG46" s="31">
        <f t="shared" si="40"/>
        <v>58250.011448411926</v>
      </c>
    </row>
    <row r="47" spans="1:33" ht="15" customHeight="1" x14ac:dyDescent="0.45">
      <c r="B47" s="9" t="s">
        <v>209</v>
      </c>
      <c r="C47" s="31">
        <f t="shared" ref="C47:Z47" si="41">C62</f>
        <v>11432</v>
      </c>
      <c r="D47" s="31">
        <f t="shared" si="41"/>
        <v>10898</v>
      </c>
      <c r="E47" s="31">
        <f t="shared" si="41"/>
        <v>11401</v>
      </c>
      <c r="F47" s="31">
        <f t="shared" si="41"/>
        <v>11039</v>
      </c>
      <c r="G47" s="31">
        <f t="shared" si="41"/>
        <v>11212</v>
      </c>
      <c r="H47" s="31">
        <f t="shared" si="41"/>
        <v>11336</v>
      </c>
      <c r="I47" s="31">
        <f t="shared" si="41"/>
        <v>11383</v>
      </c>
      <c r="J47" s="31">
        <f t="shared" si="41"/>
        <v>11421</v>
      </c>
      <c r="K47" s="31">
        <f t="shared" si="41"/>
        <v>11676</v>
      </c>
      <c r="L47" s="31">
        <f t="shared" si="41"/>
        <v>11861</v>
      </c>
      <c r="M47" s="31">
        <f t="shared" si="41"/>
        <v>10459</v>
      </c>
      <c r="N47" s="31">
        <f t="shared" si="41"/>
        <v>9773</v>
      </c>
      <c r="O47" s="31">
        <f t="shared" si="41"/>
        <v>9988</v>
      </c>
      <c r="P47" s="31">
        <f t="shared" si="41"/>
        <v>10007</v>
      </c>
      <c r="Q47" s="113">
        <f t="shared" si="41"/>
        <v>11151.335598144249</v>
      </c>
      <c r="R47" s="113">
        <f t="shared" si="41"/>
        <v>12512.919114043289</v>
      </c>
      <c r="S47" s="113">
        <f t="shared" si="41"/>
        <v>12026.672395056534</v>
      </c>
      <c r="T47" s="113">
        <f t="shared" si="41"/>
        <v>11746.848547961983</v>
      </c>
      <c r="U47" s="113">
        <f t="shared" si="41"/>
        <v>13941.332181655358</v>
      </c>
      <c r="V47" s="113">
        <f t="shared" si="41"/>
        <v>15612.269076024872</v>
      </c>
      <c r="W47" s="113">
        <f t="shared" si="41"/>
        <v>14975.793829291992</v>
      </c>
      <c r="X47" s="113">
        <f t="shared" si="41"/>
        <v>14598.547911057178</v>
      </c>
      <c r="Y47" s="113">
        <f t="shared" si="41"/>
        <v>17291.926433500241</v>
      </c>
      <c r="Z47" s="113">
        <f t="shared" si="41"/>
        <v>19326.926653891409</v>
      </c>
      <c r="AB47" s="31">
        <f t="shared" ref="AB47:AG47" si="42">AB62</f>
        <v>44770</v>
      </c>
      <c r="AC47" s="31">
        <f t="shared" si="42"/>
        <v>45352</v>
      </c>
      <c r="AD47" s="31">
        <f t="shared" si="42"/>
        <v>43769</v>
      </c>
      <c r="AE47" s="31">
        <f t="shared" si="42"/>
        <v>43659.25471218754</v>
      </c>
      <c r="AF47" s="31">
        <f t="shared" si="42"/>
        <v>53327.122200698745</v>
      </c>
      <c r="AG47" s="31">
        <f t="shared" si="42"/>
        <v>66193.194827740823</v>
      </c>
    </row>
    <row r="48" spans="1:33" ht="15" customHeight="1" x14ac:dyDescent="0.45">
      <c r="B48" s="9" t="s">
        <v>210</v>
      </c>
      <c r="C48" s="37">
        <v>0</v>
      </c>
      <c r="D48" s="37">
        <v>0</v>
      </c>
      <c r="E48" s="37">
        <v>0</v>
      </c>
      <c r="F48" s="37">
        <v>0</v>
      </c>
      <c r="G48" s="37">
        <v>0</v>
      </c>
      <c r="H48" s="37">
        <v>0</v>
      </c>
      <c r="I48" s="37">
        <v>0</v>
      </c>
      <c r="J48" s="37">
        <v>0</v>
      </c>
      <c r="K48" s="37">
        <v>0</v>
      </c>
      <c r="L48" s="37">
        <v>0</v>
      </c>
      <c r="M48" s="37">
        <v>538</v>
      </c>
      <c r="N48" s="20">
        <f>'10-K Data'!D31-SUM(K48:M48)</f>
        <v>364</v>
      </c>
      <c r="O48" s="37">
        <v>438</v>
      </c>
      <c r="P48" s="37">
        <v>594</v>
      </c>
      <c r="Q48" s="117">
        <f>Drivers!P18</f>
        <v>0</v>
      </c>
      <c r="R48" s="117">
        <f>Drivers!Q18</f>
        <v>0</v>
      </c>
      <c r="S48" s="117">
        <f>Drivers!R18</f>
        <v>0</v>
      </c>
      <c r="T48" s="117">
        <f>Drivers!S18</f>
        <v>0</v>
      </c>
      <c r="U48" s="117">
        <f>Drivers!T18</f>
        <v>0</v>
      </c>
      <c r="V48" s="117">
        <f>Drivers!U18</f>
        <v>0</v>
      </c>
      <c r="W48" s="117">
        <f>Drivers!V18</f>
        <v>0</v>
      </c>
      <c r="X48" s="117">
        <f>Drivers!W18</f>
        <v>0</v>
      </c>
      <c r="Y48" s="117">
        <f>Drivers!X18</f>
        <v>0</v>
      </c>
      <c r="Z48" s="117">
        <f>Drivers!Y18</f>
        <v>0</v>
      </c>
      <c r="AB48" s="31">
        <f>SUM(C48:F48)</f>
        <v>0</v>
      </c>
      <c r="AC48" s="31">
        <f>SUM(G48:J48)</f>
        <v>0</v>
      </c>
      <c r="AD48" s="31">
        <f>SUM(K48:N48)</f>
        <v>902</v>
      </c>
      <c r="AE48" s="31">
        <f>SUM(O48:R48)</f>
        <v>1032</v>
      </c>
      <c r="AF48" s="31">
        <f>SUM(S48:V48)</f>
        <v>0</v>
      </c>
      <c r="AG48" s="31">
        <f>SUM(W48:Z48)</f>
        <v>0</v>
      </c>
    </row>
    <row r="49" spans="1:33" ht="15" customHeight="1" x14ac:dyDescent="0.45">
      <c r="B49" s="9" t="s">
        <v>211</v>
      </c>
      <c r="C49" s="31">
        <f t="shared" ref="C49:Z49" si="43">-C21</f>
        <v>-1891</v>
      </c>
      <c r="D49" s="31">
        <f t="shared" si="43"/>
        <v>-2176</v>
      </c>
      <c r="E49" s="31">
        <f t="shared" si="43"/>
        <v>-2246</v>
      </c>
      <c r="F49" s="31">
        <f t="shared" si="43"/>
        <v>-2515</v>
      </c>
      <c r="G49" s="31">
        <f t="shared" si="43"/>
        <v>-2564</v>
      </c>
      <c r="H49" s="31">
        <f t="shared" si="43"/>
        <v>-2340</v>
      </c>
      <c r="I49" s="31">
        <f t="shared" si="43"/>
        <v>-1969</v>
      </c>
      <c r="J49" s="31">
        <f t="shared" si="43"/>
        <v>-1604</v>
      </c>
      <c r="K49" s="31">
        <f t="shared" si="43"/>
        <v>-1593</v>
      </c>
      <c r="L49" s="31">
        <f t="shared" si="43"/>
        <v>-1379</v>
      </c>
      <c r="M49" s="31">
        <f t="shared" si="43"/>
        <v>-1198</v>
      </c>
      <c r="N49" s="31">
        <f t="shared" si="43"/>
        <v>-1285</v>
      </c>
      <c r="O49" s="31">
        <f t="shared" si="43"/>
        <v>-1215</v>
      </c>
      <c r="P49" s="31">
        <f t="shared" si="43"/>
        <v>-1213</v>
      </c>
      <c r="Q49" s="113">
        <f t="shared" si="43"/>
        <v>-1134.4327499999999</v>
      </c>
      <c r="R49" s="113">
        <f t="shared" si="43"/>
        <v>-1076.7896952310634</v>
      </c>
      <c r="S49" s="113">
        <f t="shared" si="43"/>
        <v>-1165.9155852112817</v>
      </c>
      <c r="T49" s="113">
        <f t="shared" si="43"/>
        <v>-1442.9784148741944</v>
      </c>
      <c r="U49" s="113">
        <f t="shared" si="43"/>
        <v>-1567.8211721769296</v>
      </c>
      <c r="V49" s="113">
        <f t="shared" si="43"/>
        <v>-1609.3296792359688</v>
      </c>
      <c r="W49" s="113">
        <f t="shared" si="43"/>
        <v>-1835.4275265973513</v>
      </c>
      <c r="X49" s="113">
        <f t="shared" si="43"/>
        <v>-2314.1322538340728</v>
      </c>
      <c r="Y49" s="113">
        <f t="shared" si="43"/>
        <v>-2580.7937222351843</v>
      </c>
      <c r="Z49" s="113">
        <f t="shared" si="43"/>
        <v>-2751.6051527377085</v>
      </c>
      <c r="AB49" s="31">
        <f t="shared" ref="AB49:AG49" si="44">-AB21</f>
        <v>-8828</v>
      </c>
      <c r="AC49" s="31">
        <f t="shared" si="44"/>
        <v>-8477</v>
      </c>
      <c r="AD49" s="31">
        <f t="shared" si="44"/>
        <v>-5455</v>
      </c>
      <c r="AE49" s="31">
        <f t="shared" si="44"/>
        <v>-4639.2224452310638</v>
      </c>
      <c r="AF49" s="31">
        <f t="shared" si="44"/>
        <v>-5786.0448514983746</v>
      </c>
      <c r="AG49" s="31">
        <f t="shared" si="44"/>
        <v>-9481.9586554043162</v>
      </c>
    </row>
    <row r="50" spans="1:33" ht="15" customHeight="1" x14ac:dyDescent="0.45">
      <c r="B50" s="9" t="s">
        <v>212</v>
      </c>
      <c r="C50" s="31">
        <f t="shared" ref="C50:Z50" si="45">C25</f>
        <v>-3375</v>
      </c>
      <c r="D50" s="31">
        <f t="shared" si="45"/>
        <v>545</v>
      </c>
      <c r="E50" s="31">
        <f t="shared" si="45"/>
        <v>111</v>
      </c>
      <c r="F50" s="31">
        <f t="shared" si="45"/>
        <v>4343</v>
      </c>
      <c r="G50" s="31">
        <f t="shared" si="45"/>
        <v>-249</v>
      </c>
      <c r="H50" s="31">
        <f t="shared" si="45"/>
        <v>412</v>
      </c>
      <c r="I50" s="31">
        <f t="shared" si="45"/>
        <v>586</v>
      </c>
      <c r="J50" s="31">
        <f t="shared" si="45"/>
        <v>4521</v>
      </c>
      <c r="K50" s="31">
        <f t="shared" si="45"/>
        <v>-1838</v>
      </c>
      <c r="L50" s="31">
        <f t="shared" si="45"/>
        <v>-862</v>
      </c>
      <c r="M50" s="31">
        <f t="shared" si="45"/>
        <v>-1706</v>
      </c>
      <c r="N50" s="31">
        <f t="shared" si="45"/>
        <v>2914</v>
      </c>
      <c r="O50" s="31">
        <f t="shared" si="45"/>
        <v>-2601</v>
      </c>
      <c r="P50" s="31">
        <f t="shared" si="45"/>
        <v>3083</v>
      </c>
      <c r="Q50" s="113">
        <f t="shared" si="45"/>
        <v>975.80604998421973</v>
      </c>
      <c r="R50" s="113">
        <f t="shared" si="45"/>
        <v>3558.9921938250109</v>
      </c>
      <c r="S50" s="113">
        <f t="shared" si="45"/>
        <v>1888.7866419354068</v>
      </c>
      <c r="T50" s="113">
        <f t="shared" si="45"/>
        <v>1634.2791378061802</v>
      </c>
      <c r="U50" s="113">
        <f t="shared" si="45"/>
        <v>3947.1410664580198</v>
      </c>
      <c r="V50" s="113">
        <f t="shared" si="45"/>
        <v>6971.5837298971946</v>
      </c>
      <c r="W50" s="113">
        <f t="shared" si="45"/>
        <v>5122.5614595864736</v>
      </c>
      <c r="X50" s="113">
        <f t="shared" si="45"/>
        <v>4809.6460287499312</v>
      </c>
      <c r="Y50" s="113">
        <f t="shared" si="45"/>
        <v>7766.0381034390666</v>
      </c>
      <c r="Z50" s="113">
        <f t="shared" si="45"/>
        <v>11315.360422382977</v>
      </c>
      <c r="AB50" s="31">
        <f t="shared" ref="AB50:AG50" si="46">AB25</f>
        <v>1624</v>
      </c>
      <c r="AC50" s="31">
        <f t="shared" si="46"/>
        <v>5270</v>
      </c>
      <c r="AD50" s="31">
        <f t="shared" si="46"/>
        <v>-1492</v>
      </c>
      <c r="AE50" s="31">
        <f t="shared" si="46"/>
        <v>5016.7982438092304</v>
      </c>
      <c r="AF50" s="31">
        <f t="shared" si="46"/>
        <v>14441.790576096802</v>
      </c>
      <c r="AG50" s="31">
        <f t="shared" si="46"/>
        <v>29013.606014158446</v>
      </c>
    </row>
    <row r="51" spans="1:33" ht="15" customHeight="1" x14ac:dyDescent="0.45">
      <c r="B51" s="38" t="s">
        <v>47</v>
      </c>
      <c r="C51" s="39">
        <f t="shared" ref="C51:Z51" si="47">SUM(C45:C50)</f>
        <v>7354</v>
      </c>
      <c r="D51" s="39">
        <f t="shared" si="47"/>
        <v>10809</v>
      </c>
      <c r="E51" s="39">
        <f t="shared" si="47"/>
        <v>18240</v>
      </c>
      <c r="F51" s="39">
        <f t="shared" si="47"/>
        <v>38906</v>
      </c>
      <c r="G51" s="39">
        <f t="shared" si="47"/>
        <v>15056</v>
      </c>
      <c r="H51" s="39">
        <f t="shared" si="47"/>
        <v>21078</v>
      </c>
      <c r="I51" s="39">
        <f t="shared" si="47"/>
        <v>18545</v>
      </c>
      <c r="J51" s="39">
        <f t="shared" si="47"/>
        <v>37646</v>
      </c>
      <c r="K51" s="39">
        <f t="shared" si="47"/>
        <v>8457</v>
      </c>
      <c r="L51" s="39">
        <f t="shared" si="47"/>
        <v>14213</v>
      </c>
      <c r="M51" s="39">
        <f t="shared" si="47"/>
        <v>11152</v>
      </c>
      <c r="N51" s="39">
        <f t="shared" si="47"/>
        <v>27818</v>
      </c>
      <c r="O51" s="39">
        <f t="shared" si="47"/>
        <v>2588</v>
      </c>
      <c r="P51" s="39">
        <f t="shared" si="47"/>
        <v>19616</v>
      </c>
      <c r="Q51" s="114">
        <f t="shared" si="47"/>
        <v>24476.773650626525</v>
      </c>
      <c r="R51" s="114">
        <f t="shared" si="47"/>
        <v>39395.080114527518</v>
      </c>
      <c r="S51" s="114">
        <f t="shared" si="47"/>
        <v>30438.450621949323</v>
      </c>
      <c r="T51" s="114">
        <f t="shared" si="47"/>
        <v>28423.378463895195</v>
      </c>
      <c r="U51" s="114">
        <f t="shared" si="47"/>
        <v>43437.793169611425</v>
      </c>
      <c r="V51" s="114">
        <f t="shared" si="47"/>
        <v>60939.753945106007</v>
      </c>
      <c r="W51" s="114">
        <f t="shared" si="47"/>
        <v>50712.214680026234</v>
      </c>
      <c r="X51" s="114">
        <f t="shared" si="47"/>
        <v>48034.214146334038</v>
      </c>
      <c r="Y51" s="114">
        <f t="shared" si="47"/>
        <v>66909.161798645582</v>
      </c>
      <c r="Z51" s="114">
        <f t="shared" si="47"/>
        <v>87465.685634592315</v>
      </c>
      <c r="AB51" s="39">
        <f t="shared" ref="AB51:AG51" si="48">SUM(AB45:AB50)</f>
        <v>75309</v>
      </c>
      <c r="AC51" s="39">
        <f t="shared" si="48"/>
        <v>92325</v>
      </c>
      <c r="AD51" s="39">
        <f t="shared" si="48"/>
        <v>61640</v>
      </c>
      <c r="AE51" s="39">
        <f t="shared" si="48"/>
        <v>86075.853765154054</v>
      </c>
      <c r="AF51" s="39">
        <f t="shared" si="48"/>
        <v>163239.37620056191</v>
      </c>
      <c r="AG51" s="39">
        <f t="shared" si="48"/>
        <v>253121.27625959821</v>
      </c>
    </row>
    <row r="52" spans="1:33" ht="15" customHeight="1" x14ac:dyDescent="0.45">
      <c r="B52" s="40" t="s">
        <v>213</v>
      </c>
      <c r="C52" s="41">
        <f t="shared" ref="C52:Z52" si="49">IF(C9=0,0,C51/C9)</f>
        <v>0.13272691176205173</v>
      </c>
      <c r="D52" s="41">
        <f t="shared" si="49"/>
        <v>0.17067740407389861</v>
      </c>
      <c r="E52" s="41">
        <f t="shared" si="49"/>
        <v>0.28644565541718359</v>
      </c>
      <c r="F52" s="41">
        <f t="shared" si="49"/>
        <v>0.45988179669030732</v>
      </c>
      <c r="G52" s="41">
        <f t="shared" si="49"/>
        <v>0.22572375226758221</v>
      </c>
      <c r="H52" s="41">
        <f t="shared" si="49"/>
        <v>0.31334829857136487</v>
      </c>
      <c r="I52" s="41">
        <f t="shared" si="49"/>
        <v>0.25833728024963087</v>
      </c>
      <c r="J52" s="41">
        <f t="shared" si="49"/>
        <v>0.44029379429720944</v>
      </c>
      <c r="K52" s="41">
        <f t="shared" si="49"/>
        <v>0.13250293772032903</v>
      </c>
      <c r="L52" s="41">
        <f t="shared" si="49"/>
        <v>0.19991560587945706</v>
      </c>
      <c r="M52" s="41">
        <f t="shared" si="49"/>
        <v>0.16409652736904062</v>
      </c>
      <c r="N52" s="41">
        <f t="shared" si="49"/>
        <v>0.34752517302551034</v>
      </c>
      <c r="O52" s="41">
        <f t="shared" si="49"/>
        <v>4.1363658158454136E-2</v>
      </c>
      <c r="P52" s="41">
        <f t="shared" si="49"/>
        <v>0.24958965811204561</v>
      </c>
      <c r="Q52" s="115">
        <f t="shared" si="49"/>
        <v>0.27437042669915512</v>
      </c>
      <c r="R52" s="115">
        <f t="shared" si="49"/>
        <v>0.39354406189593977</v>
      </c>
      <c r="S52" s="115">
        <f t="shared" si="49"/>
        <v>0.3163640118198946</v>
      </c>
      <c r="T52" s="115">
        <f t="shared" si="49"/>
        <v>0.30245748836212866</v>
      </c>
      <c r="U52" s="115">
        <f t="shared" si="49"/>
        <v>0.38946953386177163</v>
      </c>
      <c r="V52" s="115">
        <f t="shared" si="49"/>
        <v>0.48791557499070326</v>
      </c>
      <c r="W52" s="115">
        <f t="shared" si="49"/>
        <v>0.4232848627098767</v>
      </c>
      <c r="X52" s="115">
        <f t="shared" si="49"/>
        <v>0.41129273985832643</v>
      </c>
      <c r="Y52" s="115">
        <f t="shared" si="49"/>
        <v>0.48367342163956478</v>
      </c>
      <c r="Z52" s="115">
        <f t="shared" si="49"/>
        <v>0.56569835960559589</v>
      </c>
      <c r="AB52" s="41">
        <f t="shared" ref="AB52:AG52" si="50">IF(AB9=0,0,AB51/AB9)</f>
        <v>0.28204139108810772</v>
      </c>
      <c r="AC52" s="41">
        <f t="shared" si="50"/>
        <v>0.31698917790534786</v>
      </c>
      <c r="AD52" s="41">
        <f t="shared" si="50"/>
        <v>0.21786615581459462</v>
      </c>
      <c r="AE52" s="41">
        <f t="shared" si="50"/>
        <v>0.26046177292735972</v>
      </c>
      <c r="AF52" s="41">
        <f t="shared" si="50"/>
        <v>0.38263684937423592</v>
      </c>
      <c r="AG52" s="41">
        <f t="shared" si="50"/>
        <v>0.47799716594416047</v>
      </c>
    </row>
    <row r="53" spans="1:33" x14ac:dyDescent="0.45">
      <c r="Q53" s="116"/>
      <c r="R53" s="116"/>
      <c r="S53" s="116"/>
      <c r="T53" s="116"/>
      <c r="U53" s="116"/>
      <c r="V53" s="116"/>
      <c r="W53" s="116"/>
      <c r="X53" s="116"/>
      <c r="Y53" s="116"/>
      <c r="Z53" s="116"/>
    </row>
    <row r="54" spans="1:33" ht="15" customHeight="1" x14ac:dyDescent="0.45">
      <c r="A54" t="s">
        <v>597</v>
      </c>
      <c r="B54" s="16" t="s">
        <v>214</v>
      </c>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row>
    <row r="55" spans="1:33" ht="15" customHeight="1" x14ac:dyDescent="0.45">
      <c r="B55" s="45" t="s">
        <v>185</v>
      </c>
      <c r="C55" s="37">
        <v>316</v>
      </c>
      <c r="D55" s="37">
        <v>387</v>
      </c>
      <c r="E55" s="37">
        <v>387</v>
      </c>
      <c r="F55" s="20">
        <f>'10-K Data'!B23-SUM(C55:E55)</f>
        <v>382</v>
      </c>
      <c r="G55" s="37">
        <v>437</v>
      </c>
      <c r="H55" s="37">
        <v>494</v>
      </c>
      <c r="I55" s="37">
        <v>486</v>
      </c>
      <c r="J55" s="20">
        <f>'10-K Data'!C23-SUM(G55:I55)</f>
        <v>438</v>
      </c>
      <c r="K55" s="37">
        <v>474</v>
      </c>
      <c r="L55" s="37">
        <v>474</v>
      </c>
      <c r="M55" s="37">
        <v>474</v>
      </c>
      <c r="N55" s="20">
        <f>'10-K Data'!D23-SUM(K55:M55)</f>
        <v>432</v>
      </c>
      <c r="O55" s="37">
        <v>384</v>
      </c>
      <c r="P55" s="37">
        <v>357</v>
      </c>
      <c r="Q55" s="116"/>
      <c r="R55" s="116"/>
      <c r="S55" s="116"/>
      <c r="T55" s="116"/>
      <c r="U55" s="116"/>
      <c r="V55" s="116"/>
      <c r="W55" s="116"/>
      <c r="X55" s="116"/>
      <c r="Y55" s="116"/>
      <c r="Z55" s="116"/>
      <c r="AB55" s="31">
        <f>SUM(C55:F55)</f>
        <v>1472</v>
      </c>
      <c r="AC55" s="31">
        <f>SUM(G55:J55)</f>
        <v>1855</v>
      </c>
      <c r="AD55" s="31">
        <f>SUM(K55:N55)</f>
        <v>1854</v>
      </c>
    </row>
    <row r="56" spans="1:33" ht="15" customHeight="1" x14ac:dyDescent="0.45">
      <c r="B56" s="45" t="s">
        <v>187</v>
      </c>
      <c r="C56" s="37">
        <v>1008</v>
      </c>
      <c r="D56" s="37">
        <v>1089</v>
      </c>
      <c r="E56" s="37">
        <v>1112</v>
      </c>
      <c r="F56" s="20">
        <f>'10-K Data'!B24-SUM(C56:E56)</f>
        <v>1137</v>
      </c>
      <c r="G56" s="37">
        <v>1441</v>
      </c>
      <c r="H56" s="37">
        <v>1644</v>
      </c>
      <c r="I56" s="37">
        <v>1603</v>
      </c>
      <c r="J56" s="20">
        <f>'10-K Data'!C24-SUM(G56:I56)</f>
        <v>1625</v>
      </c>
      <c r="K56" s="37">
        <v>1585</v>
      </c>
      <c r="L56" s="37">
        <v>1628</v>
      </c>
      <c r="M56" s="37">
        <v>1471</v>
      </c>
      <c r="N56" s="20">
        <f>'10-K Data'!D24-SUM(K56:M56)</f>
        <v>1404</v>
      </c>
      <c r="O56" s="37">
        <v>1029</v>
      </c>
      <c r="P56" s="37">
        <v>1055</v>
      </c>
      <c r="Q56" s="116"/>
      <c r="R56" s="116"/>
      <c r="S56" s="116"/>
      <c r="T56" s="116"/>
      <c r="U56" s="116"/>
      <c r="V56" s="116"/>
      <c r="W56" s="116"/>
      <c r="X56" s="116"/>
      <c r="Y56" s="116"/>
      <c r="Z56" s="116"/>
      <c r="AB56" s="31">
        <f>SUM(C56:F56)</f>
        <v>4346</v>
      </c>
      <c r="AC56" s="31">
        <f>SUM(G56:J56)</f>
        <v>6313</v>
      </c>
      <c r="AD56" s="31">
        <f>SUM(K56:N56)</f>
        <v>6088</v>
      </c>
    </row>
    <row r="57" spans="1:33" ht="15" customHeight="1" x14ac:dyDescent="0.45">
      <c r="B57" s="45" t="s">
        <v>188</v>
      </c>
      <c r="C57" s="37">
        <v>2709</v>
      </c>
      <c r="D57" s="37">
        <v>2614</v>
      </c>
      <c r="E57" s="37">
        <v>2550</v>
      </c>
      <c r="F57" s="20">
        <f>'10-K Data'!B25-SUM(C57:E57)</f>
        <v>2589</v>
      </c>
      <c r="G57" s="37">
        <v>3238</v>
      </c>
      <c r="H57" s="37">
        <v>3472</v>
      </c>
      <c r="I57" s="37">
        <v>3450</v>
      </c>
      <c r="J57" s="20">
        <f>'10-K Data'!C25-SUM(G57:I57)</f>
        <v>3247</v>
      </c>
      <c r="K57" s="37">
        <v>3463</v>
      </c>
      <c r="L57" s="37">
        <v>3465</v>
      </c>
      <c r="M57" s="37">
        <v>3423</v>
      </c>
      <c r="N57" s="20">
        <f>'10-K Data'!D25-SUM(K57:M57)</f>
        <v>3352</v>
      </c>
      <c r="O57" s="37">
        <v>3057</v>
      </c>
      <c r="P57" s="37">
        <v>2605</v>
      </c>
      <c r="Q57" s="116"/>
      <c r="R57" s="116"/>
      <c r="S57" s="116"/>
      <c r="T57" s="116"/>
      <c r="U57" s="116"/>
      <c r="V57" s="116"/>
      <c r="W57" s="116"/>
      <c r="X57" s="116"/>
      <c r="Y57" s="116"/>
      <c r="Z57" s="116"/>
      <c r="AB57" s="31">
        <f>SUM(C57:F57)</f>
        <v>10462</v>
      </c>
      <c r="AC57" s="31">
        <f>SUM(G57:J57)</f>
        <v>13407</v>
      </c>
      <c r="AD57" s="31">
        <f>SUM(K57:N57)</f>
        <v>13703</v>
      </c>
    </row>
    <row r="58" spans="1:33" ht="15" customHeight="1" x14ac:dyDescent="0.45">
      <c r="B58" s="45" t="s">
        <v>189</v>
      </c>
      <c r="C58" s="37">
        <v>3026</v>
      </c>
      <c r="D58" s="37">
        <v>3176</v>
      </c>
      <c r="E58" s="37">
        <v>3151</v>
      </c>
      <c r="F58" s="20">
        <f>'10-K Data'!B26-SUM(C58:E58)</f>
        <v>3229</v>
      </c>
      <c r="G58" s="37">
        <v>3995</v>
      </c>
      <c r="H58" s="37">
        <v>4089</v>
      </c>
      <c r="I58" s="37">
        <v>3918</v>
      </c>
      <c r="J58" s="20">
        <f>'10-K Data'!C26-SUM(G58:I58)</f>
        <v>4099</v>
      </c>
      <c r="K58" s="37">
        <v>4176</v>
      </c>
      <c r="L58" s="37">
        <v>4234</v>
      </c>
      <c r="M58" s="37">
        <v>4143</v>
      </c>
      <c r="N58" s="20">
        <f>'10-K Data'!D26-SUM(K58:M58)</f>
        <v>4180</v>
      </c>
      <c r="O58" s="37">
        <v>4018</v>
      </c>
      <c r="P58" s="37">
        <v>4330</v>
      </c>
      <c r="Q58" s="116"/>
      <c r="R58" s="116"/>
      <c r="S58" s="116"/>
      <c r="T58" s="116"/>
      <c r="U58" s="116"/>
      <c r="V58" s="116"/>
      <c r="W58" s="116"/>
      <c r="X58" s="116"/>
      <c r="Y58" s="116"/>
      <c r="Z58" s="116"/>
      <c r="AB58" s="31">
        <f>SUM(C58:F58)</f>
        <v>12582</v>
      </c>
      <c r="AC58" s="31">
        <f>SUM(G58:J58)</f>
        <v>16101</v>
      </c>
      <c r="AD58" s="31">
        <f>SUM(K58:N58)</f>
        <v>16733</v>
      </c>
    </row>
    <row r="59" spans="1:33" ht="15" customHeight="1" x14ac:dyDescent="0.45">
      <c r="B59" s="38" t="s">
        <v>215</v>
      </c>
      <c r="C59" s="39">
        <f t="shared" ref="C59:P59" si="51">SUM(C55:C58)</f>
        <v>7059</v>
      </c>
      <c r="D59" s="39">
        <f t="shared" si="51"/>
        <v>7266</v>
      </c>
      <c r="E59" s="39">
        <f t="shared" si="51"/>
        <v>7200</v>
      </c>
      <c r="F59" s="39">
        <f t="shared" si="51"/>
        <v>7337</v>
      </c>
      <c r="G59" s="39">
        <f t="shared" si="51"/>
        <v>9111</v>
      </c>
      <c r="H59" s="39">
        <f t="shared" si="51"/>
        <v>9699</v>
      </c>
      <c r="I59" s="39">
        <f t="shared" si="51"/>
        <v>9457</v>
      </c>
      <c r="J59" s="39">
        <f t="shared" si="51"/>
        <v>9409</v>
      </c>
      <c r="K59" s="39">
        <f t="shared" si="51"/>
        <v>9698</v>
      </c>
      <c r="L59" s="39">
        <f t="shared" si="51"/>
        <v>9801</v>
      </c>
      <c r="M59" s="39">
        <f t="shared" si="51"/>
        <v>9511</v>
      </c>
      <c r="N59" s="39">
        <f t="shared" si="51"/>
        <v>9368</v>
      </c>
      <c r="O59" s="39">
        <f t="shared" si="51"/>
        <v>8488</v>
      </c>
      <c r="P59" s="39">
        <f t="shared" si="51"/>
        <v>8347</v>
      </c>
      <c r="Q59" s="114">
        <f>Q9*Drivers!P17</f>
        <v>9813.1753263669398</v>
      </c>
      <c r="R59" s="114">
        <f>R9*Drivers!Q17</f>
        <v>11011.368820358093</v>
      </c>
      <c r="S59" s="114">
        <f>S9*Drivers!R17</f>
        <v>10583.471707649749</v>
      </c>
      <c r="T59" s="114">
        <f>T9*Drivers!S17</f>
        <v>10337.226722206546</v>
      </c>
      <c r="U59" s="114">
        <f>U9*Drivers!T17</f>
        <v>12268.372319856715</v>
      </c>
      <c r="V59" s="114">
        <f>V9*Drivers!U17</f>
        <v>13738.796786901887</v>
      </c>
      <c r="W59" s="114">
        <f>W9*Drivers!V17</f>
        <v>13178.698569776952</v>
      </c>
      <c r="X59" s="114">
        <f>X9*Drivers!W17</f>
        <v>12846.722161730317</v>
      </c>
      <c r="Y59" s="114">
        <f>Y9*Drivers!X17</f>
        <v>15216.895261480213</v>
      </c>
      <c r="Z59" s="114">
        <f>Z9*Drivers!Y17</f>
        <v>17007.69545542444</v>
      </c>
      <c r="AB59" s="39">
        <f>SUM(C59:F59)</f>
        <v>28862</v>
      </c>
      <c r="AC59" s="39">
        <f>SUM(G59:J59)</f>
        <v>37676</v>
      </c>
      <c r="AD59" s="39">
        <f>SUM(K59:N59)</f>
        <v>38378</v>
      </c>
      <c r="AE59" s="39">
        <f>SUM(O59:R59)</f>
        <v>37659.544146725035</v>
      </c>
      <c r="AF59" s="39">
        <f>SUM(S59:V59)</f>
        <v>46927.867536614896</v>
      </c>
      <c r="AG59" s="39">
        <f>SUM(W59:Z59)</f>
        <v>58250.011448411926</v>
      </c>
    </row>
    <row r="60" spans="1:33" x14ac:dyDescent="0.45">
      <c r="Q60" s="116"/>
      <c r="R60" s="116"/>
      <c r="S60" s="116"/>
      <c r="T60" s="116"/>
      <c r="U60" s="116"/>
      <c r="V60" s="116"/>
      <c r="W60" s="116"/>
      <c r="X60" s="116"/>
      <c r="Y60" s="116"/>
      <c r="Z60" s="116"/>
    </row>
    <row r="61" spans="1:33" ht="15" customHeight="1" x14ac:dyDescent="0.45">
      <c r="A61" t="s">
        <v>597</v>
      </c>
      <c r="B61" s="16" t="s">
        <v>216</v>
      </c>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row>
    <row r="62" spans="1:33" ht="15" customHeight="1" x14ac:dyDescent="0.45">
      <c r="B62" s="10" t="s">
        <v>217</v>
      </c>
      <c r="C62" s="18">
        <f>'Cash Flow'!B10</f>
        <v>11432</v>
      </c>
      <c r="D62" s="18">
        <f>'Cash Flow'!C10</f>
        <v>10898</v>
      </c>
      <c r="E62" s="18">
        <f>'Cash Flow'!D10</f>
        <v>11401</v>
      </c>
      <c r="F62" s="18">
        <f>'Cash Flow'!E10</f>
        <v>11039</v>
      </c>
      <c r="G62" s="18">
        <f>'Cash Flow'!F10</f>
        <v>11212</v>
      </c>
      <c r="H62" s="18">
        <f>'Cash Flow'!G10</f>
        <v>11336</v>
      </c>
      <c r="I62" s="18">
        <f>'Cash Flow'!H10</f>
        <v>11383</v>
      </c>
      <c r="J62" s="18">
        <f>'Cash Flow'!I10</f>
        <v>11421</v>
      </c>
      <c r="K62" s="18">
        <f>'Cash Flow'!J10</f>
        <v>11676</v>
      </c>
      <c r="L62" s="18">
        <f>'Cash Flow'!K10</f>
        <v>11861</v>
      </c>
      <c r="M62" s="18">
        <f>'Cash Flow'!L10</f>
        <v>10459</v>
      </c>
      <c r="N62" s="18">
        <f>'Cash Flow'!M10</f>
        <v>9773</v>
      </c>
      <c r="O62" s="18">
        <f>'Cash Flow'!N10</f>
        <v>9988</v>
      </c>
      <c r="P62" s="18">
        <f>'Cash Flow'!O10</f>
        <v>10007</v>
      </c>
      <c r="Q62" s="112">
        <f>Q9*Drivers!P16</f>
        <v>11151.335598144249</v>
      </c>
      <c r="R62" s="112">
        <f>R9*Drivers!Q16</f>
        <v>12512.919114043289</v>
      </c>
      <c r="S62" s="112">
        <f>S9*Drivers!R16</f>
        <v>12026.672395056534</v>
      </c>
      <c r="T62" s="112">
        <f>T9*Drivers!S16</f>
        <v>11746.848547961983</v>
      </c>
      <c r="U62" s="112">
        <f>U9*Drivers!T16</f>
        <v>13941.332181655358</v>
      </c>
      <c r="V62" s="112">
        <f>V9*Drivers!U16</f>
        <v>15612.269076024872</v>
      </c>
      <c r="W62" s="112">
        <f>W9*Drivers!V16</f>
        <v>14975.793829291992</v>
      </c>
      <c r="X62" s="112">
        <f>X9*Drivers!W16</f>
        <v>14598.547911057178</v>
      </c>
      <c r="Y62" s="112">
        <f>Y9*Drivers!X16</f>
        <v>17291.926433500241</v>
      </c>
      <c r="Z62" s="112">
        <f>Z9*Drivers!Y16</f>
        <v>19326.926653891409</v>
      </c>
      <c r="AB62" s="36">
        <f>SUM(C62:F62)</f>
        <v>44770</v>
      </c>
      <c r="AC62" s="36">
        <f>SUM(G62:J62)</f>
        <v>45352</v>
      </c>
      <c r="AD62" s="36">
        <f>SUM(K62:N62)</f>
        <v>43769</v>
      </c>
      <c r="AE62" s="36">
        <f>SUM(O62:R62)</f>
        <v>43659.25471218754</v>
      </c>
      <c r="AF62" s="36">
        <f>SUM(S62:V62)</f>
        <v>53327.122200698745</v>
      </c>
      <c r="AG62" s="36">
        <f>SUM(W62:Z62)</f>
        <v>66193.194827740823</v>
      </c>
    </row>
  </sheetData>
  <pageMargins left="0.75" right="0.75" top="1" bottom="1" header="0.511811023622047" footer="0.511811023622047"/>
  <pageSetup fitToHeight="0" orientation="landscape"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pageSetUpPr fitToPage="1"/>
  </sheetPr>
  <dimension ref="A1:AG54"/>
  <sheetViews>
    <sheetView showGridLines="0" zoomScale="115" zoomScaleNormal="115" workbookViewId="0">
      <pane xSplit="2" ySplit="6" topLeftCell="C7" activePane="bottomRight" state="frozen"/>
      <selection pane="topRight" activeCell="B1" sqref="B1"/>
      <selection pane="bottomLeft" activeCell="A7" sqref="A7"/>
      <selection pane="bottomRight" activeCell="C7" sqref="C7"/>
    </sheetView>
  </sheetViews>
  <sheetFormatPr defaultColWidth="8.6640625" defaultRowHeight="14.25" x14ac:dyDescent="0.45"/>
  <cols>
    <col min="1" max="1" width="1.59765625" customWidth="1"/>
    <col min="2" max="2" width="46" customWidth="1"/>
    <col min="3" max="26" width="10.53125" customWidth="1"/>
    <col min="27" max="27" width="2" customWidth="1"/>
    <col min="28" max="33" width="11.46484375" customWidth="1"/>
  </cols>
  <sheetData>
    <row r="1" spans="1:33" ht="17.25" customHeight="1" x14ac:dyDescent="0.5">
      <c r="B1" s="13" t="s">
        <v>218</v>
      </c>
    </row>
    <row r="2" spans="1:33" ht="15" customHeight="1" x14ac:dyDescent="0.45">
      <c r="B2" s="4" t="s">
        <v>219</v>
      </c>
    </row>
    <row r="4" spans="1:33" ht="15" customHeight="1" x14ac:dyDescent="0.45">
      <c r="B4" s="5" t="s">
        <v>108</v>
      </c>
      <c r="C4" s="22" t="s">
        <v>109</v>
      </c>
      <c r="D4" s="22" t="s">
        <v>110</v>
      </c>
      <c r="E4" s="22" t="s">
        <v>111</v>
      </c>
      <c r="F4" s="22" t="s">
        <v>112</v>
      </c>
      <c r="G4" s="22" t="s">
        <v>113</v>
      </c>
      <c r="H4" s="22" t="s">
        <v>114</v>
      </c>
      <c r="I4" s="22" t="s">
        <v>115</v>
      </c>
      <c r="J4" s="22" t="s">
        <v>116</v>
      </c>
      <c r="K4" s="22" t="s">
        <v>117</v>
      </c>
      <c r="L4" s="22" t="s">
        <v>118</v>
      </c>
      <c r="M4" s="22" t="s">
        <v>119</v>
      </c>
      <c r="N4" s="22" t="s">
        <v>120</v>
      </c>
      <c r="O4" s="22" t="s">
        <v>121</v>
      </c>
      <c r="P4" s="22" t="s">
        <v>122</v>
      </c>
      <c r="Q4" s="23" t="s">
        <v>123</v>
      </c>
      <c r="R4" s="23" t="s">
        <v>124</v>
      </c>
      <c r="S4" s="23" t="s">
        <v>125</v>
      </c>
      <c r="T4" s="23" t="s">
        <v>126</v>
      </c>
      <c r="U4" s="23" t="s">
        <v>127</v>
      </c>
      <c r="V4" s="23" t="s">
        <v>128</v>
      </c>
      <c r="W4" s="23" t="s">
        <v>129</v>
      </c>
      <c r="X4" s="23" t="s">
        <v>130</v>
      </c>
      <c r="Y4" s="23" t="s">
        <v>131</v>
      </c>
      <c r="Z4" s="23" t="s">
        <v>132</v>
      </c>
      <c r="AB4" s="14" t="s">
        <v>73</v>
      </c>
      <c r="AC4" s="14" t="s">
        <v>74</v>
      </c>
      <c r="AD4" s="14" t="s">
        <v>75</v>
      </c>
      <c r="AE4" s="15" t="s">
        <v>76</v>
      </c>
      <c r="AF4" s="15" t="s">
        <v>77</v>
      </c>
      <c r="AG4" s="15" t="s">
        <v>78</v>
      </c>
    </row>
    <row r="5" spans="1:33" ht="15" customHeight="1" x14ac:dyDescent="0.45">
      <c r="B5" s="5" t="s">
        <v>134</v>
      </c>
      <c r="C5" s="24">
        <v>45016</v>
      </c>
      <c r="D5" s="24">
        <v>45107</v>
      </c>
      <c r="E5" s="24">
        <v>45199</v>
      </c>
      <c r="F5" s="24">
        <v>45291</v>
      </c>
      <c r="G5" s="24">
        <v>45382</v>
      </c>
      <c r="H5" s="24">
        <v>45473</v>
      </c>
      <c r="I5" s="24">
        <v>45565</v>
      </c>
      <c r="J5" s="24">
        <v>45657</v>
      </c>
      <c r="K5" s="24">
        <v>45747</v>
      </c>
      <c r="L5" s="24">
        <v>45838</v>
      </c>
      <c r="M5" s="24">
        <v>45930</v>
      </c>
      <c r="N5" s="24">
        <v>46022</v>
      </c>
      <c r="O5" s="24">
        <v>46112</v>
      </c>
      <c r="P5" s="24">
        <v>46203</v>
      </c>
      <c r="Q5" s="25">
        <v>46295</v>
      </c>
      <c r="R5" s="25">
        <v>46387</v>
      </c>
      <c r="S5" s="25">
        <v>46477</v>
      </c>
      <c r="T5" s="25">
        <v>46568</v>
      </c>
      <c r="U5" s="25">
        <v>46660</v>
      </c>
      <c r="V5" s="25">
        <v>46752</v>
      </c>
      <c r="W5" s="25">
        <v>46843</v>
      </c>
      <c r="X5" s="25">
        <v>46934</v>
      </c>
      <c r="Y5" s="25">
        <v>47026</v>
      </c>
      <c r="Z5" s="25">
        <v>47118</v>
      </c>
      <c r="AB5" s="26">
        <v>45291</v>
      </c>
      <c r="AC5" s="26">
        <v>45657</v>
      </c>
      <c r="AD5" s="26">
        <v>46022</v>
      </c>
      <c r="AE5" s="27">
        <v>46387</v>
      </c>
      <c r="AF5" s="27">
        <v>46752</v>
      </c>
      <c r="AG5" s="27">
        <v>47118</v>
      </c>
    </row>
    <row r="6" spans="1:33" ht="15" customHeight="1" x14ac:dyDescent="0.45">
      <c r="B6" s="5" t="s">
        <v>79</v>
      </c>
      <c r="C6" s="22" t="s">
        <v>80</v>
      </c>
      <c r="D6" s="22" t="s">
        <v>80</v>
      </c>
      <c r="E6" s="22" t="s">
        <v>80</v>
      </c>
      <c r="F6" s="22" t="s">
        <v>80</v>
      </c>
      <c r="G6" s="22" t="s">
        <v>80</v>
      </c>
      <c r="H6" s="22" t="s">
        <v>80</v>
      </c>
      <c r="I6" s="22" t="s">
        <v>80</v>
      </c>
      <c r="J6" s="22" t="s">
        <v>80</v>
      </c>
      <c r="K6" s="22" t="s">
        <v>80</v>
      </c>
      <c r="L6" s="22" t="s">
        <v>80</v>
      </c>
      <c r="M6" s="22" t="s">
        <v>80</v>
      </c>
      <c r="N6" s="22" t="s">
        <v>80</v>
      </c>
      <c r="O6" s="22" t="s">
        <v>80</v>
      </c>
      <c r="P6" s="22" t="s">
        <v>80</v>
      </c>
      <c r="Q6" s="23" t="s">
        <v>82</v>
      </c>
      <c r="R6" s="23" t="s">
        <v>82</v>
      </c>
      <c r="S6" s="23" t="s">
        <v>82</v>
      </c>
      <c r="T6" s="23" t="s">
        <v>82</v>
      </c>
      <c r="U6" s="23" t="s">
        <v>82</v>
      </c>
      <c r="V6" s="23" t="s">
        <v>82</v>
      </c>
      <c r="W6" s="23" t="s">
        <v>82</v>
      </c>
      <c r="X6" s="23" t="s">
        <v>82</v>
      </c>
      <c r="Y6" s="23" t="s">
        <v>82</v>
      </c>
      <c r="Z6" s="23" t="s">
        <v>82</v>
      </c>
      <c r="AB6" s="14" t="s">
        <v>80</v>
      </c>
      <c r="AC6" s="14" t="s">
        <v>80</v>
      </c>
      <c r="AD6" s="14" t="s">
        <v>80</v>
      </c>
      <c r="AE6" s="15" t="s">
        <v>81</v>
      </c>
      <c r="AF6" s="15" t="s">
        <v>82</v>
      </c>
      <c r="AG6" s="15" t="s">
        <v>82</v>
      </c>
    </row>
    <row r="8" spans="1:33" ht="15" customHeight="1" x14ac:dyDescent="0.45">
      <c r="A8" t="s">
        <v>597</v>
      </c>
      <c r="B8" s="16" t="s">
        <v>220</v>
      </c>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row>
    <row r="9" spans="1:33" ht="15" customHeight="1" x14ac:dyDescent="0.45">
      <c r="B9" s="9" t="s">
        <v>221</v>
      </c>
      <c r="C9" s="46" t="s">
        <v>222</v>
      </c>
      <c r="D9" s="47"/>
      <c r="E9" s="47"/>
      <c r="F9" s="37">
        <v>78509</v>
      </c>
      <c r="G9" s="37">
        <v>80194</v>
      </c>
      <c r="H9" s="37">
        <v>73521</v>
      </c>
      <c r="I9" s="37">
        <v>78914</v>
      </c>
      <c r="J9" s="37">
        <v>100452</v>
      </c>
      <c r="K9" s="37">
        <v>101811</v>
      </c>
      <c r="L9" s="37">
        <v>90476</v>
      </c>
      <c r="M9" s="37">
        <v>136548</v>
      </c>
      <c r="N9" s="37">
        <v>145518</v>
      </c>
      <c r="O9" s="37">
        <v>144876</v>
      </c>
      <c r="P9" s="37">
        <v>119971</v>
      </c>
      <c r="Q9" s="20">
        <f>'Cash Flow'!P47</f>
        <v>112983.96305831071</v>
      </c>
      <c r="R9" s="20">
        <f>'Cash Flow'!Q47</f>
        <v>123787.10123773113</v>
      </c>
      <c r="S9" s="20">
        <f>'Cash Flow'!R47</f>
        <v>157370.47453020536</v>
      </c>
      <c r="T9" s="20">
        <f>'Cash Flow'!S47</f>
        <v>172502.92996083995</v>
      </c>
      <c r="U9" s="20">
        <f>'Cash Flow'!T47</f>
        <v>177534.26414981438</v>
      </c>
      <c r="V9" s="20">
        <f>'Cash Flow'!U47</f>
        <v>204940.06382998195</v>
      </c>
      <c r="W9" s="20">
        <f>'Cash Flow'!V47</f>
        <v>262964.87925261486</v>
      </c>
      <c r="X9" s="20">
        <f>'Cash Flow'!W47</f>
        <v>295287.4814830526</v>
      </c>
      <c r="Y9" s="20">
        <f>'Cash Flow'!X47</f>
        <v>315991.89730154042</v>
      </c>
      <c r="Z9" s="20">
        <f>'Cash Flow'!Y47</f>
        <v>364255.76779824356</v>
      </c>
      <c r="AB9" s="31">
        <f t="shared" ref="AB9:AB20" si="0">F9</f>
        <v>78509</v>
      </c>
      <c r="AC9" s="31">
        <f t="shared" ref="AC9:AC20" si="1">J9</f>
        <v>100452</v>
      </c>
      <c r="AD9" s="31">
        <f t="shared" ref="AD9:AD20" si="2">N9</f>
        <v>145518</v>
      </c>
      <c r="AE9" s="31">
        <f t="shared" ref="AE9:AE20" si="3">R9</f>
        <v>123787.10123773113</v>
      </c>
      <c r="AF9" s="31">
        <f t="shared" ref="AF9:AF20" si="4">V9</f>
        <v>204940.06382998195</v>
      </c>
      <c r="AG9" s="31">
        <f t="shared" ref="AG9:AG20" si="5">Z9</f>
        <v>364255.76779824356</v>
      </c>
    </row>
    <row r="10" spans="1:33" ht="15" customHeight="1" x14ac:dyDescent="0.45">
      <c r="B10" s="9" t="s">
        <v>223</v>
      </c>
      <c r="C10" s="47"/>
      <c r="D10" s="47"/>
      <c r="E10" s="47"/>
      <c r="F10" s="37">
        <v>96835</v>
      </c>
      <c r="G10" s="37">
        <v>93887</v>
      </c>
      <c r="H10" s="37">
        <v>92075</v>
      </c>
      <c r="I10" s="37">
        <v>61463</v>
      </c>
      <c r="J10" s="37">
        <v>40135</v>
      </c>
      <c r="K10" s="37">
        <v>42315</v>
      </c>
      <c r="L10" s="37">
        <v>27089</v>
      </c>
      <c r="M10" s="37">
        <v>0</v>
      </c>
      <c r="N10" s="37">
        <v>0</v>
      </c>
      <c r="O10" s="37">
        <v>0</v>
      </c>
      <c r="P10" s="37">
        <v>17536</v>
      </c>
      <c r="Q10" s="20">
        <f>Drivers!P29</f>
        <v>17536</v>
      </c>
      <c r="R10" s="20">
        <f>Drivers!Q29</f>
        <v>17536</v>
      </c>
      <c r="S10" s="20">
        <f>Drivers!R29</f>
        <v>17536</v>
      </c>
      <c r="T10" s="20">
        <f>Drivers!S29</f>
        <v>17536</v>
      </c>
      <c r="U10" s="20">
        <f>Drivers!T29</f>
        <v>17536</v>
      </c>
      <c r="V10" s="20">
        <f>Drivers!U29</f>
        <v>17536</v>
      </c>
      <c r="W10" s="20">
        <f>Drivers!V29</f>
        <v>17536</v>
      </c>
      <c r="X10" s="20">
        <f>Drivers!W29</f>
        <v>17536</v>
      </c>
      <c r="Y10" s="20">
        <f>Drivers!X29</f>
        <v>17536</v>
      </c>
      <c r="Z10" s="20">
        <f>Drivers!Y29</f>
        <v>17536</v>
      </c>
      <c r="AB10" s="31">
        <f t="shared" si="0"/>
        <v>96835</v>
      </c>
      <c r="AC10" s="31">
        <f t="shared" si="1"/>
        <v>40135</v>
      </c>
      <c r="AD10" s="31">
        <f t="shared" si="2"/>
        <v>0</v>
      </c>
      <c r="AE10" s="31">
        <f t="shared" si="3"/>
        <v>17536</v>
      </c>
      <c r="AF10" s="31">
        <f t="shared" si="4"/>
        <v>17536</v>
      </c>
      <c r="AG10" s="31">
        <f t="shared" si="5"/>
        <v>17536</v>
      </c>
    </row>
    <row r="11" spans="1:33" ht="15" customHeight="1" x14ac:dyDescent="0.45">
      <c r="B11" s="9" t="s">
        <v>103</v>
      </c>
      <c r="C11" s="47"/>
      <c r="D11" s="47"/>
      <c r="E11" s="47"/>
      <c r="F11" s="37">
        <v>375468</v>
      </c>
      <c r="G11" s="37">
        <v>303284</v>
      </c>
      <c r="H11" s="37">
        <v>351587</v>
      </c>
      <c r="I11" s="37">
        <v>376790</v>
      </c>
      <c r="J11" s="37">
        <v>424814</v>
      </c>
      <c r="K11" s="37">
        <v>349123</v>
      </c>
      <c r="L11" s="37">
        <v>383403</v>
      </c>
      <c r="M11" s="37">
        <v>362591</v>
      </c>
      <c r="N11" s="37">
        <v>358240</v>
      </c>
      <c r="O11" s="37">
        <v>336904</v>
      </c>
      <c r="P11" s="37">
        <v>383197</v>
      </c>
      <c r="Q11" s="31">
        <f>Drivers!P25/Q$40*'Income Statement'!Q9</f>
        <v>476404.45037984953</v>
      </c>
      <c r="R11" s="31">
        <f>Drivers!Q25/R$40*'Income Statement'!R9</f>
        <v>448506.54424422991</v>
      </c>
      <c r="S11" s="31">
        <f>Drivers!R25/S$40*'Income Statement'!S9</f>
        <v>517627.9798832332</v>
      </c>
      <c r="T11" s="31">
        <f>Drivers!S25/T$40*'Income Statement'!T9</f>
        <v>458617.62111208064</v>
      </c>
      <c r="U11" s="31">
        <f>Drivers!T25/U$40*'Income Statement'!U9</f>
        <v>595597.95659541548</v>
      </c>
      <c r="V11" s="31">
        <f>Drivers!U25/V$40*'Income Statement'!V9</f>
        <v>559598.02722934366</v>
      </c>
      <c r="W11" s="31">
        <f>Drivers!V25/W$40*'Income Statement'!W9</f>
        <v>644584.49747880083</v>
      </c>
      <c r="X11" s="31">
        <f>Drivers!W25/X$40*'Income Statement'!X9</f>
        <v>569952.97822421917</v>
      </c>
      <c r="Y11" s="31">
        <f>Drivers!X25/Y$40*'Income Statement'!Y9</f>
        <v>738741.17015466688</v>
      </c>
      <c r="Z11" s="31">
        <f>Drivers!Y25/Z$40*'Income Statement'!Z9</f>
        <v>692744.27536817733</v>
      </c>
      <c r="AB11" s="31">
        <f t="shared" si="0"/>
        <v>375468</v>
      </c>
      <c r="AC11" s="31">
        <f t="shared" si="1"/>
        <v>424814</v>
      </c>
      <c r="AD11" s="31">
        <f t="shared" si="2"/>
        <v>358240</v>
      </c>
      <c r="AE11" s="31">
        <f t="shared" si="3"/>
        <v>448506.54424422991</v>
      </c>
      <c r="AF11" s="31">
        <f t="shared" si="4"/>
        <v>559598.02722934366</v>
      </c>
      <c r="AG11" s="31">
        <f t="shared" si="5"/>
        <v>692744.27536817733</v>
      </c>
    </row>
    <row r="12" spans="1:33" ht="15" customHeight="1" x14ac:dyDescent="0.45">
      <c r="B12" s="9" t="s">
        <v>224</v>
      </c>
      <c r="C12" s="47"/>
      <c r="D12" s="47"/>
      <c r="E12" s="47"/>
      <c r="F12" s="37">
        <v>11143</v>
      </c>
      <c r="G12" s="37">
        <v>11540</v>
      </c>
      <c r="H12" s="37">
        <v>14788</v>
      </c>
      <c r="I12" s="37">
        <v>12640</v>
      </c>
      <c r="J12" s="37">
        <v>10145</v>
      </c>
      <c r="K12" s="37">
        <v>12018</v>
      </c>
      <c r="L12" s="37">
        <v>11994</v>
      </c>
      <c r="M12" s="37">
        <v>21307</v>
      </c>
      <c r="N12" s="37">
        <v>18889</v>
      </c>
      <c r="O12" s="37">
        <v>22397</v>
      </c>
      <c r="P12" s="37">
        <v>17162</v>
      </c>
      <c r="Q12" s="20">
        <f>Drivers!P27</f>
        <v>17162</v>
      </c>
      <c r="R12" s="20">
        <f>Drivers!Q27</f>
        <v>17162</v>
      </c>
      <c r="S12" s="20">
        <f>Drivers!R27</f>
        <v>17162</v>
      </c>
      <c r="T12" s="20">
        <f>Drivers!S27</f>
        <v>17162</v>
      </c>
      <c r="U12" s="20">
        <f>Drivers!T27</f>
        <v>17162</v>
      </c>
      <c r="V12" s="20">
        <f>Drivers!U27</f>
        <v>17162</v>
      </c>
      <c r="W12" s="20">
        <f>Drivers!V27</f>
        <v>17162</v>
      </c>
      <c r="X12" s="20">
        <f>Drivers!W27</f>
        <v>17162</v>
      </c>
      <c r="Y12" s="20">
        <f>Drivers!X27</f>
        <v>17162</v>
      </c>
      <c r="Z12" s="20">
        <f>Drivers!Y27</f>
        <v>17162</v>
      </c>
      <c r="AB12" s="31">
        <f t="shared" si="0"/>
        <v>11143</v>
      </c>
      <c r="AC12" s="31">
        <f t="shared" si="1"/>
        <v>10145</v>
      </c>
      <c r="AD12" s="31">
        <f t="shared" si="2"/>
        <v>18889</v>
      </c>
      <c r="AE12" s="31">
        <f t="shared" si="3"/>
        <v>17162</v>
      </c>
      <c r="AF12" s="31">
        <f t="shared" si="4"/>
        <v>17162</v>
      </c>
      <c r="AG12" s="31">
        <f t="shared" si="5"/>
        <v>17162</v>
      </c>
    </row>
    <row r="13" spans="1:33" ht="15" customHeight="1" x14ac:dyDescent="0.45">
      <c r="B13" s="38" t="s">
        <v>225</v>
      </c>
      <c r="C13" s="48"/>
      <c r="D13" s="48"/>
      <c r="E13" s="48"/>
      <c r="F13" s="39">
        <f t="shared" ref="F13:Z13" si="6">SUM(F9:F12)</f>
        <v>561955</v>
      </c>
      <c r="G13" s="39">
        <f t="shared" si="6"/>
        <v>488905</v>
      </c>
      <c r="H13" s="39">
        <f t="shared" si="6"/>
        <v>531971</v>
      </c>
      <c r="I13" s="39">
        <f t="shared" si="6"/>
        <v>529807</v>
      </c>
      <c r="J13" s="39">
        <f t="shared" si="6"/>
        <v>575546</v>
      </c>
      <c r="K13" s="39">
        <f t="shared" si="6"/>
        <v>505267</v>
      </c>
      <c r="L13" s="39">
        <f t="shared" si="6"/>
        <v>512962</v>
      </c>
      <c r="M13" s="39">
        <f t="shared" si="6"/>
        <v>520446</v>
      </c>
      <c r="N13" s="39">
        <f t="shared" si="6"/>
        <v>522647</v>
      </c>
      <c r="O13" s="39">
        <f t="shared" si="6"/>
        <v>504177</v>
      </c>
      <c r="P13" s="39">
        <f t="shared" si="6"/>
        <v>537866</v>
      </c>
      <c r="Q13" s="39">
        <f t="shared" si="6"/>
        <v>624086.41343816021</v>
      </c>
      <c r="R13" s="39">
        <f t="shared" si="6"/>
        <v>606991.64548196108</v>
      </c>
      <c r="S13" s="39">
        <f t="shared" si="6"/>
        <v>709696.45441343857</v>
      </c>
      <c r="T13" s="39">
        <f t="shared" si="6"/>
        <v>665818.55107292056</v>
      </c>
      <c r="U13" s="39">
        <f t="shared" si="6"/>
        <v>807830.22074522986</v>
      </c>
      <c r="V13" s="39">
        <f t="shared" si="6"/>
        <v>799236.09105932561</v>
      </c>
      <c r="W13" s="39">
        <f t="shared" si="6"/>
        <v>942247.37673141574</v>
      </c>
      <c r="X13" s="39">
        <f t="shared" si="6"/>
        <v>899938.45970727177</v>
      </c>
      <c r="Y13" s="39">
        <f t="shared" si="6"/>
        <v>1089431.0674562072</v>
      </c>
      <c r="Z13" s="39">
        <f t="shared" si="6"/>
        <v>1091698.0431664209</v>
      </c>
      <c r="AB13" s="39">
        <f t="shared" si="0"/>
        <v>561955</v>
      </c>
      <c r="AC13" s="39">
        <f t="shared" si="1"/>
        <v>575546</v>
      </c>
      <c r="AD13" s="39">
        <f t="shared" si="2"/>
        <v>522647</v>
      </c>
      <c r="AE13" s="39">
        <f t="shared" si="3"/>
        <v>606991.64548196108</v>
      </c>
      <c r="AF13" s="39">
        <f t="shared" si="4"/>
        <v>799236.09105932561</v>
      </c>
      <c r="AG13" s="39">
        <f t="shared" si="5"/>
        <v>1091698.0431664209</v>
      </c>
    </row>
    <row r="14" spans="1:33" ht="15" customHeight="1" x14ac:dyDescent="0.45">
      <c r="B14" s="9" t="s">
        <v>226</v>
      </c>
      <c r="C14" s="47"/>
      <c r="D14" s="47"/>
      <c r="E14" s="47"/>
      <c r="F14" s="37">
        <v>60729</v>
      </c>
      <c r="G14" s="37">
        <v>56550</v>
      </c>
      <c r="H14" s="37">
        <v>60137</v>
      </c>
      <c r="I14" s="37">
        <v>63247</v>
      </c>
      <c r="J14" s="37">
        <v>58522</v>
      </c>
      <c r="K14" s="37">
        <v>54386</v>
      </c>
      <c r="L14" s="37">
        <v>51584</v>
      </c>
      <c r="M14" s="37">
        <v>51396</v>
      </c>
      <c r="N14" s="37">
        <v>52657</v>
      </c>
      <c r="O14" s="37">
        <v>50139</v>
      </c>
      <c r="P14" s="37">
        <v>58528</v>
      </c>
      <c r="Q14" s="31">
        <f>P14-'Cash Flow'!P26-'Cash Flow'!P27-('Income Statement'!Q62-Drivers!P34)</f>
        <v>56271.664401855749</v>
      </c>
      <c r="R14" s="31">
        <f>Q14-'Cash Flow'!Q26-'Cash Flow'!Q27-('Income Statement'!R62-Drivers!Q34)</f>
        <v>52653.74528781246</v>
      </c>
      <c r="S14" s="31">
        <f>R14-'Cash Flow'!R26-'Cash Flow'!R27-('Income Statement'!S62-Drivers!R34)</f>
        <v>49408.072892755925</v>
      </c>
      <c r="T14" s="31">
        <f>S14-'Cash Flow'!S26-'Cash Flow'!S27-('Income Statement'!T62-Drivers!S34)</f>
        <v>46442.22434479394</v>
      </c>
      <c r="U14" s="31">
        <f>T14-'Cash Flow'!T26-'Cash Flow'!T27-('Income Statement'!U62-Drivers!T34)</f>
        <v>41281.892163138582</v>
      </c>
      <c r="V14" s="31">
        <f>U14-'Cash Flow'!U26-'Cash Flow'!U27-('Income Statement'!V62-Drivers!U34)</f>
        <v>34450.623087113709</v>
      </c>
      <c r="W14" s="31">
        <f>V14-'Cash Flow'!V26-'Cash Flow'!V27-('Income Statement'!W62-Drivers!V34)</f>
        <v>27974.829257821715</v>
      </c>
      <c r="X14" s="31">
        <f>W14-'Cash Flow'!W26-'Cash Flow'!W27-('Income Statement'!X62-Drivers!W34)</f>
        <v>21876.281346764539</v>
      </c>
      <c r="Y14" s="31">
        <f>X14-'Cash Flow'!X26-'Cash Flow'!X27-('Income Statement'!Y62-Drivers!X34)</f>
        <v>13084.354913264298</v>
      </c>
      <c r="Z14" s="31">
        <f>Y14-'Cash Flow'!Y26-'Cash Flow'!Y27-('Income Statement'!Z62-Drivers!Y34)</f>
        <v>2257.4282593728894</v>
      </c>
      <c r="AB14" s="31">
        <f t="shared" si="0"/>
        <v>60729</v>
      </c>
      <c r="AC14" s="31">
        <f t="shared" si="1"/>
        <v>58522</v>
      </c>
      <c r="AD14" s="31">
        <f t="shared" si="2"/>
        <v>52657</v>
      </c>
      <c r="AE14" s="31">
        <f t="shared" si="3"/>
        <v>52653.74528781246</v>
      </c>
      <c r="AF14" s="31">
        <f t="shared" si="4"/>
        <v>34450.623087113709</v>
      </c>
      <c r="AG14" s="31">
        <f t="shared" si="5"/>
        <v>2257.4282593728894</v>
      </c>
    </row>
    <row r="15" spans="1:33" ht="15" customHeight="1" x14ac:dyDescent="0.45">
      <c r="B15" s="9" t="s">
        <v>227</v>
      </c>
      <c r="C15" s="47"/>
      <c r="D15" s="47"/>
      <c r="E15" s="47"/>
      <c r="F15" s="37">
        <v>21102</v>
      </c>
      <c r="G15" s="37">
        <v>23473</v>
      </c>
      <c r="H15" s="37">
        <v>21915</v>
      </c>
      <c r="I15" s="37">
        <v>34440</v>
      </c>
      <c r="J15" s="37">
        <v>44402</v>
      </c>
      <c r="K15" s="37">
        <v>42575</v>
      </c>
      <c r="L15" s="37">
        <v>41888</v>
      </c>
      <c r="M15" s="37">
        <v>39993</v>
      </c>
      <c r="N15" s="37">
        <v>38149</v>
      </c>
      <c r="O15" s="37">
        <v>36267</v>
      </c>
      <c r="P15" s="37">
        <v>34518</v>
      </c>
      <c r="Q15" s="31">
        <f t="shared" ref="Q15:Z15" si="7">P15</f>
        <v>34518</v>
      </c>
      <c r="R15" s="31">
        <f t="shared" si="7"/>
        <v>34518</v>
      </c>
      <c r="S15" s="31">
        <f t="shared" si="7"/>
        <v>34518</v>
      </c>
      <c r="T15" s="31">
        <f t="shared" si="7"/>
        <v>34518</v>
      </c>
      <c r="U15" s="31">
        <f t="shared" si="7"/>
        <v>34518</v>
      </c>
      <c r="V15" s="31">
        <f t="shared" si="7"/>
        <v>34518</v>
      </c>
      <c r="W15" s="31">
        <f t="shared" si="7"/>
        <v>34518</v>
      </c>
      <c r="X15" s="31">
        <f t="shared" si="7"/>
        <v>34518</v>
      </c>
      <c r="Y15" s="31">
        <f t="shared" si="7"/>
        <v>34518</v>
      </c>
      <c r="Z15" s="31">
        <f t="shared" si="7"/>
        <v>34518</v>
      </c>
      <c r="AB15" s="31">
        <f t="shared" si="0"/>
        <v>21102</v>
      </c>
      <c r="AC15" s="31">
        <f t="shared" si="1"/>
        <v>44402</v>
      </c>
      <c r="AD15" s="31">
        <f t="shared" si="2"/>
        <v>38149</v>
      </c>
      <c r="AE15" s="31">
        <f t="shared" si="3"/>
        <v>34518</v>
      </c>
      <c r="AF15" s="31">
        <f t="shared" si="4"/>
        <v>34518</v>
      </c>
      <c r="AG15" s="31">
        <f t="shared" si="5"/>
        <v>34518</v>
      </c>
    </row>
    <row r="16" spans="1:33" ht="15" customHeight="1" x14ac:dyDescent="0.45">
      <c r="B16" s="9" t="s">
        <v>228</v>
      </c>
      <c r="C16" s="47"/>
      <c r="D16" s="47"/>
      <c r="E16" s="47"/>
      <c r="F16" s="37">
        <v>5864</v>
      </c>
      <c r="G16" s="37">
        <v>5469</v>
      </c>
      <c r="H16" s="37">
        <v>5074</v>
      </c>
      <c r="I16" s="37">
        <v>4679</v>
      </c>
      <c r="J16" s="37">
        <v>4284</v>
      </c>
      <c r="K16" s="37">
        <v>3889</v>
      </c>
      <c r="L16" s="37">
        <v>3494</v>
      </c>
      <c r="M16" s="37">
        <v>3099</v>
      </c>
      <c r="N16" s="37">
        <v>2704</v>
      </c>
      <c r="O16" s="37">
        <v>2309</v>
      </c>
      <c r="P16" s="37">
        <v>1914</v>
      </c>
      <c r="Q16" s="31">
        <f>P16-Drivers!P34</f>
        <v>1519</v>
      </c>
      <c r="R16" s="31">
        <f>Q16-Drivers!Q34</f>
        <v>1124</v>
      </c>
      <c r="S16" s="31">
        <f>R16-Drivers!R34</f>
        <v>843</v>
      </c>
      <c r="T16" s="31">
        <f>S16-Drivers!S34</f>
        <v>562</v>
      </c>
      <c r="U16" s="31">
        <f>T16-Drivers!T34</f>
        <v>281</v>
      </c>
      <c r="V16" s="31">
        <f>U16-Drivers!U34</f>
        <v>0</v>
      </c>
      <c r="W16" s="31">
        <f>V16-Drivers!V34</f>
        <v>0</v>
      </c>
      <c r="X16" s="31">
        <f>W16-Drivers!W34</f>
        <v>0</v>
      </c>
      <c r="Y16" s="31">
        <f>X16-Drivers!X34</f>
        <v>0</v>
      </c>
      <c r="Z16" s="31">
        <f>Y16-Drivers!Y34</f>
        <v>0</v>
      </c>
      <c r="AB16" s="31">
        <f t="shared" si="0"/>
        <v>5864</v>
      </c>
      <c r="AC16" s="31">
        <f t="shared" si="1"/>
        <v>4284</v>
      </c>
      <c r="AD16" s="31">
        <f t="shared" si="2"/>
        <v>2704</v>
      </c>
      <c r="AE16" s="31">
        <f t="shared" si="3"/>
        <v>1124</v>
      </c>
      <c r="AF16" s="31">
        <f t="shared" si="4"/>
        <v>0</v>
      </c>
      <c r="AG16" s="31">
        <f t="shared" si="5"/>
        <v>0</v>
      </c>
    </row>
    <row r="17" spans="1:33" ht="15" customHeight="1" x14ac:dyDescent="0.45">
      <c r="B17" s="9" t="s">
        <v>229</v>
      </c>
      <c r="C17" s="47"/>
      <c r="D17" s="47"/>
      <c r="E17" s="47"/>
      <c r="F17" s="37">
        <v>29577</v>
      </c>
      <c r="G17" s="37">
        <v>29577</v>
      </c>
      <c r="H17" s="37">
        <v>29577</v>
      </c>
      <c r="I17" s="37">
        <v>29577</v>
      </c>
      <c r="J17" s="37">
        <v>29577</v>
      </c>
      <c r="K17" s="37">
        <v>29577</v>
      </c>
      <c r="L17" s="37">
        <v>29577</v>
      </c>
      <c r="M17" s="37">
        <v>29577</v>
      </c>
      <c r="N17" s="37">
        <v>29577</v>
      </c>
      <c r="O17" s="37">
        <v>29577</v>
      </c>
      <c r="P17" s="37">
        <v>29577</v>
      </c>
      <c r="Q17" s="31">
        <f t="shared" ref="Q17:Z17" si="8">P17</f>
        <v>29577</v>
      </c>
      <c r="R17" s="31">
        <f t="shared" si="8"/>
        <v>29577</v>
      </c>
      <c r="S17" s="31">
        <f t="shared" si="8"/>
        <v>29577</v>
      </c>
      <c r="T17" s="31">
        <f t="shared" si="8"/>
        <v>29577</v>
      </c>
      <c r="U17" s="31">
        <f t="shared" si="8"/>
        <v>29577</v>
      </c>
      <c r="V17" s="31">
        <f t="shared" si="8"/>
        <v>29577</v>
      </c>
      <c r="W17" s="31">
        <f t="shared" si="8"/>
        <v>29577</v>
      </c>
      <c r="X17" s="31">
        <f t="shared" si="8"/>
        <v>29577</v>
      </c>
      <c r="Y17" s="31">
        <f t="shared" si="8"/>
        <v>29577</v>
      </c>
      <c r="Z17" s="31">
        <f t="shared" si="8"/>
        <v>29577</v>
      </c>
      <c r="AB17" s="31">
        <f t="shared" si="0"/>
        <v>29577</v>
      </c>
      <c r="AC17" s="31">
        <f t="shared" si="1"/>
        <v>29577</v>
      </c>
      <c r="AD17" s="31">
        <f t="shared" si="2"/>
        <v>29577</v>
      </c>
      <c r="AE17" s="31">
        <f t="shared" si="3"/>
        <v>29577</v>
      </c>
      <c r="AF17" s="31">
        <f t="shared" si="4"/>
        <v>29577</v>
      </c>
      <c r="AG17" s="31">
        <f t="shared" si="5"/>
        <v>29577</v>
      </c>
    </row>
    <row r="18" spans="1:33" ht="15" customHeight="1" x14ac:dyDescent="0.45">
      <c r="B18" s="9" t="s">
        <v>230</v>
      </c>
      <c r="C18" s="47"/>
      <c r="D18" s="47"/>
      <c r="E18" s="47"/>
      <c r="F18" s="37">
        <v>13880</v>
      </c>
      <c r="G18" s="37">
        <v>18547</v>
      </c>
      <c r="H18" s="37">
        <v>22612</v>
      </c>
      <c r="I18" s="37">
        <v>24711</v>
      </c>
      <c r="J18" s="37">
        <v>24864</v>
      </c>
      <c r="K18" s="37">
        <v>29619</v>
      </c>
      <c r="L18" s="37">
        <v>33889</v>
      </c>
      <c r="M18" s="37">
        <v>28269</v>
      </c>
      <c r="N18" s="37">
        <v>30986</v>
      </c>
      <c r="O18" s="37">
        <v>32409</v>
      </c>
      <c r="P18" s="37">
        <v>32128</v>
      </c>
      <c r="Q18" s="31">
        <f t="shared" ref="Q18:Z18" si="9">P18</f>
        <v>32128</v>
      </c>
      <c r="R18" s="31">
        <f t="shared" si="9"/>
        <v>32128</v>
      </c>
      <c r="S18" s="31">
        <f t="shared" si="9"/>
        <v>32128</v>
      </c>
      <c r="T18" s="31">
        <f t="shared" si="9"/>
        <v>32128</v>
      </c>
      <c r="U18" s="31">
        <f t="shared" si="9"/>
        <v>32128</v>
      </c>
      <c r="V18" s="31">
        <f t="shared" si="9"/>
        <v>32128</v>
      </c>
      <c r="W18" s="31">
        <f t="shared" si="9"/>
        <v>32128</v>
      </c>
      <c r="X18" s="31">
        <f t="shared" si="9"/>
        <v>32128</v>
      </c>
      <c r="Y18" s="31">
        <f t="shared" si="9"/>
        <v>32128</v>
      </c>
      <c r="Z18" s="31">
        <f t="shared" si="9"/>
        <v>32128</v>
      </c>
      <c r="AB18" s="31">
        <f t="shared" si="0"/>
        <v>13880</v>
      </c>
      <c r="AC18" s="31">
        <f t="shared" si="1"/>
        <v>24864</v>
      </c>
      <c r="AD18" s="31">
        <f t="shared" si="2"/>
        <v>30986</v>
      </c>
      <c r="AE18" s="31">
        <f t="shared" si="3"/>
        <v>32128</v>
      </c>
      <c r="AF18" s="31">
        <f t="shared" si="4"/>
        <v>32128</v>
      </c>
      <c r="AG18" s="31">
        <f t="shared" si="5"/>
        <v>32128</v>
      </c>
    </row>
    <row r="19" spans="1:33" ht="15" customHeight="1" x14ac:dyDescent="0.45">
      <c r="B19" s="9" t="s">
        <v>231</v>
      </c>
      <c r="C19" s="47"/>
      <c r="D19" s="47"/>
      <c r="E19" s="47"/>
      <c r="F19" s="37">
        <v>2136</v>
      </c>
      <c r="G19" s="37">
        <v>3669</v>
      </c>
      <c r="H19" s="37">
        <v>1817</v>
      </c>
      <c r="I19" s="37">
        <v>2683</v>
      </c>
      <c r="J19" s="37">
        <v>2324</v>
      </c>
      <c r="K19" s="37">
        <v>3289</v>
      </c>
      <c r="L19" s="37">
        <v>1826</v>
      </c>
      <c r="M19" s="37">
        <v>3408</v>
      </c>
      <c r="N19" s="37">
        <v>3475</v>
      </c>
      <c r="O19" s="37">
        <v>4563</v>
      </c>
      <c r="P19" s="37">
        <v>5511</v>
      </c>
      <c r="Q19" s="31">
        <f t="shared" ref="Q19:Z19" si="10">P19</f>
        <v>5511</v>
      </c>
      <c r="R19" s="31">
        <f t="shared" si="10"/>
        <v>5511</v>
      </c>
      <c r="S19" s="31">
        <f t="shared" si="10"/>
        <v>5511</v>
      </c>
      <c r="T19" s="31">
        <f t="shared" si="10"/>
        <v>5511</v>
      </c>
      <c r="U19" s="31">
        <f t="shared" si="10"/>
        <v>5511</v>
      </c>
      <c r="V19" s="31">
        <f t="shared" si="10"/>
        <v>5511</v>
      </c>
      <c r="W19" s="31">
        <f t="shared" si="10"/>
        <v>5511</v>
      </c>
      <c r="X19" s="31">
        <f t="shared" si="10"/>
        <v>5511</v>
      </c>
      <c r="Y19" s="31">
        <f t="shared" si="10"/>
        <v>5511</v>
      </c>
      <c r="Z19" s="31">
        <f t="shared" si="10"/>
        <v>5511</v>
      </c>
      <c r="AB19" s="31">
        <f t="shared" si="0"/>
        <v>2136</v>
      </c>
      <c r="AC19" s="31">
        <f t="shared" si="1"/>
        <v>2324</v>
      </c>
      <c r="AD19" s="31">
        <f t="shared" si="2"/>
        <v>3475</v>
      </c>
      <c r="AE19" s="31">
        <f t="shared" si="3"/>
        <v>5511</v>
      </c>
      <c r="AF19" s="31">
        <f t="shared" si="4"/>
        <v>5511</v>
      </c>
      <c r="AG19" s="31">
        <f t="shared" si="5"/>
        <v>5511</v>
      </c>
    </row>
    <row r="20" spans="1:33" ht="15" customHeight="1" x14ac:dyDescent="0.45">
      <c r="B20" s="38" t="s">
        <v>232</v>
      </c>
      <c r="C20" s="48"/>
      <c r="D20" s="48"/>
      <c r="E20" s="48"/>
      <c r="F20" s="39">
        <f t="shared" ref="F20:Z20" si="11">F13+SUM(F14:F19)</f>
        <v>695243</v>
      </c>
      <c r="G20" s="39">
        <f t="shared" si="11"/>
        <v>626190</v>
      </c>
      <c r="H20" s="39">
        <f t="shared" si="11"/>
        <v>673103</v>
      </c>
      <c r="I20" s="39">
        <f t="shared" si="11"/>
        <v>689144</v>
      </c>
      <c r="J20" s="39">
        <f t="shared" si="11"/>
        <v>739519</v>
      </c>
      <c r="K20" s="39">
        <f t="shared" si="11"/>
        <v>668602</v>
      </c>
      <c r="L20" s="39">
        <f t="shared" si="11"/>
        <v>675220</v>
      </c>
      <c r="M20" s="39">
        <f t="shared" si="11"/>
        <v>676188</v>
      </c>
      <c r="N20" s="39">
        <f t="shared" si="11"/>
        <v>680195</v>
      </c>
      <c r="O20" s="39">
        <f t="shared" si="11"/>
        <v>659441</v>
      </c>
      <c r="P20" s="39">
        <f t="shared" si="11"/>
        <v>700042</v>
      </c>
      <c r="Q20" s="39">
        <f t="shared" si="11"/>
        <v>783611.07784001599</v>
      </c>
      <c r="R20" s="39">
        <f t="shared" si="11"/>
        <v>762503.39076977351</v>
      </c>
      <c r="S20" s="39">
        <f t="shared" si="11"/>
        <v>861681.52730619442</v>
      </c>
      <c r="T20" s="39">
        <f t="shared" si="11"/>
        <v>814556.7754177145</v>
      </c>
      <c r="U20" s="39">
        <f t="shared" si="11"/>
        <v>951127.11290836846</v>
      </c>
      <c r="V20" s="39">
        <f t="shared" si="11"/>
        <v>935420.71414643934</v>
      </c>
      <c r="W20" s="39">
        <f t="shared" si="11"/>
        <v>1071956.2059892374</v>
      </c>
      <c r="X20" s="39">
        <f t="shared" si="11"/>
        <v>1023548.7410540363</v>
      </c>
      <c r="Y20" s="39">
        <f t="shared" si="11"/>
        <v>1204249.4223694715</v>
      </c>
      <c r="Z20" s="39">
        <f t="shared" si="11"/>
        <v>1195689.4714257938</v>
      </c>
      <c r="AB20" s="39">
        <f t="shared" si="0"/>
        <v>695243</v>
      </c>
      <c r="AC20" s="39">
        <f t="shared" si="1"/>
        <v>739519</v>
      </c>
      <c r="AD20" s="39">
        <f t="shared" si="2"/>
        <v>680195</v>
      </c>
      <c r="AE20" s="39">
        <f t="shared" si="3"/>
        <v>762503.39076977351</v>
      </c>
      <c r="AF20" s="39">
        <f t="shared" si="4"/>
        <v>935420.71414643934</v>
      </c>
      <c r="AG20" s="39">
        <f t="shared" si="5"/>
        <v>1195689.4714257938</v>
      </c>
    </row>
    <row r="22" spans="1:33" ht="15" customHeight="1" x14ac:dyDescent="0.45">
      <c r="A22" t="s">
        <v>597</v>
      </c>
      <c r="B22" s="16" t="s">
        <v>233</v>
      </c>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row>
    <row r="23" spans="1:33" ht="15" customHeight="1" x14ac:dyDescent="0.45">
      <c r="B23" s="9" t="s">
        <v>104</v>
      </c>
      <c r="C23" s="47"/>
      <c r="D23" s="47"/>
      <c r="E23" s="47"/>
      <c r="F23" s="37">
        <v>347673</v>
      </c>
      <c r="G23" s="37">
        <v>289176</v>
      </c>
      <c r="H23" s="37">
        <v>340793</v>
      </c>
      <c r="I23" s="37">
        <v>360696</v>
      </c>
      <c r="J23" s="37">
        <v>386602</v>
      </c>
      <c r="K23" s="37">
        <v>323611</v>
      </c>
      <c r="L23" s="37">
        <v>361369</v>
      </c>
      <c r="M23" s="37">
        <v>356469</v>
      </c>
      <c r="N23" s="37">
        <v>343619</v>
      </c>
      <c r="O23" s="37">
        <v>342644</v>
      </c>
      <c r="P23" s="37">
        <v>390046</v>
      </c>
      <c r="Q23" s="31">
        <f>Drivers!P26/Q$40*'Income Statement'!Q9</f>
        <v>466901.57308751793</v>
      </c>
      <c r="R23" s="31">
        <f>Drivers!Q26/R$40*'Income Statement'!R9</f>
        <v>430553.22551538516</v>
      </c>
      <c r="S23" s="31">
        <f>Drivers!R26/S$40*'Income Statement'!S9</f>
        <v>527997.6440816375</v>
      </c>
      <c r="T23" s="31">
        <f>Drivers!S26/T$40*'Income Statement'!T9</f>
        <v>467808.56195400248</v>
      </c>
      <c r="U23" s="31">
        <f>Drivers!T26/U$40*'Income Statement'!U9</f>
        <v>583717.51699713524</v>
      </c>
      <c r="V23" s="31">
        <f>Drivers!U26/V$40*'Income Statement'!V9</f>
        <v>537197.81507678621</v>
      </c>
      <c r="W23" s="31">
        <f>Drivers!V26/W$40*'Income Statement'!W9</f>
        <v>657486.7198548062</v>
      </c>
      <c r="X23" s="31">
        <f>Drivers!W26/X$40*'Income Statement'!X9</f>
        <v>581375.13878759579</v>
      </c>
      <c r="Y23" s="31">
        <f>Drivers!X26/Y$40*'Income Statement'!Y9</f>
        <v>724005.44154177094</v>
      </c>
      <c r="Z23" s="31">
        <f>Drivers!Y26/Z$40*'Income Statement'!Z9</f>
        <v>665014.33712563745</v>
      </c>
      <c r="AB23" s="31">
        <f t="shared" ref="AB23:AB37" si="12">F23</f>
        <v>347673</v>
      </c>
      <c r="AC23" s="31">
        <f t="shared" ref="AC23:AC37" si="13">J23</f>
        <v>386602</v>
      </c>
      <c r="AD23" s="31">
        <f t="shared" ref="AD23:AD37" si="14">N23</f>
        <v>343619</v>
      </c>
      <c r="AE23" s="31">
        <f t="shared" ref="AE23:AE37" si="15">R23</f>
        <v>430553.22551538516</v>
      </c>
      <c r="AF23" s="31">
        <f t="shared" ref="AF23:AF37" si="16">V23</f>
        <v>537197.81507678621</v>
      </c>
      <c r="AG23" s="31">
        <f t="shared" ref="AG23:AG37" si="17">Z23</f>
        <v>665014.33712563745</v>
      </c>
    </row>
    <row r="24" spans="1:33" ht="15" customHeight="1" x14ac:dyDescent="0.45">
      <c r="B24" s="9" t="s">
        <v>234</v>
      </c>
      <c r="C24" s="47"/>
      <c r="D24" s="47"/>
      <c r="E24" s="47"/>
      <c r="F24" s="37">
        <v>25684</v>
      </c>
      <c r="G24" s="37">
        <v>19763</v>
      </c>
      <c r="H24" s="37">
        <v>22550</v>
      </c>
      <c r="I24" s="37">
        <v>25697</v>
      </c>
      <c r="J24" s="37">
        <v>26365</v>
      </c>
      <c r="K24" s="37">
        <v>20309</v>
      </c>
      <c r="L24" s="37">
        <v>20983</v>
      </c>
      <c r="M24" s="37">
        <v>25617</v>
      </c>
      <c r="N24" s="37">
        <v>25278</v>
      </c>
      <c r="O24" s="37">
        <v>18616</v>
      </c>
      <c r="P24" s="37">
        <v>24230</v>
      </c>
      <c r="Q24" s="31">
        <f>Drivers!P28/Q$40*'Income Statement'!Q17</f>
        <v>26459.440000000002</v>
      </c>
      <c r="R24" s="31">
        <f>Drivers!Q28/R$40*'Income Statement'!R17</f>
        <v>26300.142000000003</v>
      </c>
      <c r="S24" s="31">
        <f>Drivers!R28/S$40*'Income Statement'!S17</f>
        <v>19344.952799999999</v>
      </c>
      <c r="T24" s="31">
        <f>Drivers!S28/T$40*'Income Statement'!T17</f>
        <v>24924.053846153845</v>
      </c>
      <c r="U24" s="31">
        <f>Drivers!T28/U$40*'Income Statement'!U17</f>
        <v>27468.2952</v>
      </c>
      <c r="V24" s="31">
        <f>Drivers!U28/V$40*'Income Statement'!V17</f>
        <v>27316.367539999999</v>
      </c>
      <c r="W24" s="31">
        <f>Drivers!V28/W$40*'Income Statement'!W17</f>
        <v>20113.667687032968</v>
      </c>
      <c r="X24" s="31">
        <f>Drivers!W28/X$40*'Income Statement'!X17</f>
        <v>25877.631358681319</v>
      </c>
      <c r="Y24" s="31">
        <f>Drivers!X28/Y$40*'Income Statement'!Y17</f>
        <v>28516.018936</v>
      </c>
      <c r="Z24" s="31">
        <f>Drivers!Y28/Z$40*'Income Statement'!Z17</f>
        <v>28372.168697400004</v>
      </c>
      <c r="AB24" s="31">
        <f t="shared" si="12"/>
        <v>25684</v>
      </c>
      <c r="AC24" s="31">
        <f t="shared" si="13"/>
        <v>26365</v>
      </c>
      <c r="AD24" s="31">
        <f t="shared" si="14"/>
        <v>25278</v>
      </c>
      <c r="AE24" s="31">
        <f t="shared" si="15"/>
        <v>26300.142000000003</v>
      </c>
      <c r="AF24" s="31">
        <f t="shared" si="16"/>
        <v>27316.367539999999</v>
      </c>
      <c r="AG24" s="31">
        <f t="shared" si="17"/>
        <v>28372.168697400004</v>
      </c>
    </row>
    <row r="25" spans="1:33" ht="15" customHeight="1" x14ac:dyDescent="0.45">
      <c r="B25" s="9" t="s">
        <v>235</v>
      </c>
      <c r="C25" s="47"/>
      <c r="D25" s="47"/>
      <c r="E25" s="47"/>
      <c r="F25" s="37">
        <v>6236</v>
      </c>
      <c r="G25" s="37">
        <v>6841</v>
      </c>
      <c r="H25" s="37">
        <v>6780</v>
      </c>
      <c r="I25" s="37">
        <v>6376</v>
      </c>
      <c r="J25" s="37">
        <v>5843</v>
      </c>
      <c r="K25" s="37">
        <v>6241</v>
      </c>
      <c r="L25" s="37">
        <v>6391</v>
      </c>
      <c r="M25" s="37">
        <v>6333</v>
      </c>
      <c r="N25" s="37">
        <v>6953</v>
      </c>
      <c r="O25" s="37">
        <v>7601</v>
      </c>
      <c r="P25" s="37">
        <v>7842</v>
      </c>
      <c r="Q25" s="31">
        <f t="shared" ref="Q25:Z25" si="18">P25</f>
        <v>7842</v>
      </c>
      <c r="R25" s="31">
        <f t="shared" si="18"/>
        <v>7842</v>
      </c>
      <c r="S25" s="31">
        <f t="shared" si="18"/>
        <v>7842</v>
      </c>
      <c r="T25" s="31">
        <f t="shared" si="18"/>
        <v>7842</v>
      </c>
      <c r="U25" s="31">
        <f t="shared" si="18"/>
        <v>7842</v>
      </c>
      <c r="V25" s="31">
        <f t="shared" si="18"/>
        <v>7842</v>
      </c>
      <c r="W25" s="31">
        <f t="shared" si="18"/>
        <v>7842</v>
      </c>
      <c r="X25" s="31">
        <f t="shared" si="18"/>
        <v>7842</v>
      </c>
      <c r="Y25" s="31">
        <f t="shared" si="18"/>
        <v>7842</v>
      </c>
      <c r="Z25" s="31">
        <f t="shared" si="18"/>
        <v>7842</v>
      </c>
      <c r="AB25" s="31">
        <f t="shared" si="12"/>
        <v>6236</v>
      </c>
      <c r="AC25" s="31">
        <f t="shared" si="13"/>
        <v>5843</v>
      </c>
      <c r="AD25" s="31">
        <f t="shared" si="14"/>
        <v>6953</v>
      </c>
      <c r="AE25" s="31">
        <f t="shared" si="15"/>
        <v>7842</v>
      </c>
      <c r="AF25" s="31">
        <f t="shared" si="16"/>
        <v>7842</v>
      </c>
      <c r="AG25" s="31">
        <f t="shared" si="17"/>
        <v>7842</v>
      </c>
    </row>
    <row r="26" spans="1:33" ht="15" customHeight="1" x14ac:dyDescent="0.45">
      <c r="B26" s="38" t="s">
        <v>236</v>
      </c>
      <c r="C26" s="48"/>
      <c r="D26" s="48"/>
      <c r="E26" s="48"/>
      <c r="F26" s="39">
        <f t="shared" ref="F26:Z26" si="19">SUM(F23:F25)</f>
        <v>379593</v>
      </c>
      <c r="G26" s="39">
        <f t="shared" si="19"/>
        <v>315780</v>
      </c>
      <c r="H26" s="39">
        <f t="shared" si="19"/>
        <v>370123</v>
      </c>
      <c r="I26" s="39">
        <f t="shared" si="19"/>
        <v>392769</v>
      </c>
      <c r="J26" s="39">
        <f t="shared" si="19"/>
        <v>418810</v>
      </c>
      <c r="K26" s="39">
        <f t="shared" si="19"/>
        <v>350161</v>
      </c>
      <c r="L26" s="39">
        <f t="shared" si="19"/>
        <v>388743</v>
      </c>
      <c r="M26" s="39">
        <f t="shared" si="19"/>
        <v>388419</v>
      </c>
      <c r="N26" s="39">
        <f t="shared" si="19"/>
        <v>375850</v>
      </c>
      <c r="O26" s="39">
        <f t="shared" si="19"/>
        <v>368861</v>
      </c>
      <c r="P26" s="39">
        <f t="shared" si="19"/>
        <v>422118</v>
      </c>
      <c r="Q26" s="39">
        <f t="shared" si="19"/>
        <v>501203.01308751793</v>
      </c>
      <c r="R26" s="39">
        <f t="shared" si="19"/>
        <v>464695.36751538515</v>
      </c>
      <c r="S26" s="39">
        <f t="shared" si="19"/>
        <v>555184.59688163747</v>
      </c>
      <c r="T26" s="39">
        <f t="shared" si="19"/>
        <v>500574.61580015632</v>
      </c>
      <c r="U26" s="39">
        <f t="shared" si="19"/>
        <v>619027.8121971353</v>
      </c>
      <c r="V26" s="39">
        <f t="shared" si="19"/>
        <v>572356.18261678622</v>
      </c>
      <c r="W26" s="39">
        <f t="shared" si="19"/>
        <v>685442.38754183915</v>
      </c>
      <c r="X26" s="39">
        <f t="shared" si="19"/>
        <v>615094.77014627715</v>
      </c>
      <c r="Y26" s="39">
        <f t="shared" si="19"/>
        <v>760363.46047777089</v>
      </c>
      <c r="Z26" s="39">
        <f t="shared" si="19"/>
        <v>701228.50582303747</v>
      </c>
      <c r="AB26" s="39">
        <f t="shared" si="12"/>
        <v>379593</v>
      </c>
      <c r="AC26" s="39">
        <f t="shared" si="13"/>
        <v>418810</v>
      </c>
      <c r="AD26" s="39">
        <f t="shared" si="14"/>
        <v>375850</v>
      </c>
      <c r="AE26" s="39">
        <f t="shared" si="15"/>
        <v>464695.36751538515</v>
      </c>
      <c r="AF26" s="39">
        <f t="shared" si="16"/>
        <v>572356.18261678622</v>
      </c>
      <c r="AG26" s="39">
        <f t="shared" si="17"/>
        <v>701228.50582303747</v>
      </c>
    </row>
    <row r="27" spans="1:33" ht="15" customHeight="1" x14ac:dyDescent="0.45">
      <c r="B27" s="9" t="s">
        <v>237</v>
      </c>
      <c r="C27" s="47"/>
      <c r="D27" s="47"/>
      <c r="E27" s="47"/>
      <c r="F27" s="37">
        <v>15607</v>
      </c>
      <c r="G27" s="37">
        <v>17613</v>
      </c>
      <c r="H27" s="37">
        <v>16199</v>
      </c>
      <c r="I27" s="37">
        <v>28978</v>
      </c>
      <c r="J27" s="37">
        <v>39538</v>
      </c>
      <c r="K27" s="37">
        <v>38649</v>
      </c>
      <c r="L27" s="37">
        <v>38857</v>
      </c>
      <c r="M27" s="37">
        <v>38255</v>
      </c>
      <c r="N27" s="37">
        <v>36910</v>
      </c>
      <c r="O27" s="37">
        <v>34779</v>
      </c>
      <c r="P27" s="37">
        <v>32795</v>
      </c>
      <c r="Q27" s="31">
        <f t="shared" ref="Q27:Z27" si="20">P27</f>
        <v>32795</v>
      </c>
      <c r="R27" s="31">
        <f t="shared" si="20"/>
        <v>32795</v>
      </c>
      <c r="S27" s="31">
        <f t="shared" si="20"/>
        <v>32795</v>
      </c>
      <c r="T27" s="31">
        <f t="shared" si="20"/>
        <v>32795</v>
      </c>
      <c r="U27" s="31">
        <f t="shared" si="20"/>
        <v>32795</v>
      </c>
      <c r="V27" s="31">
        <f t="shared" si="20"/>
        <v>32795</v>
      </c>
      <c r="W27" s="31">
        <f t="shared" si="20"/>
        <v>32795</v>
      </c>
      <c r="X27" s="31">
        <f t="shared" si="20"/>
        <v>32795</v>
      </c>
      <c r="Y27" s="31">
        <f t="shared" si="20"/>
        <v>32795</v>
      </c>
      <c r="Z27" s="31">
        <f t="shared" si="20"/>
        <v>32795</v>
      </c>
      <c r="AB27" s="31">
        <f t="shared" si="12"/>
        <v>15607</v>
      </c>
      <c r="AC27" s="31">
        <f t="shared" si="13"/>
        <v>39538</v>
      </c>
      <c r="AD27" s="31">
        <f t="shared" si="14"/>
        <v>36910</v>
      </c>
      <c r="AE27" s="31">
        <f t="shared" si="15"/>
        <v>32795</v>
      </c>
      <c r="AF27" s="31">
        <f t="shared" si="16"/>
        <v>32795</v>
      </c>
      <c r="AG27" s="31">
        <f t="shared" si="17"/>
        <v>32795</v>
      </c>
    </row>
    <row r="28" spans="1:33" ht="15" customHeight="1" x14ac:dyDescent="0.45">
      <c r="B28" s="9" t="s">
        <v>238</v>
      </c>
      <c r="C28" s="47"/>
      <c r="D28" s="47"/>
      <c r="E28" s="47"/>
      <c r="F28" s="37">
        <v>3844</v>
      </c>
      <c r="G28" s="37">
        <v>4067</v>
      </c>
      <c r="H28" s="37">
        <v>4052</v>
      </c>
      <c r="I28" s="37">
        <v>4196</v>
      </c>
      <c r="J28" s="37">
        <v>3908</v>
      </c>
      <c r="K28" s="37">
        <v>4191</v>
      </c>
      <c r="L28" s="37">
        <v>4336</v>
      </c>
      <c r="M28" s="37">
        <v>4454</v>
      </c>
      <c r="N28" s="37">
        <v>4846</v>
      </c>
      <c r="O28" s="37">
        <v>4801</v>
      </c>
      <c r="P28" s="37">
        <v>6401</v>
      </c>
      <c r="Q28" s="31">
        <f t="shared" ref="Q28:Z28" si="21">P28</f>
        <v>6401</v>
      </c>
      <c r="R28" s="31">
        <f t="shared" si="21"/>
        <v>6401</v>
      </c>
      <c r="S28" s="31">
        <f t="shared" si="21"/>
        <v>6401</v>
      </c>
      <c r="T28" s="31">
        <f t="shared" si="21"/>
        <v>6401</v>
      </c>
      <c r="U28" s="31">
        <f t="shared" si="21"/>
        <v>6401</v>
      </c>
      <c r="V28" s="31">
        <f t="shared" si="21"/>
        <v>6401</v>
      </c>
      <c r="W28" s="31">
        <f t="shared" si="21"/>
        <v>6401</v>
      </c>
      <c r="X28" s="31">
        <f t="shared" si="21"/>
        <v>6401</v>
      </c>
      <c r="Y28" s="31">
        <f t="shared" si="21"/>
        <v>6401</v>
      </c>
      <c r="Z28" s="31">
        <f t="shared" si="21"/>
        <v>6401</v>
      </c>
      <c r="AB28" s="31">
        <f t="shared" si="12"/>
        <v>3844</v>
      </c>
      <c r="AC28" s="31">
        <f t="shared" si="13"/>
        <v>3908</v>
      </c>
      <c r="AD28" s="31">
        <f t="shared" si="14"/>
        <v>4846</v>
      </c>
      <c r="AE28" s="31">
        <f t="shared" si="15"/>
        <v>6401</v>
      </c>
      <c r="AF28" s="31">
        <f t="shared" si="16"/>
        <v>6401</v>
      </c>
      <c r="AG28" s="31">
        <f t="shared" si="17"/>
        <v>6401</v>
      </c>
    </row>
    <row r="29" spans="1:33" ht="15" customHeight="1" x14ac:dyDescent="0.45">
      <c r="B29" s="38" t="s">
        <v>239</v>
      </c>
      <c r="C29" s="48"/>
      <c r="D29" s="48"/>
      <c r="E29" s="48"/>
      <c r="F29" s="39">
        <f t="shared" ref="F29:Z29" si="22">F26+F27+F28</f>
        <v>399044</v>
      </c>
      <c r="G29" s="39">
        <f t="shared" si="22"/>
        <v>337460</v>
      </c>
      <c r="H29" s="39">
        <f t="shared" si="22"/>
        <v>390374</v>
      </c>
      <c r="I29" s="39">
        <f t="shared" si="22"/>
        <v>425943</v>
      </c>
      <c r="J29" s="39">
        <f t="shared" si="22"/>
        <v>462256</v>
      </c>
      <c r="K29" s="39">
        <f t="shared" si="22"/>
        <v>393001</v>
      </c>
      <c r="L29" s="39">
        <f t="shared" si="22"/>
        <v>431936</v>
      </c>
      <c r="M29" s="39">
        <f t="shared" si="22"/>
        <v>431128</v>
      </c>
      <c r="N29" s="39">
        <f t="shared" si="22"/>
        <v>417606</v>
      </c>
      <c r="O29" s="39">
        <f t="shared" si="22"/>
        <v>408441</v>
      </c>
      <c r="P29" s="39">
        <f t="shared" si="22"/>
        <v>461314</v>
      </c>
      <c r="Q29" s="39">
        <f t="shared" si="22"/>
        <v>540399.01308751793</v>
      </c>
      <c r="R29" s="39">
        <f t="shared" si="22"/>
        <v>503891.36751538515</v>
      </c>
      <c r="S29" s="39">
        <f t="shared" si="22"/>
        <v>594380.59688163747</v>
      </c>
      <c r="T29" s="39">
        <f t="shared" si="22"/>
        <v>539770.61580015626</v>
      </c>
      <c r="U29" s="39">
        <f t="shared" si="22"/>
        <v>658223.8121971353</v>
      </c>
      <c r="V29" s="39">
        <f t="shared" si="22"/>
        <v>611552.18261678622</v>
      </c>
      <c r="W29" s="39">
        <f t="shared" si="22"/>
        <v>724638.38754183915</v>
      </c>
      <c r="X29" s="39">
        <f t="shared" si="22"/>
        <v>654290.77014627715</v>
      </c>
      <c r="Y29" s="39">
        <f t="shared" si="22"/>
        <v>799559.46047777089</v>
      </c>
      <c r="Z29" s="39">
        <f t="shared" si="22"/>
        <v>740424.50582303747</v>
      </c>
      <c r="AB29" s="39">
        <f t="shared" si="12"/>
        <v>399044</v>
      </c>
      <c r="AC29" s="39">
        <f t="shared" si="13"/>
        <v>462256</v>
      </c>
      <c r="AD29" s="39">
        <f t="shared" si="14"/>
        <v>417606</v>
      </c>
      <c r="AE29" s="39">
        <f t="shared" si="15"/>
        <v>503891.36751538515</v>
      </c>
      <c r="AF29" s="39">
        <f t="shared" si="16"/>
        <v>611552.18261678622</v>
      </c>
      <c r="AG29" s="39">
        <f t="shared" si="17"/>
        <v>740424.50582303747</v>
      </c>
    </row>
    <row r="30" spans="1:33" ht="15" customHeight="1" x14ac:dyDescent="0.45">
      <c r="B30" s="9" t="s">
        <v>240</v>
      </c>
      <c r="C30" s="47"/>
      <c r="D30" s="47"/>
      <c r="E30" s="47"/>
      <c r="F30" s="37">
        <v>6</v>
      </c>
      <c r="G30" s="37">
        <v>6</v>
      </c>
      <c r="H30" s="37">
        <v>6</v>
      </c>
      <c r="I30" s="37">
        <v>6</v>
      </c>
      <c r="J30" s="37">
        <v>6</v>
      </c>
      <c r="K30" s="37">
        <v>6</v>
      </c>
      <c r="L30" s="37">
        <v>6</v>
      </c>
      <c r="M30" s="37">
        <v>6</v>
      </c>
      <c r="N30" s="37">
        <v>7</v>
      </c>
      <c r="O30" s="37">
        <v>7</v>
      </c>
      <c r="P30" s="37">
        <v>7</v>
      </c>
      <c r="Q30" s="31">
        <f t="shared" ref="Q30:Z30" si="23">P30</f>
        <v>7</v>
      </c>
      <c r="R30" s="31">
        <f t="shared" si="23"/>
        <v>7</v>
      </c>
      <c r="S30" s="31">
        <f t="shared" si="23"/>
        <v>7</v>
      </c>
      <c r="T30" s="31">
        <f t="shared" si="23"/>
        <v>7</v>
      </c>
      <c r="U30" s="31">
        <f t="shared" si="23"/>
        <v>7</v>
      </c>
      <c r="V30" s="31">
        <f t="shared" si="23"/>
        <v>7</v>
      </c>
      <c r="W30" s="31">
        <f t="shared" si="23"/>
        <v>7</v>
      </c>
      <c r="X30" s="31">
        <f t="shared" si="23"/>
        <v>7</v>
      </c>
      <c r="Y30" s="31">
        <f t="shared" si="23"/>
        <v>7</v>
      </c>
      <c r="Z30" s="31">
        <f t="shared" si="23"/>
        <v>7</v>
      </c>
      <c r="AB30" s="31">
        <f t="shared" si="12"/>
        <v>6</v>
      </c>
      <c r="AC30" s="31">
        <f t="shared" si="13"/>
        <v>6</v>
      </c>
      <c r="AD30" s="31">
        <f t="shared" si="14"/>
        <v>7</v>
      </c>
      <c r="AE30" s="31">
        <f t="shared" si="15"/>
        <v>7</v>
      </c>
      <c r="AF30" s="31">
        <f t="shared" si="16"/>
        <v>7</v>
      </c>
      <c r="AG30" s="31">
        <f t="shared" si="17"/>
        <v>7</v>
      </c>
    </row>
    <row r="31" spans="1:33" ht="15" customHeight="1" x14ac:dyDescent="0.45">
      <c r="B31" s="9" t="s">
        <v>241</v>
      </c>
      <c r="C31" s="47"/>
      <c r="D31" s="47"/>
      <c r="E31" s="47"/>
      <c r="F31" s="37">
        <v>-71103</v>
      </c>
      <c r="G31" s="37">
        <v>-86857</v>
      </c>
      <c r="H31" s="37">
        <v>-107097</v>
      </c>
      <c r="I31" s="37">
        <v>-136275</v>
      </c>
      <c r="J31" s="37">
        <v>-146796</v>
      </c>
      <c r="K31" s="37">
        <v>-150409</v>
      </c>
      <c r="L31" s="37">
        <v>-190687</v>
      </c>
      <c r="M31" s="37">
        <v>-193041</v>
      </c>
      <c r="N31" s="37">
        <v>-193471</v>
      </c>
      <c r="O31" s="37">
        <v>-202296</v>
      </c>
      <c r="P31" s="37">
        <v>-223977</v>
      </c>
      <c r="Q31" s="31">
        <f>P31+'Cash Flow'!P40</f>
        <v>-233977</v>
      </c>
      <c r="R31" s="31">
        <f>Q31+'Cash Flow'!Q40</f>
        <v>-243977</v>
      </c>
      <c r="S31" s="31">
        <f>R31+'Cash Flow'!R40</f>
        <v>-253977</v>
      </c>
      <c r="T31" s="31">
        <f>S31+'Cash Flow'!S40</f>
        <v>-263977</v>
      </c>
      <c r="U31" s="31">
        <f>T31+'Cash Flow'!T40</f>
        <v>-273977</v>
      </c>
      <c r="V31" s="31">
        <f>U31+'Cash Flow'!U40</f>
        <v>-283977</v>
      </c>
      <c r="W31" s="31">
        <f>V31+'Cash Flow'!V40</f>
        <v>-293977</v>
      </c>
      <c r="X31" s="31">
        <f>W31+'Cash Flow'!W40</f>
        <v>-303977</v>
      </c>
      <c r="Y31" s="31">
        <f>X31+'Cash Flow'!X40</f>
        <v>-313977</v>
      </c>
      <c r="Z31" s="31">
        <f>Y31+'Cash Flow'!Y40</f>
        <v>-323977</v>
      </c>
      <c r="AB31" s="31">
        <f t="shared" si="12"/>
        <v>-71103</v>
      </c>
      <c r="AC31" s="31">
        <f t="shared" si="13"/>
        <v>-146796</v>
      </c>
      <c r="AD31" s="31">
        <f t="shared" si="14"/>
        <v>-193471</v>
      </c>
      <c r="AE31" s="31">
        <f t="shared" si="15"/>
        <v>-243977</v>
      </c>
      <c r="AF31" s="31">
        <f t="shared" si="16"/>
        <v>-283977</v>
      </c>
      <c r="AG31" s="31">
        <f t="shared" si="17"/>
        <v>-323977</v>
      </c>
    </row>
    <row r="32" spans="1:33" ht="15" customHeight="1" x14ac:dyDescent="0.45">
      <c r="B32" s="9" t="s">
        <v>242</v>
      </c>
      <c r="C32" s="47"/>
      <c r="D32" s="47"/>
      <c r="E32" s="47"/>
      <c r="F32" s="37">
        <v>230419</v>
      </c>
      <c r="G32" s="37">
        <v>241179</v>
      </c>
      <c r="H32" s="37">
        <v>253455</v>
      </c>
      <c r="I32" s="37">
        <v>264013</v>
      </c>
      <c r="J32" s="37">
        <v>275304</v>
      </c>
      <c r="K32" s="37">
        <v>286471</v>
      </c>
      <c r="L32" s="37">
        <v>299113</v>
      </c>
      <c r="M32" s="37">
        <v>309789</v>
      </c>
      <c r="N32" s="37">
        <v>321062</v>
      </c>
      <c r="O32" s="37">
        <v>330962</v>
      </c>
      <c r="P32" s="37">
        <v>341643</v>
      </c>
      <c r="Q32" s="31">
        <f>P32+'Income Statement'!Q59+'Cash Flow'!P38+'Cash Flow'!P37</f>
        <v>352456.17532636697</v>
      </c>
      <c r="R32" s="31">
        <f>Q32+'Income Statement'!R59+'Cash Flow'!Q38+'Cash Flow'!Q37</f>
        <v>364467.54414672503</v>
      </c>
      <c r="S32" s="31">
        <f>R32+'Income Statement'!S59+'Cash Flow'!R38+'Cash Flow'!R37</f>
        <v>376051.0158543748</v>
      </c>
      <c r="T32" s="31">
        <f>S32+'Income Statement'!T59+'Cash Flow'!S38+'Cash Flow'!S37</f>
        <v>387388.24257658137</v>
      </c>
      <c r="U32" s="31">
        <f>T32+'Income Statement'!U59+'Cash Flow'!T38+'Cash Flow'!T37</f>
        <v>400656.61489643808</v>
      </c>
      <c r="V32" s="31">
        <f>U32+'Income Statement'!V59+'Cash Flow'!U38+'Cash Flow'!U37</f>
        <v>415395.41168333997</v>
      </c>
      <c r="W32" s="31">
        <f>V32+'Income Statement'!W59+'Cash Flow'!V38+'Cash Flow'!V37</f>
        <v>429574.11025311693</v>
      </c>
      <c r="X32" s="31">
        <f>W32+'Income Statement'!X59+'Cash Flow'!W38+'Cash Flow'!W37</f>
        <v>443420.83241484727</v>
      </c>
      <c r="Y32" s="31">
        <f>X32+'Income Statement'!Y59+'Cash Flow'!X38+'Cash Flow'!X37</f>
        <v>459637.72767632751</v>
      </c>
      <c r="Z32" s="31">
        <f>Y32+'Income Statement'!Z59+'Cash Flow'!Y38+'Cash Flow'!Y37</f>
        <v>477645.42313175194</v>
      </c>
      <c r="AB32" s="31">
        <f t="shared" si="12"/>
        <v>230419</v>
      </c>
      <c r="AC32" s="31">
        <f t="shared" si="13"/>
        <v>275304</v>
      </c>
      <c r="AD32" s="31">
        <f t="shared" si="14"/>
        <v>321062</v>
      </c>
      <c r="AE32" s="31">
        <f t="shared" si="15"/>
        <v>364467.54414672503</v>
      </c>
      <c r="AF32" s="31">
        <f t="shared" si="16"/>
        <v>415395.41168333997</v>
      </c>
      <c r="AG32" s="31">
        <f t="shared" si="17"/>
        <v>477645.42313175194</v>
      </c>
    </row>
    <row r="33" spans="1:33" ht="15" customHeight="1" x14ac:dyDescent="0.45">
      <c r="B33" s="9" t="s">
        <v>243</v>
      </c>
      <c r="C33" s="47"/>
      <c r="D33" s="47"/>
      <c r="E33" s="47"/>
      <c r="F33" s="37">
        <v>-4</v>
      </c>
      <c r="G33" s="37">
        <v>-25</v>
      </c>
      <c r="H33" s="37">
        <v>-33</v>
      </c>
      <c r="I33" s="37">
        <v>-29</v>
      </c>
      <c r="J33" s="37">
        <v>-636</v>
      </c>
      <c r="K33" s="37">
        <v>-366</v>
      </c>
      <c r="L33" s="37">
        <v>161</v>
      </c>
      <c r="M33" s="37">
        <v>67</v>
      </c>
      <c r="N33" s="37">
        <v>68</v>
      </c>
      <c r="O33" s="37">
        <v>-86</v>
      </c>
      <c r="P33" s="37">
        <v>-156</v>
      </c>
      <c r="Q33" s="31">
        <f t="shared" ref="Q33:Z33" si="24">P33</f>
        <v>-156</v>
      </c>
      <c r="R33" s="31">
        <f t="shared" si="24"/>
        <v>-156</v>
      </c>
      <c r="S33" s="31">
        <f t="shared" si="24"/>
        <v>-156</v>
      </c>
      <c r="T33" s="31">
        <f t="shared" si="24"/>
        <v>-156</v>
      </c>
      <c r="U33" s="31">
        <f t="shared" si="24"/>
        <v>-156</v>
      </c>
      <c r="V33" s="31">
        <f t="shared" si="24"/>
        <v>-156</v>
      </c>
      <c r="W33" s="31">
        <f t="shared" si="24"/>
        <v>-156</v>
      </c>
      <c r="X33" s="31">
        <f t="shared" si="24"/>
        <v>-156</v>
      </c>
      <c r="Y33" s="31">
        <f t="shared" si="24"/>
        <v>-156</v>
      </c>
      <c r="Z33" s="31">
        <f t="shared" si="24"/>
        <v>-156</v>
      </c>
      <c r="AB33" s="31">
        <f t="shared" si="12"/>
        <v>-4</v>
      </c>
      <c r="AC33" s="31">
        <f t="shared" si="13"/>
        <v>-636</v>
      </c>
      <c r="AD33" s="31">
        <f t="shared" si="14"/>
        <v>68</v>
      </c>
      <c r="AE33" s="31">
        <f t="shared" si="15"/>
        <v>-156</v>
      </c>
      <c r="AF33" s="31">
        <f t="shared" si="16"/>
        <v>-156</v>
      </c>
      <c r="AG33" s="31">
        <f t="shared" si="17"/>
        <v>-156</v>
      </c>
    </row>
    <row r="34" spans="1:33" ht="15" customHeight="1" x14ac:dyDescent="0.45">
      <c r="B34" s="9" t="s">
        <v>244</v>
      </c>
      <c r="C34" s="47"/>
      <c r="D34" s="47"/>
      <c r="E34" s="47"/>
      <c r="F34" s="37">
        <v>136881</v>
      </c>
      <c r="G34" s="37">
        <v>134427</v>
      </c>
      <c r="H34" s="37">
        <v>136398</v>
      </c>
      <c r="I34" s="37">
        <v>135486</v>
      </c>
      <c r="J34" s="37">
        <v>149385</v>
      </c>
      <c r="K34" s="37">
        <v>139899</v>
      </c>
      <c r="L34" s="37">
        <v>134691</v>
      </c>
      <c r="M34" s="37">
        <v>128239</v>
      </c>
      <c r="N34" s="37">
        <v>134923</v>
      </c>
      <c r="O34" s="37">
        <v>122413</v>
      </c>
      <c r="P34" s="37">
        <v>121211</v>
      </c>
      <c r="Q34" s="31">
        <f>P34+'Income Statement'!Q27</f>
        <v>124881.88942613111</v>
      </c>
      <c r="R34" s="31">
        <f>Q34+'Income Statement'!R27</f>
        <v>138270.4791076633</v>
      </c>
      <c r="S34" s="31">
        <f>R34+'Income Statement'!S27</f>
        <v>145375.91457018221</v>
      </c>
      <c r="T34" s="31">
        <f>S34+'Income Statement'!T27</f>
        <v>151523.9170409769</v>
      </c>
      <c r="U34" s="31">
        <f>T34+'Income Statement'!U27</f>
        <v>166372.68581479517</v>
      </c>
      <c r="V34" s="31">
        <f>U34+'Income Statement'!V27</f>
        <v>192599.1198463132</v>
      </c>
      <c r="W34" s="31">
        <f>V34+'Income Statement'!W27</f>
        <v>211869.70819428138</v>
      </c>
      <c r="X34" s="31">
        <f>W34+'Income Statement'!X27</f>
        <v>229963.13849291208</v>
      </c>
      <c r="Y34" s="31">
        <f>X34+'Income Statement'!Y27</f>
        <v>259178.23421537335</v>
      </c>
      <c r="Z34" s="31">
        <f>Y34+'Income Statement'!Z27</f>
        <v>301745.54247100453</v>
      </c>
      <c r="AB34" s="31">
        <f t="shared" si="12"/>
        <v>136881</v>
      </c>
      <c r="AC34" s="31">
        <f t="shared" si="13"/>
        <v>149385</v>
      </c>
      <c r="AD34" s="31">
        <f t="shared" si="14"/>
        <v>134923</v>
      </c>
      <c r="AE34" s="31">
        <f t="shared" si="15"/>
        <v>138270.4791076633</v>
      </c>
      <c r="AF34" s="31">
        <f t="shared" si="16"/>
        <v>192599.1198463132</v>
      </c>
      <c r="AG34" s="31">
        <f t="shared" si="17"/>
        <v>301745.54247100453</v>
      </c>
    </row>
    <row r="35" spans="1:33" ht="15" customHeight="1" x14ac:dyDescent="0.45">
      <c r="B35" s="38" t="s">
        <v>245</v>
      </c>
      <c r="C35" s="48"/>
      <c r="D35" s="48"/>
      <c r="E35" s="48"/>
      <c r="F35" s="39">
        <f t="shared" ref="F35:Z35" si="25">SUM(F30:F34)</f>
        <v>296199</v>
      </c>
      <c r="G35" s="39">
        <f t="shared" si="25"/>
        <v>288730</v>
      </c>
      <c r="H35" s="39">
        <f t="shared" si="25"/>
        <v>282729</v>
      </c>
      <c r="I35" s="39">
        <f t="shared" si="25"/>
        <v>263201</v>
      </c>
      <c r="J35" s="39">
        <f t="shared" si="25"/>
        <v>277263</v>
      </c>
      <c r="K35" s="39">
        <f t="shared" si="25"/>
        <v>275601</v>
      </c>
      <c r="L35" s="39">
        <f t="shared" si="25"/>
        <v>243284</v>
      </c>
      <c r="M35" s="39">
        <f t="shared" si="25"/>
        <v>245060</v>
      </c>
      <c r="N35" s="39">
        <f t="shared" si="25"/>
        <v>262589</v>
      </c>
      <c r="O35" s="39">
        <f t="shared" si="25"/>
        <v>251000</v>
      </c>
      <c r="P35" s="39">
        <f t="shared" si="25"/>
        <v>238728</v>
      </c>
      <c r="Q35" s="39">
        <f t="shared" si="25"/>
        <v>243212.06475249806</v>
      </c>
      <c r="R35" s="39">
        <f t="shared" si="25"/>
        <v>258612.02325438833</v>
      </c>
      <c r="S35" s="39">
        <f t="shared" si="25"/>
        <v>267300.93042455701</v>
      </c>
      <c r="T35" s="39">
        <f t="shared" si="25"/>
        <v>274786.15961755824</v>
      </c>
      <c r="U35" s="39">
        <f t="shared" si="25"/>
        <v>292903.30071123329</v>
      </c>
      <c r="V35" s="39">
        <f t="shared" si="25"/>
        <v>323868.53152965318</v>
      </c>
      <c r="W35" s="39">
        <f t="shared" si="25"/>
        <v>347317.81844739831</v>
      </c>
      <c r="X35" s="39">
        <f t="shared" si="25"/>
        <v>369257.97090775939</v>
      </c>
      <c r="Y35" s="39">
        <f t="shared" si="25"/>
        <v>404689.96189170086</v>
      </c>
      <c r="Z35" s="39">
        <f t="shared" si="25"/>
        <v>455264.96560275648</v>
      </c>
      <c r="AB35" s="39">
        <f t="shared" si="12"/>
        <v>296199</v>
      </c>
      <c r="AC35" s="39">
        <f t="shared" si="13"/>
        <v>277263</v>
      </c>
      <c r="AD35" s="39">
        <f t="shared" si="14"/>
        <v>262589</v>
      </c>
      <c r="AE35" s="39">
        <f t="shared" si="15"/>
        <v>258612.02325438833</v>
      </c>
      <c r="AF35" s="39">
        <f t="shared" si="16"/>
        <v>323868.53152965318</v>
      </c>
      <c r="AG35" s="39">
        <f t="shared" si="17"/>
        <v>455264.96560275648</v>
      </c>
    </row>
    <row r="36" spans="1:33" ht="15" customHeight="1" x14ac:dyDescent="0.45">
      <c r="B36" s="38" t="s">
        <v>246</v>
      </c>
      <c r="C36" s="48"/>
      <c r="D36" s="48"/>
      <c r="E36" s="48"/>
      <c r="F36" s="39">
        <f t="shared" ref="F36:Z36" si="26">F29+F35</f>
        <v>695243</v>
      </c>
      <c r="G36" s="39">
        <f t="shared" si="26"/>
        <v>626190</v>
      </c>
      <c r="H36" s="39">
        <f t="shared" si="26"/>
        <v>673103</v>
      </c>
      <c r="I36" s="39">
        <f t="shared" si="26"/>
        <v>689144</v>
      </c>
      <c r="J36" s="39">
        <f t="shared" si="26"/>
        <v>739519</v>
      </c>
      <c r="K36" s="39">
        <f t="shared" si="26"/>
        <v>668602</v>
      </c>
      <c r="L36" s="39">
        <f t="shared" si="26"/>
        <v>675220</v>
      </c>
      <c r="M36" s="39">
        <f t="shared" si="26"/>
        <v>676188</v>
      </c>
      <c r="N36" s="39">
        <f t="shared" si="26"/>
        <v>680195</v>
      </c>
      <c r="O36" s="39">
        <f t="shared" si="26"/>
        <v>659441</v>
      </c>
      <c r="P36" s="39">
        <f t="shared" si="26"/>
        <v>700042</v>
      </c>
      <c r="Q36" s="39">
        <f t="shared" si="26"/>
        <v>783611.07784001599</v>
      </c>
      <c r="R36" s="39">
        <f t="shared" si="26"/>
        <v>762503.39076977351</v>
      </c>
      <c r="S36" s="39">
        <f t="shared" si="26"/>
        <v>861681.52730619442</v>
      </c>
      <c r="T36" s="39">
        <f t="shared" si="26"/>
        <v>814556.7754177145</v>
      </c>
      <c r="U36" s="39">
        <f t="shared" si="26"/>
        <v>951127.11290836858</v>
      </c>
      <c r="V36" s="39">
        <f t="shared" si="26"/>
        <v>935420.71414643945</v>
      </c>
      <c r="W36" s="39">
        <f t="shared" si="26"/>
        <v>1071956.2059892374</v>
      </c>
      <c r="X36" s="39">
        <f t="shared" si="26"/>
        <v>1023548.7410540365</v>
      </c>
      <c r="Y36" s="39">
        <f t="shared" si="26"/>
        <v>1204249.4223694718</v>
      </c>
      <c r="Z36" s="39">
        <f t="shared" si="26"/>
        <v>1195689.4714257941</v>
      </c>
      <c r="AB36" s="39">
        <f t="shared" si="12"/>
        <v>695243</v>
      </c>
      <c r="AC36" s="39">
        <f t="shared" si="13"/>
        <v>739519</v>
      </c>
      <c r="AD36" s="39">
        <f t="shared" si="14"/>
        <v>680195</v>
      </c>
      <c r="AE36" s="39">
        <f t="shared" si="15"/>
        <v>762503.39076977351</v>
      </c>
      <c r="AF36" s="39">
        <f t="shared" si="16"/>
        <v>935420.71414643945</v>
      </c>
      <c r="AG36" s="39">
        <f t="shared" si="17"/>
        <v>1195689.4714257941</v>
      </c>
    </row>
    <row r="37" spans="1:33" ht="15" customHeight="1" x14ac:dyDescent="0.45">
      <c r="B37" s="49" t="s">
        <v>247</v>
      </c>
      <c r="C37" s="47"/>
      <c r="D37" s="47"/>
      <c r="E37" s="47"/>
      <c r="F37" s="31">
        <f t="shared" ref="F37:Z37" si="27">F20-F36</f>
        <v>0</v>
      </c>
      <c r="G37" s="31">
        <f t="shared" si="27"/>
        <v>0</v>
      </c>
      <c r="H37" s="31">
        <f t="shared" si="27"/>
        <v>0</v>
      </c>
      <c r="I37" s="31">
        <f t="shared" si="27"/>
        <v>0</v>
      </c>
      <c r="J37" s="31">
        <f t="shared" si="27"/>
        <v>0</v>
      </c>
      <c r="K37" s="31">
        <f t="shared" si="27"/>
        <v>0</v>
      </c>
      <c r="L37" s="31">
        <f t="shared" si="27"/>
        <v>0</v>
      </c>
      <c r="M37" s="31">
        <f t="shared" si="27"/>
        <v>0</v>
      </c>
      <c r="N37" s="31">
        <f t="shared" si="27"/>
        <v>0</v>
      </c>
      <c r="O37" s="31">
        <f t="shared" si="27"/>
        <v>0</v>
      </c>
      <c r="P37" s="31">
        <f t="shared" si="27"/>
        <v>0</v>
      </c>
      <c r="Q37" s="31">
        <f t="shared" si="27"/>
        <v>0</v>
      </c>
      <c r="R37" s="31">
        <f t="shared" si="27"/>
        <v>0</v>
      </c>
      <c r="S37" s="31">
        <f t="shared" si="27"/>
        <v>0</v>
      </c>
      <c r="T37" s="31">
        <f t="shared" si="27"/>
        <v>0</v>
      </c>
      <c r="U37" s="31">
        <f t="shared" si="27"/>
        <v>0</v>
      </c>
      <c r="V37" s="31">
        <f t="shared" si="27"/>
        <v>0</v>
      </c>
      <c r="W37" s="31">
        <f t="shared" si="27"/>
        <v>0</v>
      </c>
      <c r="X37" s="31">
        <f t="shared" si="27"/>
        <v>0</v>
      </c>
      <c r="Y37" s="31">
        <f t="shared" si="27"/>
        <v>0</v>
      </c>
      <c r="Z37" s="31">
        <f t="shared" si="27"/>
        <v>0</v>
      </c>
      <c r="AB37" s="31">
        <f t="shared" si="12"/>
        <v>0</v>
      </c>
      <c r="AC37" s="31">
        <f t="shared" si="13"/>
        <v>0</v>
      </c>
      <c r="AD37" s="31">
        <f t="shared" si="14"/>
        <v>0</v>
      </c>
      <c r="AE37" s="31">
        <f t="shared" si="15"/>
        <v>0</v>
      </c>
      <c r="AF37" s="31">
        <f t="shared" si="16"/>
        <v>0</v>
      </c>
      <c r="AG37" s="31">
        <f t="shared" si="17"/>
        <v>0</v>
      </c>
    </row>
    <row r="39" spans="1:33" ht="15" customHeight="1" x14ac:dyDescent="0.45">
      <c r="A39" t="s">
        <v>597</v>
      </c>
      <c r="B39" s="16" t="s">
        <v>248</v>
      </c>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row>
    <row r="40" spans="1:33" ht="15" customHeight="1" x14ac:dyDescent="0.45">
      <c r="B40" s="49" t="s">
        <v>598</v>
      </c>
      <c r="C40" s="47"/>
      <c r="D40" s="47"/>
      <c r="E40" s="47"/>
      <c r="F40" s="104">
        <f>F5-E5</f>
        <v>92</v>
      </c>
      <c r="G40" s="104">
        <f>G5-F5</f>
        <v>91</v>
      </c>
      <c r="H40" s="104">
        <f>H5-G5</f>
        <v>91</v>
      </c>
      <c r="I40" s="104">
        <f>I5-H5</f>
        <v>92</v>
      </c>
      <c r="J40" s="104">
        <f>J5-I5</f>
        <v>92</v>
      </c>
      <c r="K40" s="104">
        <f>K5-J5</f>
        <v>90</v>
      </c>
      <c r="L40" s="104">
        <f>L5-K5</f>
        <v>91</v>
      </c>
      <c r="M40" s="104">
        <f>M5-L5</f>
        <v>92</v>
      </c>
      <c r="N40" s="104">
        <f>N5-M5</f>
        <v>92</v>
      </c>
      <c r="O40" s="104">
        <f>O5-N5</f>
        <v>90</v>
      </c>
      <c r="P40" s="104">
        <f>P5-O5</f>
        <v>91</v>
      </c>
      <c r="Q40" s="104">
        <f>Q5-P5</f>
        <v>92</v>
      </c>
      <c r="R40" s="104">
        <f>R5-Q5</f>
        <v>92</v>
      </c>
      <c r="S40" s="104">
        <f>S5-R5</f>
        <v>90</v>
      </c>
      <c r="T40" s="104">
        <f>T5-S5</f>
        <v>91</v>
      </c>
      <c r="U40" s="104">
        <f>U5-T5</f>
        <v>92</v>
      </c>
      <c r="V40" s="104">
        <f>V5-U5</f>
        <v>92</v>
      </c>
      <c r="W40" s="104">
        <f>W5-V5</f>
        <v>91</v>
      </c>
      <c r="X40" s="104">
        <f>X5-W5</f>
        <v>91</v>
      </c>
      <c r="Y40" s="104">
        <f>Y5-X5</f>
        <v>92</v>
      </c>
      <c r="Z40" s="104">
        <f>Z5-Y5</f>
        <v>92</v>
      </c>
      <c r="AB40" s="104">
        <f>F40</f>
        <v>92</v>
      </c>
      <c r="AC40" s="104">
        <f>J40</f>
        <v>92</v>
      </c>
      <c r="AD40" s="104">
        <f>N40</f>
        <v>92</v>
      </c>
      <c r="AE40" s="104">
        <f>R40</f>
        <v>92</v>
      </c>
      <c r="AF40" s="104">
        <f>V40</f>
        <v>92</v>
      </c>
      <c r="AG40" s="104">
        <f>Z40</f>
        <v>92</v>
      </c>
    </row>
    <row r="41" spans="1:33" ht="15" customHeight="1" x14ac:dyDescent="0.45">
      <c r="B41" s="9" t="s">
        <v>599</v>
      </c>
      <c r="C41" s="47"/>
      <c r="D41" s="47"/>
      <c r="E41" s="47"/>
      <c r="F41" s="105">
        <f>IF('Income Statement'!F9=0,0,F11/'Income Statement'!F9*F$40)</f>
        <v>408.31035460992911</v>
      </c>
      <c r="G41" s="105">
        <f>IF('Income Statement'!G9=0,0,G11/'Income Statement'!G9*G$40)</f>
        <v>413.76956867213391</v>
      </c>
      <c r="H41" s="105">
        <f>IF('Income Statement'!H9=0,0,H11/'Income Statement'!H9*H$40)</f>
        <v>475.63317823003848</v>
      </c>
      <c r="I41" s="105">
        <f>IF('Income Statement'!I9=0,0,I11/'Income Statement'!I9*I$40)</f>
        <v>482.88914272978013</v>
      </c>
      <c r="J41" s="105">
        <f>IF('Income Statement'!J9=0,0,J11/'Income Statement'!J9*J$40)</f>
        <v>457.09910879277675</v>
      </c>
      <c r="K41" s="105">
        <f>IF('Income Statement'!K9=0,0,K11/'Income Statement'!K9*K$40)</f>
        <v>492.30035252643944</v>
      </c>
      <c r="L41" s="105">
        <f>IF('Income Statement'!L9=0,0,L11/'Income Statement'!L9*L$40)</f>
        <v>490.74721147760039</v>
      </c>
      <c r="M41" s="105">
        <f>IF('Income Statement'!M9=0,0,M11/'Income Statement'!M9*M$40)</f>
        <v>490.85303119482046</v>
      </c>
      <c r="N41" s="105">
        <f>IF('Income Statement'!N9=0,0,N11/'Income Statement'!N9*N$40)</f>
        <v>411.73924993128946</v>
      </c>
      <c r="O41" s="105">
        <f>IF('Income Statement'!O9=0,0,O11/'Income Statement'!O9*O$40)</f>
        <v>484.6222449534099</v>
      </c>
      <c r="P41" s="105">
        <f>IF('Income Statement'!P9=0,0,P11/'Income Statement'!P9*P$40)</f>
        <v>443.68998511317807</v>
      </c>
      <c r="Q41" s="105">
        <f>IF('Income Statement'!Q9=0,0,Q11/'Income Statement'!Q9*Q$40)</f>
        <v>491.3</v>
      </c>
      <c r="R41" s="105">
        <f>IF('Income Statement'!R9=0,0,R11/'Income Statement'!R9*R$40)</f>
        <v>412.20000000000005</v>
      </c>
      <c r="S41" s="105">
        <f>IF('Income Statement'!S9=0,0,S11/'Income Statement'!S9*S$40)</f>
        <v>484.2</v>
      </c>
      <c r="T41" s="105">
        <f>IF('Income Statement'!T9=0,0,T11/'Income Statement'!T9*T$40)</f>
        <v>444.1</v>
      </c>
      <c r="U41" s="105">
        <f>IF('Income Statement'!U9=0,0,U11/'Income Statement'!U9*U$40)</f>
        <v>491.3</v>
      </c>
      <c r="V41" s="105">
        <f>IF('Income Statement'!V9=0,0,V11/'Income Statement'!V9*V$40)</f>
        <v>412.20000000000005</v>
      </c>
      <c r="W41" s="105">
        <f>IF('Income Statement'!W9=0,0,W11/'Income Statement'!W9*W$40)</f>
        <v>489.6</v>
      </c>
      <c r="X41" s="105">
        <f>IF('Income Statement'!X9=0,0,X11/'Income Statement'!X9*X$40)</f>
        <v>444.1</v>
      </c>
      <c r="Y41" s="105">
        <f>IF('Income Statement'!Y9=0,0,Y11/'Income Statement'!Y9*Y$40)</f>
        <v>491.3</v>
      </c>
      <c r="Z41" s="105">
        <f>IF('Income Statement'!Z9=0,0,Z11/'Income Statement'!Z9*Z$40)</f>
        <v>412.20000000000005</v>
      </c>
      <c r="AB41" s="105">
        <f>F41</f>
        <v>408.31035460992911</v>
      </c>
      <c r="AC41" s="105">
        <f>J41</f>
        <v>457.09910879277675</v>
      </c>
      <c r="AD41" s="105">
        <f>N41</f>
        <v>411.73924993128946</v>
      </c>
      <c r="AE41" s="105">
        <f>R41</f>
        <v>412.20000000000005</v>
      </c>
      <c r="AF41" s="105">
        <f>V41</f>
        <v>412.20000000000005</v>
      </c>
      <c r="AG41" s="105">
        <f>Z41</f>
        <v>412.20000000000005</v>
      </c>
    </row>
    <row r="42" spans="1:33" ht="15" customHeight="1" x14ac:dyDescent="0.45">
      <c r="B42" s="9" t="s">
        <v>600</v>
      </c>
      <c r="C42" s="47"/>
      <c r="D42" s="47"/>
      <c r="E42" s="47"/>
      <c r="F42" s="105">
        <f>IF('Income Statement'!F9=0,0,F23/'Income Statement'!F9*F$40)</f>
        <v>378.08411347517733</v>
      </c>
      <c r="G42" s="105">
        <f>IF('Income Statement'!G9=0,0,G23/'Income Statement'!G9*G$40)</f>
        <v>394.52206113851366</v>
      </c>
      <c r="H42" s="105">
        <f>IF('Income Statement'!H9=0,0,H23/'Income Statement'!H9*H$40)</f>
        <v>461.0308620869074</v>
      </c>
      <c r="I42" s="105">
        <f>IF('Income Statement'!I9=0,0,I23/'Income Statement'!I9*I$40)</f>
        <v>462.26328253419888</v>
      </c>
      <c r="J42" s="105">
        <f>IF('Income Statement'!J9=0,0,J23/'Income Statement'!J9*J$40)</f>
        <v>415.9830647236322</v>
      </c>
      <c r="K42" s="105">
        <f>IF('Income Statement'!K9=0,0,K23/'Income Statement'!K9*K$40)</f>
        <v>456.32573443008221</v>
      </c>
      <c r="L42" s="105">
        <f>IF('Income Statement'!L9=0,0,L23/'Income Statement'!L9*L$40)</f>
        <v>462.54418735494761</v>
      </c>
      <c r="M42" s="105">
        <f>IF('Income Statement'!M9=0,0,M23/'Income Statement'!M9*M$40)</f>
        <v>482.56545026486168</v>
      </c>
      <c r="N42" s="105">
        <f>IF('Income Statement'!N9=0,0,N23/'Income Statement'!N9*N$40)</f>
        <v>394.93476251155585</v>
      </c>
      <c r="O42" s="105">
        <f>IF('Income Statement'!O9=0,0,O23/'Income Statement'!O9*O$40)</f>
        <v>492.87899371873357</v>
      </c>
      <c r="P42" s="105">
        <f>IF('Income Statement'!P9=0,0,P23/'Income Statement'!P9*P$40)</f>
        <v>451.62019518277708</v>
      </c>
      <c r="Q42" s="105">
        <f>IF('Income Statement'!Q9=0,0,Q23/'Income Statement'!Q9*Q$40)</f>
        <v>481.5</v>
      </c>
      <c r="R42" s="105">
        <f>IF('Income Statement'!R9=0,0,R23/'Income Statement'!R9*R$40)</f>
        <v>395.7</v>
      </c>
      <c r="S42" s="105">
        <f>IF('Income Statement'!S9=0,0,S23/'Income Statement'!S9*S$40)</f>
        <v>493.9</v>
      </c>
      <c r="T42" s="105">
        <f>IF('Income Statement'!T9=0,0,T23/'Income Statement'!T9*T$40)</f>
        <v>453</v>
      </c>
      <c r="U42" s="105">
        <f>IF('Income Statement'!U9=0,0,U23/'Income Statement'!U9*U$40)</f>
        <v>481.5</v>
      </c>
      <c r="V42" s="105">
        <f>IF('Income Statement'!V9=0,0,V23/'Income Statement'!V9*V$40)</f>
        <v>395.7</v>
      </c>
      <c r="W42" s="105">
        <f>IF('Income Statement'!W9=0,0,W23/'Income Statement'!W9*W$40)</f>
        <v>499.4</v>
      </c>
      <c r="X42" s="105">
        <f>IF('Income Statement'!X9=0,0,X23/'Income Statement'!X9*X$40)</f>
        <v>453</v>
      </c>
      <c r="Y42" s="105">
        <f>IF('Income Statement'!Y9=0,0,Y23/'Income Statement'!Y9*Y$40)</f>
        <v>481.5</v>
      </c>
      <c r="Z42" s="105">
        <f>IF('Income Statement'!Z9=0,0,Z23/'Income Statement'!Z9*Z$40)</f>
        <v>395.7</v>
      </c>
      <c r="AB42" s="105">
        <f>F42</f>
        <v>378.08411347517733</v>
      </c>
      <c r="AC42" s="105">
        <f>J42</f>
        <v>415.9830647236322</v>
      </c>
      <c r="AD42" s="105">
        <f>N42</f>
        <v>394.93476251155585</v>
      </c>
      <c r="AE42" s="105">
        <f>R42</f>
        <v>395.7</v>
      </c>
      <c r="AF42" s="105">
        <f>V42</f>
        <v>395.7</v>
      </c>
      <c r="AG42" s="105">
        <f>Z42</f>
        <v>395.7</v>
      </c>
    </row>
    <row r="43" spans="1:33" ht="15" customHeight="1" x14ac:dyDescent="0.45">
      <c r="B43" s="9" t="s">
        <v>606</v>
      </c>
      <c r="C43" s="47"/>
      <c r="D43" s="47"/>
      <c r="E43" s="47"/>
      <c r="F43" s="105">
        <f>+F41-F42</f>
        <v>30.226241134751774</v>
      </c>
      <c r="G43" s="105">
        <f t="shared" ref="G43:Z43" si="28">+G41-G42</f>
        <v>19.247507533620251</v>
      </c>
      <c r="H43" s="105">
        <f t="shared" si="28"/>
        <v>14.602316143131077</v>
      </c>
      <c r="I43" s="105">
        <f t="shared" si="28"/>
        <v>20.625860195581254</v>
      </c>
      <c r="J43" s="105">
        <f t="shared" si="28"/>
        <v>41.11604406914455</v>
      </c>
      <c r="K43" s="105">
        <f t="shared" si="28"/>
        <v>35.974618096357233</v>
      </c>
      <c r="L43" s="105">
        <f t="shared" si="28"/>
        <v>28.203024122652778</v>
      </c>
      <c r="M43" s="105">
        <f t="shared" si="28"/>
        <v>8.2875809299587786</v>
      </c>
      <c r="N43" s="105">
        <f t="shared" si="28"/>
        <v>16.804487419733618</v>
      </c>
      <c r="O43" s="105">
        <f t="shared" si="28"/>
        <v>-8.256748765323664</v>
      </c>
      <c r="P43" s="105">
        <f t="shared" si="28"/>
        <v>-7.9302100695990134</v>
      </c>
      <c r="Q43" s="105">
        <f t="shared" si="28"/>
        <v>9.8000000000000114</v>
      </c>
      <c r="R43" s="105">
        <f t="shared" si="28"/>
        <v>16.500000000000057</v>
      </c>
      <c r="S43" s="105">
        <f t="shared" si="28"/>
        <v>-9.6999999999999886</v>
      </c>
      <c r="T43" s="105">
        <f t="shared" si="28"/>
        <v>-8.8999999999999773</v>
      </c>
      <c r="U43" s="105">
        <f t="shared" si="28"/>
        <v>9.8000000000000114</v>
      </c>
      <c r="V43" s="105">
        <f t="shared" si="28"/>
        <v>16.500000000000057</v>
      </c>
      <c r="W43" s="105">
        <f t="shared" si="28"/>
        <v>-9.7999999999999545</v>
      </c>
      <c r="X43" s="105">
        <f t="shared" si="28"/>
        <v>-8.8999999999999773</v>
      </c>
      <c r="Y43" s="105">
        <f t="shared" si="28"/>
        <v>9.8000000000000114</v>
      </c>
      <c r="Z43" s="105">
        <f t="shared" si="28"/>
        <v>16.500000000000057</v>
      </c>
      <c r="AB43" s="105"/>
      <c r="AC43" s="105"/>
      <c r="AD43" s="105"/>
      <c r="AE43" s="105"/>
      <c r="AF43" s="105"/>
      <c r="AG43" s="105"/>
    </row>
    <row r="44" spans="1:33" ht="15" customHeight="1" x14ac:dyDescent="0.45">
      <c r="B44" s="9" t="s">
        <v>601</v>
      </c>
      <c r="C44" s="47"/>
      <c r="D44" s="47"/>
      <c r="E44" s="47"/>
      <c r="F44" s="105">
        <f>IF('Income Statement'!F17=0,0,F24/'Income Statement'!F17*F$40)</f>
        <v>59.104229720603321</v>
      </c>
      <c r="G44" s="105">
        <f>IF('Income Statement'!G17=0,0,G24/'Income Statement'!G17*G$40)</f>
        <v>38.426413401136706</v>
      </c>
      <c r="H44" s="105">
        <f>IF('Income Statement'!H17=0,0,H24/'Income Statement'!H17*H$40)</f>
        <v>44.520741126442772</v>
      </c>
      <c r="I44" s="105">
        <f>IF('Income Statement'!I17=0,0,I24/'Income Statement'!I17*I$40)</f>
        <v>49.621644312910604</v>
      </c>
      <c r="J44" s="105">
        <f>IF('Income Statement'!J17=0,0,J24/'Income Statement'!J17*J$40)</f>
        <v>53.000764776575984</v>
      </c>
      <c r="K44" s="105">
        <f>IF('Income Statement'!K17=0,0,K24/'Income Statement'!K17*K$40)</f>
        <v>36.454128440366972</v>
      </c>
      <c r="L44" s="105">
        <f>IF('Income Statement'!L17=0,0,L24/'Income Statement'!L17*L$40)</f>
        <v>38.231879705269904</v>
      </c>
      <c r="M44" s="105">
        <f>IF('Income Statement'!M17=0,0,M24/'Income Statement'!M17*M$40)</f>
        <v>46.232815442561204</v>
      </c>
      <c r="N44" s="105">
        <f>IF('Income Statement'!N17=0,0,N24/'Income Statement'!N17*N$40)</f>
        <v>50.512076455256299</v>
      </c>
      <c r="O44" s="105">
        <f>IF('Income Statement'!O17=0,0,O24/'Income Statement'!O17*O$40)</f>
        <v>32.378154833223824</v>
      </c>
      <c r="P44" s="105">
        <f>IF('Income Statement'!P17=0,0,P24/'Income Statement'!P17*P$40)</f>
        <v>42.291079271918214</v>
      </c>
      <c r="Q44" s="105">
        <f>IF('Income Statement'!Q17=0,0,Q24/'Income Statement'!Q17*Q$40)</f>
        <v>46</v>
      </c>
      <c r="R44" s="105">
        <f>IF('Income Statement'!R17=0,0,R24/'Income Statement'!R17*R$40)</f>
        <v>50.6</v>
      </c>
      <c r="S44" s="105">
        <f>IF('Income Statement'!S17=0,0,S24/'Income Statement'!S17*S$40)</f>
        <v>32.4</v>
      </c>
      <c r="T44" s="105">
        <f>IF('Income Statement'!T17=0,0,T24/'Income Statement'!T17*T$40)</f>
        <v>41.9</v>
      </c>
      <c r="U44" s="105">
        <f>IF('Income Statement'!U17=0,0,U24/'Income Statement'!U17*U$40)</f>
        <v>46</v>
      </c>
      <c r="V44" s="105">
        <f>IF('Income Statement'!V17=0,0,V24/'Income Statement'!V17*V$40)</f>
        <v>50.6</v>
      </c>
      <c r="W44" s="105">
        <f>IF('Income Statement'!W17=0,0,W24/'Income Statement'!W17*W$40)</f>
        <v>32.799999999999997</v>
      </c>
      <c r="X44" s="105">
        <f>IF('Income Statement'!X17=0,0,X24/'Income Statement'!X17*X$40)</f>
        <v>41.9</v>
      </c>
      <c r="Y44" s="105">
        <f>IF('Income Statement'!Y17=0,0,Y24/'Income Statement'!Y17*Y$40)</f>
        <v>46</v>
      </c>
      <c r="Z44" s="105">
        <f>IF('Income Statement'!Z17=0,0,Z24/'Income Statement'!Z17*Z$40)</f>
        <v>50.6</v>
      </c>
      <c r="AB44" s="105">
        <f>F44</f>
        <v>59.104229720603321</v>
      </c>
      <c r="AC44" s="105">
        <f>J44</f>
        <v>53.000764776575984</v>
      </c>
      <c r="AD44" s="105">
        <f>N44</f>
        <v>50.512076455256299</v>
      </c>
      <c r="AE44" s="105">
        <f>R44</f>
        <v>50.6</v>
      </c>
      <c r="AF44" s="105">
        <f>V44</f>
        <v>50.6</v>
      </c>
      <c r="AG44" s="105">
        <f>Z44</f>
        <v>50.6</v>
      </c>
    </row>
    <row r="45" spans="1:33" ht="15" customHeight="1" x14ac:dyDescent="0.45">
      <c r="B45" s="10" t="s">
        <v>102</v>
      </c>
      <c r="C45" s="47"/>
      <c r="D45" s="47"/>
      <c r="E45" s="47"/>
      <c r="F45" s="36">
        <f t="shared" ref="F45:Z45" si="29">F9+F10</f>
        <v>175344</v>
      </c>
      <c r="G45" s="36">
        <f t="shared" si="29"/>
        <v>174081</v>
      </c>
      <c r="H45" s="36">
        <f t="shared" si="29"/>
        <v>165596</v>
      </c>
      <c r="I45" s="36">
        <f t="shared" si="29"/>
        <v>140377</v>
      </c>
      <c r="J45" s="36">
        <f t="shared" si="29"/>
        <v>140587</v>
      </c>
      <c r="K45" s="36">
        <f t="shared" si="29"/>
        <v>144126</v>
      </c>
      <c r="L45" s="36">
        <f t="shared" si="29"/>
        <v>117565</v>
      </c>
      <c r="M45" s="36">
        <f t="shared" si="29"/>
        <v>136548</v>
      </c>
      <c r="N45" s="36">
        <f t="shared" si="29"/>
        <v>145518</v>
      </c>
      <c r="O45" s="36">
        <f t="shared" si="29"/>
        <v>144876</v>
      </c>
      <c r="P45" s="36">
        <f t="shared" si="29"/>
        <v>137507</v>
      </c>
      <c r="Q45" s="36">
        <f t="shared" si="29"/>
        <v>130519.96305831071</v>
      </c>
      <c r="R45" s="36">
        <f t="shared" si="29"/>
        <v>141323.10123773111</v>
      </c>
      <c r="S45" s="36">
        <f t="shared" si="29"/>
        <v>174906.47453020536</v>
      </c>
      <c r="T45" s="36">
        <f t="shared" si="29"/>
        <v>190038.92996083995</v>
      </c>
      <c r="U45" s="36">
        <f t="shared" si="29"/>
        <v>195070.26414981438</v>
      </c>
      <c r="V45" s="36">
        <f t="shared" si="29"/>
        <v>222476.06382998195</v>
      </c>
      <c r="W45" s="36">
        <f t="shared" si="29"/>
        <v>280500.87925261486</v>
      </c>
      <c r="X45" s="36">
        <f t="shared" si="29"/>
        <v>312823.4814830526</v>
      </c>
      <c r="Y45" s="36">
        <f t="shared" si="29"/>
        <v>333527.89730154042</v>
      </c>
      <c r="Z45" s="36">
        <f t="shared" si="29"/>
        <v>381791.76779824356</v>
      </c>
      <c r="AB45" s="36">
        <f>F45</f>
        <v>175344</v>
      </c>
      <c r="AC45" s="36">
        <f>J45</f>
        <v>140587</v>
      </c>
      <c r="AD45" s="36">
        <f>N45</f>
        <v>145518</v>
      </c>
      <c r="AE45" s="36">
        <f>R45</f>
        <v>141323.10123773111</v>
      </c>
      <c r="AF45" s="36">
        <f>V45</f>
        <v>222476.06382998195</v>
      </c>
      <c r="AG45" s="36">
        <f>Z45</f>
        <v>381791.76779824356</v>
      </c>
    </row>
    <row r="46" spans="1:33" ht="15" customHeight="1" x14ac:dyDescent="0.45">
      <c r="B46" s="9" t="s">
        <v>249</v>
      </c>
      <c r="C46" s="47"/>
      <c r="D46" s="47"/>
      <c r="E46" s="47"/>
      <c r="F46" s="31">
        <f t="shared" ref="F46:Z46" si="30">F13-F26</f>
        <v>182362</v>
      </c>
      <c r="G46" s="31">
        <f t="shared" si="30"/>
        <v>173125</v>
      </c>
      <c r="H46" s="31">
        <f t="shared" si="30"/>
        <v>161848</v>
      </c>
      <c r="I46" s="31">
        <f t="shared" si="30"/>
        <v>137038</v>
      </c>
      <c r="J46" s="31">
        <f t="shared" si="30"/>
        <v>156736</v>
      </c>
      <c r="K46" s="31">
        <f t="shared" si="30"/>
        <v>155106</v>
      </c>
      <c r="L46" s="31">
        <f t="shared" si="30"/>
        <v>124219</v>
      </c>
      <c r="M46" s="31">
        <f t="shared" si="30"/>
        <v>132027</v>
      </c>
      <c r="N46" s="31">
        <f t="shared" si="30"/>
        <v>146797</v>
      </c>
      <c r="O46" s="31">
        <f t="shared" si="30"/>
        <v>135316</v>
      </c>
      <c r="P46" s="31">
        <f t="shared" si="30"/>
        <v>115748</v>
      </c>
      <c r="Q46" s="31">
        <f t="shared" si="30"/>
        <v>122883.40035064227</v>
      </c>
      <c r="R46" s="31">
        <f t="shared" si="30"/>
        <v>142296.27796657593</v>
      </c>
      <c r="S46" s="31">
        <f t="shared" si="30"/>
        <v>154511.8575318011</v>
      </c>
      <c r="T46" s="31">
        <f t="shared" si="30"/>
        <v>165243.93527276424</v>
      </c>
      <c r="U46" s="31">
        <f t="shared" si="30"/>
        <v>188802.40854809457</v>
      </c>
      <c r="V46" s="31">
        <f t="shared" si="30"/>
        <v>226879.9084425394</v>
      </c>
      <c r="W46" s="31">
        <f t="shared" si="30"/>
        <v>256804.98918957659</v>
      </c>
      <c r="X46" s="31">
        <f t="shared" si="30"/>
        <v>284843.68956099462</v>
      </c>
      <c r="Y46" s="31">
        <f t="shared" si="30"/>
        <v>329067.60697843635</v>
      </c>
      <c r="Z46" s="31">
        <f t="shared" si="30"/>
        <v>390469.53734338342</v>
      </c>
      <c r="AB46" s="31">
        <f>F46</f>
        <v>182362</v>
      </c>
      <c r="AC46" s="31">
        <f>J46</f>
        <v>156736</v>
      </c>
      <c r="AD46" s="31">
        <f>N46</f>
        <v>146797</v>
      </c>
      <c r="AE46" s="31">
        <f>R46</f>
        <v>142296.27796657593</v>
      </c>
      <c r="AF46" s="31">
        <f>V46</f>
        <v>226879.9084425394</v>
      </c>
      <c r="AG46" s="31">
        <f>Z46</f>
        <v>390469.53734338342</v>
      </c>
    </row>
    <row r="54" spans="1:1" x14ac:dyDescent="0.45">
      <c r="A54" t="s">
        <v>597</v>
      </c>
    </row>
  </sheetData>
  <pageMargins left="0.75" right="0.75" top="1" bottom="1" header="0.511811023622047" footer="0.511811023622047"/>
  <pageSetup fitToHeight="0" orientation="landscape"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pageSetUpPr fitToPage="1"/>
  </sheetPr>
  <dimension ref="A1:AF52"/>
  <sheetViews>
    <sheetView showGridLines="0" zoomScale="90" zoomScaleNormal="90" workbookViewId="0">
      <pane xSplit="1" ySplit="6" topLeftCell="B7" activePane="bottomRight" state="frozen"/>
      <selection pane="topRight" activeCell="B1" sqref="B1"/>
      <selection pane="bottomLeft" activeCell="A7" sqref="A7"/>
      <selection pane="bottomRight" activeCell="B7" sqref="B7"/>
    </sheetView>
  </sheetViews>
  <sheetFormatPr defaultColWidth="8.6640625" defaultRowHeight="14.25" x14ac:dyDescent="0.45"/>
  <cols>
    <col min="1" max="1" width="46" customWidth="1"/>
    <col min="2" max="25" width="10.53125" customWidth="1"/>
    <col min="26" max="26" width="2" customWidth="1"/>
    <col min="27" max="32" width="11.46484375" customWidth="1"/>
  </cols>
  <sheetData>
    <row r="1" spans="1:32" ht="17.25" customHeight="1" x14ac:dyDescent="0.5">
      <c r="A1" s="13" t="s">
        <v>250</v>
      </c>
    </row>
    <row r="2" spans="1:32" ht="15" customHeight="1" x14ac:dyDescent="0.45">
      <c r="A2" s="4" t="s">
        <v>251</v>
      </c>
    </row>
    <row r="4" spans="1:32" ht="15" customHeight="1" x14ac:dyDescent="0.45">
      <c r="A4" s="5" t="s">
        <v>108</v>
      </c>
      <c r="B4" s="22" t="s">
        <v>109</v>
      </c>
      <c r="C4" s="22" t="s">
        <v>110</v>
      </c>
      <c r="D4" s="22" t="s">
        <v>111</v>
      </c>
      <c r="E4" s="22" t="s">
        <v>112</v>
      </c>
      <c r="F4" s="22" t="s">
        <v>113</v>
      </c>
      <c r="G4" s="22" t="s">
        <v>114</v>
      </c>
      <c r="H4" s="22" t="s">
        <v>115</v>
      </c>
      <c r="I4" s="22" t="s">
        <v>116</v>
      </c>
      <c r="J4" s="22" t="s">
        <v>117</v>
      </c>
      <c r="K4" s="22" t="s">
        <v>118</v>
      </c>
      <c r="L4" s="22" t="s">
        <v>119</v>
      </c>
      <c r="M4" s="22" t="s">
        <v>120</v>
      </c>
      <c r="N4" s="22" t="s">
        <v>121</v>
      </c>
      <c r="O4" s="22" t="s">
        <v>122</v>
      </c>
      <c r="P4" s="23" t="s">
        <v>123</v>
      </c>
      <c r="Q4" s="23" t="s">
        <v>124</v>
      </c>
      <c r="R4" s="23" t="s">
        <v>125</v>
      </c>
      <c r="S4" s="23" t="s">
        <v>126</v>
      </c>
      <c r="T4" s="23" t="s">
        <v>127</v>
      </c>
      <c r="U4" s="23" t="s">
        <v>128</v>
      </c>
      <c r="V4" s="23" t="s">
        <v>129</v>
      </c>
      <c r="W4" s="23" t="s">
        <v>130</v>
      </c>
      <c r="X4" s="23" t="s">
        <v>131</v>
      </c>
      <c r="Y4" s="23" t="s">
        <v>132</v>
      </c>
      <c r="AA4" s="14" t="s">
        <v>73</v>
      </c>
      <c r="AB4" s="14" t="s">
        <v>74</v>
      </c>
      <c r="AC4" s="14" t="s">
        <v>75</v>
      </c>
      <c r="AD4" s="15" t="s">
        <v>76</v>
      </c>
      <c r="AE4" s="15" t="s">
        <v>77</v>
      </c>
      <c r="AF4" s="15" t="s">
        <v>78</v>
      </c>
    </row>
    <row r="5" spans="1:32" ht="15" customHeight="1" x14ac:dyDescent="0.45">
      <c r="A5" s="5" t="s">
        <v>134</v>
      </c>
      <c r="B5" s="24">
        <v>45016</v>
      </c>
      <c r="C5" s="24">
        <v>45107</v>
      </c>
      <c r="D5" s="24">
        <v>45199</v>
      </c>
      <c r="E5" s="24">
        <v>45291</v>
      </c>
      <c r="F5" s="24">
        <v>45382</v>
      </c>
      <c r="G5" s="24">
        <v>45473</v>
      </c>
      <c r="H5" s="24">
        <v>45565</v>
      </c>
      <c r="I5" s="24">
        <v>45657</v>
      </c>
      <c r="J5" s="24">
        <v>45747</v>
      </c>
      <c r="K5" s="24">
        <v>45838</v>
      </c>
      <c r="L5" s="24">
        <v>45930</v>
      </c>
      <c r="M5" s="24">
        <v>46022</v>
      </c>
      <c r="N5" s="24">
        <v>46112</v>
      </c>
      <c r="O5" s="24">
        <v>46203</v>
      </c>
      <c r="P5" s="25">
        <v>46295</v>
      </c>
      <c r="Q5" s="25">
        <v>46387</v>
      </c>
      <c r="R5" s="25">
        <v>46477</v>
      </c>
      <c r="S5" s="25">
        <v>46568</v>
      </c>
      <c r="T5" s="25">
        <v>46660</v>
      </c>
      <c r="U5" s="25">
        <v>46752</v>
      </c>
      <c r="V5" s="25">
        <v>46843</v>
      </c>
      <c r="W5" s="25">
        <v>46934</v>
      </c>
      <c r="X5" s="25">
        <v>47026</v>
      </c>
      <c r="Y5" s="25">
        <v>47118</v>
      </c>
      <c r="AA5" s="26">
        <v>45291</v>
      </c>
      <c r="AB5" s="26">
        <v>45657</v>
      </c>
      <c r="AC5" s="26">
        <v>46022</v>
      </c>
      <c r="AD5" s="27">
        <v>46387</v>
      </c>
      <c r="AE5" s="27">
        <v>46752</v>
      </c>
      <c r="AF5" s="27">
        <v>47118</v>
      </c>
    </row>
    <row r="6" spans="1:32" ht="15" customHeight="1" x14ac:dyDescent="0.45">
      <c r="A6" s="5" t="s">
        <v>79</v>
      </c>
      <c r="B6" s="22" t="s">
        <v>80</v>
      </c>
      <c r="C6" s="22" t="s">
        <v>80</v>
      </c>
      <c r="D6" s="22" t="s">
        <v>80</v>
      </c>
      <c r="E6" s="22" t="s">
        <v>80</v>
      </c>
      <c r="F6" s="22" t="s">
        <v>80</v>
      </c>
      <c r="G6" s="22" t="s">
        <v>80</v>
      </c>
      <c r="H6" s="22" t="s">
        <v>80</v>
      </c>
      <c r="I6" s="22" t="s">
        <v>80</v>
      </c>
      <c r="J6" s="22" t="s">
        <v>80</v>
      </c>
      <c r="K6" s="22" t="s">
        <v>80</v>
      </c>
      <c r="L6" s="22" t="s">
        <v>80</v>
      </c>
      <c r="M6" s="22" t="s">
        <v>80</v>
      </c>
      <c r="N6" s="22" t="s">
        <v>80</v>
      </c>
      <c r="O6" s="22" t="s">
        <v>80</v>
      </c>
      <c r="P6" s="23" t="s">
        <v>82</v>
      </c>
      <c r="Q6" s="23" t="s">
        <v>82</v>
      </c>
      <c r="R6" s="23" t="s">
        <v>82</v>
      </c>
      <c r="S6" s="23" t="s">
        <v>82</v>
      </c>
      <c r="T6" s="23" t="s">
        <v>82</v>
      </c>
      <c r="U6" s="23" t="s">
        <v>82</v>
      </c>
      <c r="V6" s="23" t="s">
        <v>82</v>
      </c>
      <c r="W6" s="23" t="s">
        <v>82</v>
      </c>
      <c r="X6" s="23" t="s">
        <v>82</v>
      </c>
      <c r="Y6" s="23" t="s">
        <v>82</v>
      </c>
      <c r="AA6" s="14" t="s">
        <v>80</v>
      </c>
      <c r="AB6" s="14" t="s">
        <v>80</v>
      </c>
      <c r="AC6" s="14" t="s">
        <v>80</v>
      </c>
      <c r="AD6" s="15" t="s">
        <v>81</v>
      </c>
      <c r="AE6" s="15" t="s">
        <v>82</v>
      </c>
      <c r="AF6" s="15" t="s">
        <v>82</v>
      </c>
    </row>
    <row r="8" spans="1:32" ht="15" customHeight="1" x14ac:dyDescent="0.45">
      <c r="A8" s="16" t="s">
        <v>252</v>
      </c>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row>
    <row r="9" spans="1:32" ht="15" customHeight="1" x14ac:dyDescent="0.45">
      <c r="A9" s="9" t="s">
        <v>91</v>
      </c>
      <c r="B9" s="20">
        <f>'CF YTD Inputs'!B9</f>
        <v>-5871</v>
      </c>
      <c r="C9" s="20">
        <f>'CF YTD Inputs'!C9-'CF YTD Inputs'!B9</f>
        <v>-5724</v>
      </c>
      <c r="D9" s="20">
        <f>'CF YTD Inputs'!D9-'CF YTD Inputs'!C9</f>
        <v>1774</v>
      </c>
      <c r="E9" s="20">
        <f>'CF YTD Inputs'!E9-'CF YTD Inputs'!D9</f>
        <v>18702</v>
      </c>
      <c r="F9" s="20">
        <f>'CF YTD Inputs'!F9</f>
        <v>-2454</v>
      </c>
      <c r="G9" s="20">
        <f>'CF YTD Inputs'!G9-'CF YTD Inputs'!F9</f>
        <v>1971</v>
      </c>
      <c r="H9" s="20">
        <f>'CF YTD Inputs'!H9-'CF YTD Inputs'!G9</f>
        <v>-912</v>
      </c>
      <c r="I9" s="20">
        <f>'CF YTD Inputs'!I9-'CF YTD Inputs'!H9</f>
        <v>13899</v>
      </c>
      <c r="J9" s="20">
        <f>'CF YTD Inputs'!J9</f>
        <v>-9486</v>
      </c>
      <c r="K9" s="20">
        <f>'CF YTD Inputs'!K9-'CF YTD Inputs'!J9</f>
        <v>-5208</v>
      </c>
      <c r="L9" s="20">
        <f>'CF YTD Inputs'!L9-'CF YTD Inputs'!K9</f>
        <v>-6452</v>
      </c>
      <c r="M9" s="20">
        <f>'CF YTD Inputs'!M9-'CF YTD Inputs'!L9</f>
        <v>6684</v>
      </c>
      <c r="N9" s="20">
        <f>'CF YTD Inputs'!N9</f>
        <v>-12510</v>
      </c>
      <c r="O9" s="20">
        <f>'CF YTD Inputs'!O9-'CF YTD Inputs'!N9</f>
        <v>-1202</v>
      </c>
      <c r="P9" s="20">
        <f>'Income Statement'!Q27</f>
        <v>3670.8894261311125</v>
      </c>
      <c r="Q9" s="20">
        <f>'Income Statement'!R27</f>
        <v>13388.589681532183</v>
      </c>
      <c r="R9" s="20">
        <f>'Income Statement'!S27</f>
        <v>7105.4354625189117</v>
      </c>
      <c r="S9" s="20">
        <f>'Income Statement'!T27</f>
        <v>6148.0024707946786</v>
      </c>
      <c r="T9" s="20">
        <f>'Income Statement'!U27</f>
        <v>14848.768773818267</v>
      </c>
      <c r="U9" s="20">
        <f>'Income Statement'!V27</f>
        <v>26226.434031518016</v>
      </c>
      <c r="V9" s="20">
        <f>'Income Statement'!W27</f>
        <v>19270.588347968165</v>
      </c>
      <c r="W9" s="20">
        <f>'Income Statement'!X27</f>
        <v>18093.430298630694</v>
      </c>
      <c r="X9" s="20">
        <f>'Income Statement'!Y27</f>
        <v>29215.09572246125</v>
      </c>
      <c r="Y9" s="20">
        <f>'Income Statement'!Z27</f>
        <v>42567.308255631207</v>
      </c>
      <c r="AA9" s="31">
        <f t="shared" ref="AA9:AA22" si="0">SUM(B9:E9)</f>
        <v>8881</v>
      </c>
      <c r="AB9" s="31">
        <f t="shared" ref="AB9:AB22" si="1">SUM(F9:I9)</f>
        <v>12504</v>
      </c>
      <c r="AC9" s="31">
        <f t="shared" ref="AC9:AC22" si="2">SUM(J9:M9)</f>
        <v>-14462</v>
      </c>
      <c r="AD9" s="31">
        <f t="shared" ref="AD9:AD22" si="3">SUM(N9:Q9)</f>
        <v>3347.4791076632955</v>
      </c>
      <c r="AE9" s="31">
        <f t="shared" ref="AE9:AE22" si="4">SUM(R9:U9)</f>
        <v>54328.640738649876</v>
      </c>
      <c r="AF9" s="31">
        <f t="shared" ref="AF9:AF22" si="5">SUM(V9:Y9)</f>
        <v>109146.42262469133</v>
      </c>
    </row>
    <row r="10" spans="1:32" ht="15" customHeight="1" x14ac:dyDescent="0.45">
      <c r="A10" s="9" t="s">
        <v>96</v>
      </c>
      <c r="B10" s="20">
        <f>'CF YTD Inputs'!B10</f>
        <v>11432</v>
      </c>
      <c r="C10" s="20">
        <f>'CF YTD Inputs'!C10-'CF YTD Inputs'!B10</f>
        <v>10898</v>
      </c>
      <c r="D10" s="20">
        <f>'CF YTD Inputs'!D10-'CF YTD Inputs'!C10</f>
        <v>11401</v>
      </c>
      <c r="E10" s="20">
        <f>'CF YTD Inputs'!E10-'CF YTD Inputs'!D10</f>
        <v>11039</v>
      </c>
      <c r="F10" s="20">
        <f>'CF YTD Inputs'!F10</f>
        <v>11212</v>
      </c>
      <c r="G10" s="20">
        <f>'CF YTD Inputs'!G10-'CF YTD Inputs'!F10</f>
        <v>11336</v>
      </c>
      <c r="H10" s="20">
        <f>'CF YTD Inputs'!H10-'CF YTD Inputs'!G10</f>
        <v>11383</v>
      </c>
      <c r="I10" s="20">
        <f>'CF YTD Inputs'!I10-'CF YTD Inputs'!H10</f>
        <v>11421</v>
      </c>
      <c r="J10" s="20">
        <f>'CF YTD Inputs'!J10</f>
        <v>11676</v>
      </c>
      <c r="K10" s="20">
        <f>'CF YTD Inputs'!K10-'CF YTD Inputs'!J10</f>
        <v>11861</v>
      </c>
      <c r="L10" s="20">
        <f>'CF YTD Inputs'!L10-'CF YTD Inputs'!K10</f>
        <v>10459</v>
      </c>
      <c r="M10" s="20">
        <f>'CF YTD Inputs'!M10-'CF YTD Inputs'!L10</f>
        <v>9773</v>
      </c>
      <c r="N10" s="20">
        <f>'CF YTD Inputs'!N10</f>
        <v>9988</v>
      </c>
      <c r="O10" s="20">
        <f>'CF YTD Inputs'!O10-'CF YTD Inputs'!N10</f>
        <v>10007</v>
      </c>
      <c r="P10" s="20">
        <f>'Income Statement'!Q62</f>
        <v>11151.335598144249</v>
      </c>
      <c r="Q10" s="20">
        <f>'Income Statement'!R62</f>
        <v>12512.919114043289</v>
      </c>
      <c r="R10" s="20">
        <f>'Income Statement'!S62</f>
        <v>12026.672395056534</v>
      </c>
      <c r="S10" s="20">
        <f>'Income Statement'!T62</f>
        <v>11746.848547961983</v>
      </c>
      <c r="T10" s="20">
        <f>'Income Statement'!U62</f>
        <v>13941.332181655358</v>
      </c>
      <c r="U10" s="20">
        <f>'Income Statement'!V62</f>
        <v>15612.269076024872</v>
      </c>
      <c r="V10" s="20">
        <f>'Income Statement'!W62</f>
        <v>14975.793829291992</v>
      </c>
      <c r="W10" s="20">
        <f>'Income Statement'!X62</f>
        <v>14598.547911057178</v>
      </c>
      <c r="X10" s="20">
        <f>'Income Statement'!Y62</f>
        <v>17291.926433500241</v>
      </c>
      <c r="Y10" s="20">
        <f>'Income Statement'!Z62</f>
        <v>19326.926653891409</v>
      </c>
      <c r="AA10" s="31">
        <f t="shared" si="0"/>
        <v>44770</v>
      </c>
      <c r="AB10" s="31">
        <f t="shared" si="1"/>
        <v>45352</v>
      </c>
      <c r="AC10" s="31">
        <f t="shared" si="2"/>
        <v>43769</v>
      </c>
      <c r="AD10" s="31">
        <f t="shared" si="3"/>
        <v>43659.25471218754</v>
      </c>
      <c r="AE10" s="31">
        <f t="shared" si="4"/>
        <v>53327.122200698745</v>
      </c>
      <c r="AF10" s="31">
        <f t="shared" si="5"/>
        <v>66193.194827740823</v>
      </c>
    </row>
    <row r="11" spans="1:32" ht="15" customHeight="1" x14ac:dyDescent="0.45">
      <c r="A11" s="9" t="s">
        <v>95</v>
      </c>
      <c r="B11" s="20">
        <f>'CF YTD Inputs'!B11</f>
        <v>7059</v>
      </c>
      <c r="C11" s="20">
        <f>'CF YTD Inputs'!C11-'CF YTD Inputs'!B11</f>
        <v>7266</v>
      </c>
      <c r="D11" s="20">
        <f>'CF YTD Inputs'!D11-'CF YTD Inputs'!C11</f>
        <v>7200</v>
      </c>
      <c r="E11" s="20">
        <f>'CF YTD Inputs'!E11-'CF YTD Inputs'!D11</f>
        <v>7337</v>
      </c>
      <c r="F11" s="20">
        <f>'CF YTD Inputs'!F11</f>
        <v>9111</v>
      </c>
      <c r="G11" s="20">
        <f>'CF YTD Inputs'!G11-'CF YTD Inputs'!F11</f>
        <v>9699</v>
      </c>
      <c r="H11" s="20">
        <f>'CF YTD Inputs'!H11-'CF YTD Inputs'!G11</f>
        <v>9457</v>
      </c>
      <c r="I11" s="20">
        <f>'CF YTD Inputs'!I11-'CF YTD Inputs'!H11</f>
        <v>9409</v>
      </c>
      <c r="J11" s="20">
        <f>'CF YTD Inputs'!J11</f>
        <v>9698</v>
      </c>
      <c r="K11" s="20">
        <f>'CF YTD Inputs'!K11-'CF YTD Inputs'!J11</f>
        <v>9801</v>
      </c>
      <c r="L11" s="20">
        <f>'CF YTD Inputs'!L11-'CF YTD Inputs'!K11</f>
        <v>9511</v>
      </c>
      <c r="M11" s="20">
        <f>'CF YTD Inputs'!M11-'CF YTD Inputs'!L11</f>
        <v>9368</v>
      </c>
      <c r="N11" s="20">
        <f>'CF YTD Inputs'!N11</f>
        <v>8488</v>
      </c>
      <c r="O11" s="20">
        <f>'CF YTD Inputs'!O11-'CF YTD Inputs'!N11</f>
        <v>8347</v>
      </c>
      <c r="P11" s="20">
        <f>'Income Statement'!Q59</f>
        <v>9813.1753263669398</v>
      </c>
      <c r="Q11" s="20">
        <f>'Income Statement'!R59</f>
        <v>11011.368820358093</v>
      </c>
      <c r="R11" s="20">
        <f>'Income Statement'!S59</f>
        <v>10583.471707649749</v>
      </c>
      <c r="S11" s="20">
        <f>'Income Statement'!T59</f>
        <v>10337.226722206546</v>
      </c>
      <c r="T11" s="20">
        <f>'Income Statement'!U59</f>
        <v>12268.372319856715</v>
      </c>
      <c r="U11" s="20">
        <f>'Income Statement'!V59</f>
        <v>13738.796786901887</v>
      </c>
      <c r="V11" s="20">
        <f>'Income Statement'!W59</f>
        <v>13178.698569776952</v>
      </c>
      <c r="W11" s="20">
        <f>'Income Statement'!X59</f>
        <v>12846.722161730317</v>
      </c>
      <c r="X11" s="20">
        <f>'Income Statement'!Y59</f>
        <v>15216.895261480213</v>
      </c>
      <c r="Y11" s="20">
        <f>'Income Statement'!Z59</f>
        <v>17007.69545542444</v>
      </c>
      <c r="AA11" s="31">
        <f t="shared" si="0"/>
        <v>28862</v>
      </c>
      <c r="AB11" s="31">
        <f t="shared" si="1"/>
        <v>37676</v>
      </c>
      <c r="AC11" s="31">
        <f t="shared" si="2"/>
        <v>38378</v>
      </c>
      <c r="AD11" s="31">
        <f t="shared" si="3"/>
        <v>37659.544146725035</v>
      </c>
      <c r="AE11" s="31">
        <f t="shared" si="4"/>
        <v>46927.867536614896</v>
      </c>
      <c r="AF11" s="31">
        <f t="shared" si="5"/>
        <v>58250.011448411926</v>
      </c>
    </row>
    <row r="12" spans="1:32" ht="15" customHeight="1" x14ac:dyDescent="0.45">
      <c r="A12" s="9" t="s">
        <v>253</v>
      </c>
      <c r="B12" s="20">
        <f>'CF YTD Inputs'!B12</f>
        <v>0</v>
      </c>
      <c r="C12" s="20">
        <f>'CF YTD Inputs'!C12-'CF YTD Inputs'!B12</f>
        <v>5675</v>
      </c>
      <c r="D12" s="20">
        <f>'CF YTD Inputs'!D12-'CF YTD Inputs'!C12</f>
        <v>0</v>
      </c>
      <c r="E12" s="20">
        <f>'CF YTD Inputs'!E12-'CF YTD Inputs'!D12</f>
        <v>0</v>
      </c>
      <c r="F12" s="20">
        <f>'CF YTD Inputs'!F12</f>
        <v>0</v>
      </c>
      <c r="G12" s="20">
        <f>'CF YTD Inputs'!G12-'CF YTD Inputs'!F12</f>
        <v>0</v>
      </c>
      <c r="H12" s="20">
        <f>'CF YTD Inputs'!H12-'CF YTD Inputs'!G12</f>
        <v>0</v>
      </c>
      <c r="I12" s="20">
        <f>'CF YTD Inputs'!I12-'CF YTD Inputs'!H12</f>
        <v>0</v>
      </c>
      <c r="J12" s="20">
        <f>'CF YTD Inputs'!J12</f>
        <v>0</v>
      </c>
      <c r="K12" s="20">
        <f>'CF YTD Inputs'!K12-'CF YTD Inputs'!J12</f>
        <v>0</v>
      </c>
      <c r="L12" s="20">
        <f>'CF YTD Inputs'!L12-'CF YTD Inputs'!K12</f>
        <v>0</v>
      </c>
      <c r="M12" s="20">
        <f>'CF YTD Inputs'!M12-'CF YTD Inputs'!L12</f>
        <v>0</v>
      </c>
      <c r="N12" s="20">
        <f>'CF YTD Inputs'!N12</f>
        <v>0</v>
      </c>
      <c r="O12" s="20">
        <f>'CF YTD Inputs'!O12-'CF YTD Inputs'!N12</f>
        <v>0</v>
      </c>
      <c r="AA12" s="31">
        <f t="shared" si="0"/>
        <v>5675</v>
      </c>
      <c r="AB12" s="31">
        <f t="shared" si="1"/>
        <v>0</v>
      </c>
      <c r="AC12" s="31">
        <f t="shared" si="2"/>
        <v>0</v>
      </c>
      <c r="AD12" s="31">
        <f t="shared" si="3"/>
        <v>0</v>
      </c>
      <c r="AE12" s="31">
        <f t="shared" si="4"/>
        <v>0</v>
      </c>
      <c r="AF12" s="31">
        <f t="shared" si="5"/>
        <v>0</v>
      </c>
    </row>
    <row r="13" spans="1:32" ht="15" customHeight="1" x14ac:dyDescent="0.45">
      <c r="A13" s="9" t="s">
        <v>254</v>
      </c>
      <c r="B13" s="20">
        <f>'CF YTD Inputs'!B13</f>
        <v>-4327</v>
      </c>
      <c r="C13" s="20">
        <f>'CF YTD Inputs'!C13-'CF YTD Inputs'!B13</f>
        <v>-9228</v>
      </c>
      <c r="D13" s="20">
        <f>'CF YTD Inputs'!D13-'CF YTD Inputs'!C13</f>
        <v>-630</v>
      </c>
      <c r="E13" s="20">
        <f>'CF YTD Inputs'!E13-'CF YTD Inputs'!D13</f>
        <v>779</v>
      </c>
      <c r="F13" s="20">
        <f>'CF YTD Inputs'!F13</f>
        <v>-4667</v>
      </c>
      <c r="G13" s="20">
        <f>'CF YTD Inputs'!G13-'CF YTD Inputs'!F13</f>
        <v>-4065</v>
      </c>
      <c r="H13" s="20">
        <f>'CF YTD Inputs'!H13-'CF YTD Inputs'!G13</f>
        <v>-2099</v>
      </c>
      <c r="I13" s="20">
        <f>'CF YTD Inputs'!I13-'CF YTD Inputs'!H13</f>
        <v>-153</v>
      </c>
      <c r="J13" s="20">
        <f>'CF YTD Inputs'!J13</f>
        <v>-4754</v>
      </c>
      <c r="K13" s="20">
        <f>'CF YTD Inputs'!K13-'CF YTD Inputs'!J13</f>
        <v>-4270</v>
      </c>
      <c r="L13" s="20">
        <f>'CF YTD Inputs'!L13-'CF YTD Inputs'!K13</f>
        <v>-2748</v>
      </c>
      <c r="M13" s="20">
        <f>'CF YTD Inputs'!M13-'CF YTD Inputs'!L13</f>
        <v>-2717</v>
      </c>
      <c r="N13" s="20">
        <f>'CF YTD Inputs'!N13</f>
        <v>-1423</v>
      </c>
      <c r="O13" s="20">
        <f>'CF YTD Inputs'!O13-'CF YTD Inputs'!N13</f>
        <v>280</v>
      </c>
      <c r="AA13" s="31">
        <f t="shared" si="0"/>
        <v>-13406</v>
      </c>
      <c r="AB13" s="31">
        <f t="shared" si="1"/>
        <v>-10984</v>
      </c>
      <c r="AC13" s="31">
        <f t="shared" si="2"/>
        <v>-14489</v>
      </c>
      <c r="AD13" s="31">
        <f t="shared" si="3"/>
        <v>-1143</v>
      </c>
      <c r="AE13" s="31">
        <f t="shared" si="4"/>
        <v>0</v>
      </c>
      <c r="AF13" s="31">
        <f t="shared" si="5"/>
        <v>0</v>
      </c>
    </row>
    <row r="14" spans="1:32" ht="15" customHeight="1" x14ac:dyDescent="0.45">
      <c r="A14" s="9" t="s">
        <v>255</v>
      </c>
      <c r="B14" s="20">
        <f>'CF YTD Inputs'!B14</f>
        <v>-1057</v>
      </c>
      <c r="C14" s="20">
        <f>'CF YTD Inputs'!C14-'CF YTD Inputs'!B14</f>
        <v>-985</v>
      </c>
      <c r="D14" s="20">
        <f>'CF YTD Inputs'!D14-'CF YTD Inputs'!C14</f>
        <v>-1019</v>
      </c>
      <c r="E14" s="20">
        <f>'CF YTD Inputs'!E14-'CF YTD Inputs'!D14</f>
        <v>-1032</v>
      </c>
      <c r="F14" s="20">
        <f>'CF YTD Inputs'!F14</f>
        <v>-1234</v>
      </c>
      <c r="G14" s="20">
        <f>'CF YTD Inputs'!G14-'CF YTD Inputs'!F14</f>
        <v>-1226</v>
      </c>
      <c r="H14" s="20">
        <f>'CF YTD Inputs'!H14-'CF YTD Inputs'!G14</f>
        <v>-1092</v>
      </c>
      <c r="I14" s="20">
        <f>'CF YTD Inputs'!I14-'CF YTD Inputs'!H14</f>
        <v>-565</v>
      </c>
      <c r="J14" s="20">
        <f>'CF YTD Inputs'!J14</f>
        <v>-454</v>
      </c>
      <c r="K14" s="20">
        <f>'CF YTD Inputs'!K14-'CF YTD Inputs'!J14</f>
        <v>-365</v>
      </c>
      <c r="L14" s="20">
        <f>'CF YTD Inputs'!L14-'CF YTD Inputs'!K14</f>
        <v>-3</v>
      </c>
      <c r="M14" s="20">
        <f>'CF YTD Inputs'!M14-'CF YTD Inputs'!L14</f>
        <v>0</v>
      </c>
      <c r="N14" s="20">
        <f>'CF YTD Inputs'!N14</f>
        <v>0</v>
      </c>
      <c r="O14" s="20">
        <f>'CF YTD Inputs'!O14-'CF YTD Inputs'!N14</f>
        <v>-110</v>
      </c>
      <c r="AA14" s="31">
        <f t="shared" si="0"/>
        <v>-4093</v>
      </c>
      <c r="AB14" s="31">
        <f t="shared" si="1"/>
        <v>-4117</v>
      </c>
      <c r="AC14" s="31">
        <f t="shared" si="2"/>
        <v>-822</v>
      </c>
      <c r="AD14" s="31">
        <f t="shared" si="3"/>
        <v>-110</v>
      </c>
      <c r="AE14" s="31">
        <f t="shared" si="4"/>
        <v>0</v>
      </c>
      <c r="AF14" s="31">
        <f t="shared" si="5"/>
        <v>0</v>
      </c>
    </row>
    <row r="15" spans="1:32" ht="15" customHeight="1" x14ac:dyDescent="0.45">
      <c r="A15" s="9" t="s">
        <v>256</v>
      </c>
      <c r="B15" s="20">
        <f>'CF YTD Inputs'!B15</f>
        <v>1532</v>
      </c>
      <c r="C15" s="20">
        <f>'CF YTD Inputs'!C15-'CF YTD Inputs'!B15</f>
        <v>1535</v>
      </c>
      <c r="D15" s="20">
        <f>'CF YTD Inputs'!D15-'CF YTD Inputs'!C15</f>
        <v>1538</v>
      </c>
      <c r="E15" s="20">
        <f>'CF YTD Inputs'!E15-'CF YTD Inputs'!D15</f>
        <v>1540</v>
      </c>
      <c r="F15" s="20">
        <f>'CF YTD Inputs'!F15</f>
        <v>1690</v>
      </c>
      <c r="G15" s="20">
        <f>'CF YTD Inputs'!G15-'CF YTD Inputs'!F15</f>
        <v>1785</v>
      </c>
      <c r="H15" s="20">
        <f>'CF YTD Inputs'!H15-'CF YTD Inputs'!G15</f>
        <v>1623</v>
      </c>
      <c r="I15" s="20">
        <f>'CF YTD Inputs'!I15-'CF YTD Inputs'!H15</f>
        <v>1703</v>
      </c>
      <c r="J15" s="20">
        <f>'CF YTD Inputs'!J15</f>
        <v>1928</v>
      </c>
      <c r="K15" s="20">
        <f>'CF YTD Inputs'!K15-'CF YTD Inputs'!J15</f>
        <v>1782</v>
      </c>
      <c r="L15" s="20">
        <f>'CF YTD Inputs'!L15-'CF YTD Inputs'!K15</f>
        <v>1818</v>
      </c>
      <c r="M15" s="20">
        <f>'CF YTD Inputs'!M15-'CF YTD Inputs'!L15</f>
        <v>1823</v>
      </c>
      <c r="N15" s="20">
        <f>'CF YTD Inputs'!N15</f>
        <v>1840</v>
      </c>
      <c r="O15" s="20">
        <f>'CF YTD Inputs'!O15-'CF YTD Inputs'!N15</f>
        <v>1751</v>
      </c>
      <c r="AA15" s="31">
        <f t="shared" si="0"/>
        <v>6145</v>
      </c>
      <c r="AB15" s="31">
        <f t="shared" si="1"/>
        <v>6801</v>
      </c>
      <c r="AC15" s="31">
        <f t="shared" si="2"/>
        <v>7351</v>
      </c>
      <c r="AD15" s="31">
        <f t="shared" si="3"/>
        <v>3591</v>
      </c>
      <c r="AE15" s="31">
        <f t="shared" si="4"/>
        <v>0</v>
      </c>
      <c r="AF15" s="31">
        <f t="shared" si="5"/>
        <v>0</v>
      </c>
    </row>
    <row r="16" spans="1:32" ht="15" customHeight="1" x14ac:dyDescent="0.45">
      <c r="A16" s="9" t="s">
        <v>257</v>
      </c>
      <c r="B16" s="20">
        <f>'CF YTD Inputs'!B16</f>
        <v>-3</v>
      </c>
      <c r="C16" s="20">
        <f>'CF YTD Inputs'!C16-'CF YTD Inputs'!B16</f>
        <v>7</v>
      </c>
      <c r="D16" s="20">
        <f>'CF YTD Inputs'!D16-'CF YTD Inputs'!C16</f>
        <v>-1</v>
      </c>
      <c r="E16" s="20">
        <f>'CF YTD Inputs'!E16-'CF YTD Inputs'!D16</f>
        <v>42</v>
      </c>
      <c r="F16" s="20">
        <f>'CF YTD Inputs'!F16</f>
        <v>-1</v>
      </c>
      <c r="G16" s="20">
        <f>'CF YTD Inputs'!G16-'CF YTD Inputs'!F16</f>
        <v>2</v>
      </c>
      <c r="H16" s="20">
        <f>'CF YTD Inputs'!H16-'CF YTD Inputs'!G16</f>
        <v>-79</v>
      </c>
      <c r="I16" s="20">
        <f>'CF YTD Inputs'!I16-'CF YTD Inputs'!H16</f>
        <v>53</v>
      </c>
      <c r="J16" s="20">
        <f>'CF YTD Inputs'!J16</f>
        <v>-223</v>
      </c>
      <c r="K16" s="20">
        <f>'CF YTD Inputs'!K16-'CF YTD Inputs'!J16</f>
        <v>-55</v>
      </c>
      <c r="L16" s="20">
        <f>'CF YTD Inputs'!L16-'CF YTD Inputs'!K16</f>
        <v>-586</v>
      </c>
      <c r="M16" s="20">
        <f>'CF YTD Inputs'!M16-'CF YTD Inputs'!L16</f>
        <v>-183</v>
      </c>
      <c r="N16" s="20">
        <f>'CF YTD Inputs'!N16</f>
        <v>-676</v>
      </c>
      <c r="O16" s="20">
        <f>'CF YTD Inputs'!O16-'CF YTD Inputs'!N16</f>
        <v>371</v>
      </c>
      <c r="AA16" s="31">
        <f t="shared" si="0"/>
        <v>45</v>
      </c>
      <c r="AB16" s="31">
        <f t="shared" si="1"/>
        <v>-25</v>
      </c>
      <c r="AC16" s="31">
        <f t="shared" si="2"/>
        <v>-1047</v>
      </c>
      <c r="AD16" s="31">
        <f t="shared" si="3"/>
        <v>-305</v>
      </c>
      <c r="AE16" s="31">
        <f t="shared" si="4"/>
        <v>0</v>
      </c>
      <c r="AF16" s="31">
        <f t="shared" si="5"/>
        <v>0</v>
      </c>
    </row>
    <row r="17" spans="1:32" ht="15" customHeight="1" x14ac:dyDescent="0.45">
      <c r="A17" s="9" t="s">
        <v>258</v>
      </c>
      <c r="B17" s="20">
        <f>'CF YTD Inputs'!B17</f>
        <v>61292</v>
      </c>
      <c r="C17" s="20">
        <f>'CF YTD Inputs'!C17-'CF YTD Inputs'!B17</f>
        <v>-19549</v>
      </c>
      <c r="D17" s="20">
        <f>'CF YTD Inputs'!D17-'CF YTD Inputs'!C17</f>
        <v>-33376</v>
      </c>
      <c r="E17" s="20">
        <f>'CF YTD Inputs'!E17-'CF YTD Inputs'!D17</f>
        <v>-84083</v>
      </c>
      <c r="F17" s="20">
        <f>'CF YTD Inputs'!F17</f>
        <v>72184</v>
      </c>
      <c r="G17" s="20">
        <f>'CF YTD Inputs'!G17-'CF YTD Inputs'!F17</f>
        <v>-48303</v>
      </c>
      <c r="H17" s="20">
        <f>'CF YTD Inputs'!H17-'CF YTD Inputs'!G17</f>
        <v>-25203</v>
      </c>
      <c r="I17" s="20">
        <f>'CF YTD Inputs'!I17-'CF YTD Inputs'!H17</f>
        <v>-48023</v>
      </c>
      <c r="J17" s="20">
        <f>'CF YTD Inputs'!J17</f>
        <v>75691</v>
      </c>
      <c r="K17" s="20">
        <f>'CF YTD Inputs'!K17-'CF YTD Inputs'!J17</f>
        <v>-34279</v>
      </c>
      <c r="L17" s="20">
        <f>'CF YTD Inputs'!L17-'CF YTD Inputs'!K17</f>
        <v>20811</v>
      </c>
      <c r="M17" s="20">
        <f>'CF YTD Inputs'!M17-'CF YTD Inputs'!L17</f>
        <v>4351</v>
      </c>
      <c r="N17" s="20">
        <f>'CF YTD Inputs'!N17</f>
        <v>21335</v>
      </c>
      <c r="O17" s="20">
        <f>'CF YTD Inputs'!O17-'CF YTD Inputs'!N17</f>
        <v>-46292</v>
      </c>
      <c r="P17" s="20">
        <f>-('Balance Sheet'!Q11-'Balance Sheet'!P11)</f>
        <v>-93207.450379849528</v>
      </c>
      <c r="Q17" s="20">
        <f>-('Balance Sheet'!R11-'Balance Sheet'!Q11)</f>
        <v>27897.906135619618</v>
      </c>
      <c r="R17" s="20">
        <f>-('Balance Sheet'!S11-'Balance Sheet'!R11)</f>
        <v>-69121.435639003292</v>
      </c>
      <c r="S17" s="20">
        <f>-('Balance Sheet'!T11-'Balance Sheet'!S11)</f>
        <v>59010.358771152562</v>
      </c>
      <c r="T17" s="20">
        <f>-('Balance Sheet'!U11-'Balance Sheet'!T11)</f>
        <v>-136980.33548333484</v>
      </c>
      <c r="U17" s="20">
        <f>-('Balance Sheet'!V11-'Balance Sheet'!U11)</f>
        <v>35999.929366071825</v>
      </c>
      <c r="V17" s="20">
        <f>-('Balance Sheet'!W11-'Balance Sheet'!V11)</f>
        <v>-84986.470249457168</v>
      </c>
      <c r="W17" s="20">
        <f>-('Balance Sheet'!X11-'Balance Sheet'!W11)</f>
        <v>74631.519254581654</v>
      </c>
      <c r="X17" s="20">
        <f>-('Balance Sheet'!Y11-'Balance Sheet'!X11)</f>
        <v>-168788.19193044771</v>
      </c>
      <c r="Y17" s="20">
        <f>-('Balance Sheet'!Z11-'Balance Sheet'!Y11)</f>
        <v>45996.894786489545</v>
      </c>
      <c r="AA17" s="31">
        <f t="shared" si="0"/>
        <v>-75716</v>
      </c>
      <c r="AB17" s="31">
        <f t="shared" si="1"/>
        <v>-49345</v>
      </c>
      <c r="AC17" s="31">
        <f t="shared" si="2"/>
        <v>66574</v>
      </c>
      <c r="AD17" s="31">
        <f t="shared" si="3"/>
        <v>-90266.54424422991</v>
      </c>
      <c r="AE17" s="31">
        <f t="shared" si="4"/>
        <v>-111091.48298511375</v>
      </c>
      <c r="AF17" s="31">
        <f t="shared" si="5"/>
        <v>-133146.24813883367</v>
      </c>
    </row>
    <row r="18" spans="1:32" ht="15" customHeight="1" x14ac:dyDescent="0.45">
      <c r="A18" s="9" t="s">
        <v>259</v>
      </c>
      <c r="B18" s="20">
        <f>'CF YTD Inputs'!B18</f>
        <v>894</v>
      </c>
      <c r="C18" s="20">
        <f>'CF YTD Inputs'!C18-'CF YTD Inputs'!B18</f>
        <v>13</v>
      </c>
      <c r="D18" s="20">
        <f>'CF YTD Inputs'!D18-'CF YTD Inputs'!C18</f>
        <v>2594</v>
      </c>
      <c r="E18" s="20">
        <f>'CF YTD Inputs'!E18-'CF YTD Inputs'!D18</f>
        <v>417</v>
      </c>
      <c r="F18" s="20">
        <f>'CF YTD Inputs'!F18</f>
        <v>-196</v>
      </c>
      <c r="G18" s="20">
        <f>'CF YTD Inputs'!G18-'CF YTD Inputs'!F18</f>
        <v>-3201</v>
      </c>
      <c r="H18" s="20">
        <f>'CF YTD Inputs'!H18-'CF YTD Inputs'!G18</f>
        <v>1843</v>
      </c>
      <c r="I18" s="20">
        <f>'CF YTD Inputs'!I18-'CF YTD Inputs'!H18</f>
        <v>-4272</v>
      </c>
      <c r="J18" s="20">
        <f>'CF YTD Inputs'!J18</f>
        <v>5681</v>
      </c>
      <c r="K18" s="20">
        <f>'CF YTD Inputs'!K18-'CF YTD Inputs'!J18</f>
        <v>-6021</v>
      </c>
      <c r="L18" s="20">
        <f>'CF YTD Inputs'!L18-'CF YTD Inputs'!K18</f>
        <v>-1881</v>
      </c>
      <c r="M18" s="20">
        <f>'CF YTD Inputs'!M18-'CF YTD Inputs'!L18</f>
        <v>-13999</v>
      </c>
      <c r="N18" s="20">
        <f>'CF YTD Inputs'!N18</f>
        <v>4082</v>
      </c>
      <c r="O18" s="20">
        <f>'CF YTD Inputs'!O18-'CF YTD Inputs'!N18</f>
        <v>-36</v>
      </c>
      <c r="P18" s="20">
        <f>-('Balance Sheet'!Q12-'Balance Sheet'!P12)</f>
        <v>0</v>
      </c>
      <c r="Q18" s="20">
        <f>-('Balance Sheet'!R12-'Balance Sheet'!Q12)</f>
        <v>0</v>
      </c>
      <c r="R18" s="20">
        <f>-('Balance Sheet'!S12-'Balance Sheet'!R12)</f>
        <v>0</v>
      </c>
      <c r="S18" s="20">
        <f>-('Balance Sheet'!T12-'Balance Sheet'!S12)</f>
        <v>0</v>
      </c>
      <c r="T18" s="20">
        <f>-('Balance Sheet'!U12-'Balance Sheet'!T12)</f>
        <v>0</v>
      </c>
      <c r="U18" s="20">
        <f>-('Balance Sheet'!V12-'Balance Sheet'!U12)</f>
        <v>0</v>
      </c>
      <c r="V18" s="20">
        <f>-('Balance Sheet'!W12-'Balance Sheet'!V12)</f>
        <v>0</v>
      </c>
      <c r="W18" s="20">
        <f>-('Balance Sheet'!X12-'Balance Sheet'!W12)</f>
        <v>0</v>
      </c>
      <c r="X18" s="20">
        <f>-('Balance Sheet'!Y12-'Balance Sheet'!X12)</f>
        <v>0</v>
      </c>
      <c r="Y18" s="20">
        <f>-('Balance Sheet'!Z12-'Balance Sheet'!Y12)</f>
        <v>0</v>
      </c>
      <c r="AA18" s="31">
        <f t="shared" si="0"/>
        <v>3918</v>
      </c>
      <c r="AB18" s="31">
        <f t="shared" si="1"/>
        <v>-5826</v>
      </c>
      <c r="AC18" s="31">
        <f t="shared" si="2"/>
        <v>-16220</v>
      </c>
      <c r="AD18" s="31">
        <f t="shared" si="3"/>
        <v>4046</v>
      </c>
      <c r="AE18" s="31">
        <f t="shared" si="4"/>
        <v>0</v>
      </c>
      <c r="AF18" s="31">
        <f t="shared" si="5"/>
        <v>0</v>
      </c>
    </row>
    <row r="19" spans="1:32" ht="15" customHeight="1" x14ac:dyDescent="0.45">
      <c r="A19" s="9" t="s">
        <v>260</v>
      </c>
      <c r="B19" s="20">
        <f>'CF YTD Inputs'!B19</f>
        <v>-55387</v>
      </c>
      <c r="C19" s="20">
        <f>'CF YTD Inputs'!C19-'CF YTD Inputs'!B19</f>
        <v>25309</v>
      </c>
      <c r="D19" s="20">
        <f>'CF YTD Inputs'!D19-'CF YTD Inputs'!C19</f>
        <v>34219</v>
      </c>
      <c r="E19" s="20">
        <f>'CF YTD Inputs'!E19-'CF YTD Inputs'!D19</f>
        <v>75546</v>
      </c>
      <c r="F19" s="20">
        <f>'CF YTD Inputs'!F19</f>
        <v>-58444</v>
      </c>
      <c r="G19" s="20">
        <f>'CF YTD Inputs'!G19-'CF YTD Inputs'!F19</f>
        <v>43676</v>
      </c>
      <c r="H19" s="20">
        <f>'CF YTD Inputs'!H19-'CF YTD Inputs'!G19</f>
        <v>23609</v>
      </c>
      <c r="I19" s="20">
        <f>'CF YTD Inputs'!I19-'CF YTD Inputs'!H19</f>
        <v>29255</v>
      </c>
      <c r="J19" s="20">
        <f>'CF YTD Inputs'!J19</f>
        <v>-62578</v>
      </c>
      <c r="K19" s="20">
        <f>'CF YTD Inputs'!K19-'CF YTD Inputs'!J19</f>
        <v>36713</v>
      </c>
      <c r="L19" s="20">
        <f>'CF YTD Inputs'!L19-'CF YTD Inputs'!K19</f>
        <v>-4116</v>
      </c>
      <c r="M19" s="20">
        <f>'CF YTD Inputs'!M19-'CF YTD Inputs'!L19</f>
        <v>-12416</v>
      </c>
      <c r="N19" s="20">
        <f>'CF YTD Inputs'!N19</f>
        <v>-997</v>
      </c>
      <c r="O19" s="20">
        <f>'CF YTD Inputs'!O19-'CF YTD Inputs'!N19</f>
        <v>37555</v>
      </c>
      <c r="P19" s="20">
        <f>'Balance Sheet'!Q23-'Balance Sheet'!P23</f>
        <v>76855.573087517929</v>
      </c>
      <c r="Q19" s="20">
        <f>'Balance Sheet'!R23-'Balance Sheet'!Q23</f>
        <v>-36348.34757213277</v>
      </c>
      <c r="R19" s="20">
        <f>'Balance Sheet'!S23-'Balance Sheet'!R23</f>
        <v>97444.418566252338</v>
      </c>
      <c r="S19" s="20">
        <f>'Balance Sheet'!T23-'Balance Sheet'!S23</f>
        <v>-60189.082127635018</v>
      </c>
      <c r="T19" s="20">
        <f>'Balance Sheet'!U23-'Balance Sheet'!T23</f>
        <v>115908.95504313277</v>
      </c>
      <c r="U19" s="20">
        <f>'Balance Sheet'!V23-'Balance Sheet'!U23</f>
        <v>-46519.701920349034</v>
      </c>
      <c r="V19" s="20">
        <f>'Balance Sheet'!W23-'Balance Sheet'!V23</f>
        <v>120288.90477801999</v>
      </c>
      <c r="W19" s="20">
        <f>'Balance Sheet'!X23-'Balance Sheet'!W23</f>
        <v>-76111.581067210413</v>
      </c>
      <c r="X19" s="20">
        <f>'Balance Sheet'!Y23-'Balance Sheet'!X23</f>
        <v>142630.30275417515</v>
      </c>
      <c r="Y19" s="20">
        <f>'Balance Sheet'!Z23-'Balance Sheet'!Y23</f>
        <v>-58991.104416133487</v>
      </c>
      <c r="AA19" s="31">
        <f t="shared" si="0"/>
        <v>79687</v>
      </c>
      <c r="AB19" s="31">
        <f t="shared" si="1"/>
        <v>38096</v>
      </c>
      <c r="AC19" s="31">
        <f t="shared" si="2"/>
        <v>-42397</v>
      </c>
      <c r="AD19" s="31">
        <f t="shared" si="3"/>
        <v>77065.225515385158</v>
      </c>
      <c r="AE19" s="31">
        <f t="shared" si="4"/>
        <v>106644.58956140105</v>
      </c>
      <c r="AF19" s="31">
        <f t="shared" si="5"/>
        <v>127816.52204885124</v>
      </c>
    </row>
    <row r="20" spans="1:32" ht="15" customHeight="1" x14ac:dyDescent="0.45">
      <c r="A20" s="9" t="s">
        <v>261</v>
      </c>
      <c r="B20" s="20">
        <f>'CF YTD Inputs'!B20</f>
        <v>-833</v>
      </c>
      <c r="C20" s="20">
        <f>'CF YTD Inputs'!C20-'CF YTD Inputs'!B20</f>
        <v>2708</v>
      </c>
      <c r="D20" s="20">
        <f>'CF YTD Inputs'!D20-'CF YTD Inputs'!C20</f>
        <v>1339</v>
      </c>
      <c r="E20" s="20">
        <f>'CF YTD Inputs'!E20-'CF YTD Inputs'!D20</f>
        <v>-179</v>
      </c>
      <c r="F20" s="20">
        <f>'CF YTD Inputs'!F20</f>
        <v>-1784</v>
      </c>
      <c r="G20" s="20">
        <f>'CF YTD Inputs'!G20-'CF YTD Inputs'!F20</f>
        <v>1840</v>
      </c>
      <c r="H20" s="20">
        <f>'CF YTD Inputs'!H20-'CF YTD Inputs'!G20</f>
        <v>2203</v>
      </c>
      <c r="I20" s="20">
        <f>'CF YTD Inputs'!I20-'CF YTD Inputs'!H20</f>
        <v>7368</v>
      </c>
      <c r="J20" s="20">
        <f>'CF YTD Inputs'!J20</f>
        <v>-11287</v>
      </c>
      <c r="K20" s="20">
        <f>'CF YTD Inputs'!K20-'CF YTD Inputs'!J20</f>
        <v>5728</v>
      </c>
      <c r="L20" s="20">
        <f>'CF YTD Inputs'!L20-'CF YTD Inputs'!K20</f>
        <v>5988</v>
      </c>
      <c r="M20" s="20">
        <f>'CF YTD Inputs'!M20-'CF YTD Inputs'!L20</f>
        <v>15750</v>
      </c>
      <c r="N20" s="20">
        <f>'CF YTD Inputs'!N20</f>
        <v>-11382</v>
      </c>
      <c r="O20" s="20">
        <f>'CF YTD Inputs'!O20-'CF YTD Inputs'!N20</f>
        <v>9644</v>
      </c>
      <c r="P20" s="20">
        <f>'Balance Sheet'!Q24-'Balance Sheet'!P24</f>
        <v>2229.4400000000023</v>
      </c>
      <c r="Q20" s="20">
        <f>'Balance Sheet'!R24-'Balance Sheet'!Q24</f>
        <v>-159.29799999999886</v>
      </c>
      <c r="R20" s="20">
        <f>'Balance Sheet'!S24-'Balance Sheet'!R24</f>
        <v>-6955.1892000000043</v>
      </c>
      <c r="S20" s="20">
        <f>'Balance Sheet'!T24-'Balance Sheet'!S24</f>
        <v>5579.1010461538463</v>
      </c>
      <c r="T20" s="20">
        <f>'Balance Sheet'!U24-'Balance Sheet'!T24</f>
        <v>2544.2413538461551</v>
      </c>
      <c r="U20" s="20">
        <f>'Balance Sheet'!V24-'Balance Sheet'!U24</f>
        <v>-151.9276600000012</v>
      </c>
      <c r="V20" s="20">
        <f>'Balance Sheet'!W24-'Balance Sheet'!V24</f>
        <v>-7202.6998529670309</v>
      </c>
      <c r="W20" s="20">
        <f>'Balance Sheet'!X24-'Balance Sheet'!W24</f>
        <v>5763.963671648351</v>
      </c>
      <c r="X20" s="20">
        <f>'Balance Sheet'!Y24-'Balance Sheet'!X24</f>
        <v>2638.387577318681</v>
      </c>
      <c r="Y20" s="20">
        <f>'Balance Sheet'!Z24-'Balance Sheet'!Y24</f>
        <v>-143.85023859999637</v>
      </c>
      <c r="AA20" s="31">
        <f t="shared" si="0"/>
        <v>3035</v>
      </c>
      <c r="AB20" s="31">
        <f t="shared" si="1"/>
        <v>9627</v>
      </c>
      <c r="AC20" s="31">
        <f t="shared" si="2"/>
        <v>16179</v>
      </c>
      <c r="AD20" s="31">
        <f t="shared" si="3"/>
        <v>332.14200000000346</v>
      </c>
      <c r="AE20" s="31">
        <f t="shared" si="4"/>
        <v>1016.2255399999958</v>
      </c>
      <c r="AF20" s="31">
        <f t="shared" si="5"/>
        <v>1055.8011574000047</v>
      </c>
    </row>
    <row r="21" spans="1:32" ht="15" customHeight="1" x14ac:dyDescent="0.45">
      <c r="A21" s="9" t="s">
        <v>262</v>
      </c>
      <c r="B21" s="20">
        <f>'CF YTD Inputs'!B21</f>
        <v>-1265</v>
      </c>
      <c r="C21" s="20">
        <f>'CF YTD Inputs'!C21-'CF YTD Inputs'!B21</f>
        <v>-1475</v>
      </c>
      <c r="D21" s="20">
        <f>'CF YTD Inputs'!D21-'CF YTD Inputs'!C21</f>
        <v>-1542</v>
      </c>
      <c r="E21" s="20">
        <f>'CF YTD Inputs'!E21-'CF YTD Inputs'!D21</f>
        <v>-1507</v>
      </c>
      <c r="F21" s="20">
        <f>'CF YTD Inputs'!F21</f>
        <v>-1380</v>
      </c>
      <c r="G21" s="20">
        <f>'CF YTD Inputs'!G21-'CF YTD Inputs'!F21</f>
        <v>-1590</v>
      </c>
      <c r="H21" s="20">
        <f>'CF YTD Inputs'!H21-'CF YTD Inputs'!G21</f>
        <v>-1771</v>
      </c>
      <c r="I21" s="20">
        <f>'CF YTD Inputs'!I21-'CF YTD Inputs'!H21</f>
        <v>-1790</v>
      </c>
      <c r="J21" s="20">
        <f>'CF YTD Inputs'!J21</f>
        <v>-590</v>
      </c>
      <c r="K21" s="20">
        <f>'CF YTD Inputs'!K21-'CF YTD Inputs'!J21</f>
        <v>-738</v>
      </c>
      <c r="L21" s="20">
        <f>'CF YTD Inputs'!L21-'CF YTD Inputs'!K21</f>
        <v>-584</v>
      </c>
      <c r="M21" s="20">
        <f>'CF YTD Inputs'!M21-'CF YTD Inputs'!L21</f>
        <v>-704</v>
      </c>
      <c r="N21" s="20">
        <f>'CF YTD Inputs'!N21</f>
        <v>-1444</v>
      </c>
      <c r="O21" s="20">
        <f>'CF YTD Inputs'!O21-'CF YTD Inputs'!N21</f>
        <v>-1744</v>
      </c>
      <c r="AA21" s="31">
        <f t="shared" si="0"/>
        <v>-5789</v>
      </c>
      <c r="AB21" s="31">
        <f t="shared" si="1"/>
        <v>-6531</v>
      </c>
      <c r="AC21" s="31">
        <f t="shared" si="2"/>
        <v>-2616</v>
      </c>
      <c r="AD21" s="31">
        <f t="shared" si="3"/>
        <v>-3188</v>
      </c>
      <c r="AE21" s="31">
        <f t="shared" si="4"/>
        <v>0</v>
      </c>
      <c r="AF21" s="31">
        <f t="shared" si="5"/>
        <v>0</v>
      </c>
    </row>
    <row r="22" spans="1:32" ht="15" customHeight="1" x14ac:dyDescent="0.45">
      <c r="A22" s="9" t="s">
        <v>263</v>
      </c>
      <c r="B22" s="20">
        <f>'CF YTD Inputs'!B22</f>
        <v>-712</v>
      </c>
      <c r="C22" s="20">
        <f>'CF YTD Inputs'!C22-'CF YTD Inputs'!B22</f>
        <v>-602</v>
      </c>
      <c r="D22" s="20">
        <f>'CF YTD Inputs'!D22-'CF YTD Inputs'!C22</f>
        <v>348</v>
      </c>
      <c r="E22" s="20">
        <f>'CF YTD Inputs'!E22-'CF YTD Inputs'!D22</f>
        <v>73</v>
      </c>
      <c r="F22" s="20">
        <f>'CF YTD Inputs'!F22</f>
        <v>257</v>
      </c>
      <c r="G22" s="20">
        <f>'CF YTD Inputs'!G22-'CF YTD Inputs'!F22</f>
        <v>20</v>
      </c>
      <c r="H22" s="20">
        <f>'CF YTD Inputs'!H22-'CF YTD Inputs'!G22</f>
        <v>177</v>
      </c>
      <c r="I22" s="20">
        <f>'CF YTD Inputs'!I22-'CF YTD Inputs'!H22</f>
        <v>-257</v>
      </c>
      <c r="J22" s="20">
        <f>'CF YTD Inputs'!J22</f>
        <v>319</v>
      </c>
      <c r="K22" s="20">
        <f>'CF YTD Inputs'!K22-'CF YTD Inputs'!J22</f>
        <v>-44</v>
      </c>
      <c r="L22" s="20">
        <f>'CF YTD Inputs'!L22-'CF YTD Inputs'!K22</f>
        <v>157</v>
      </c>
      <c r="M22" s="20">
        <f>'CF YTD Inputs'!M22-'CF YTD Inputs'!L22</f>
        <v>429</v>
      </c>
      <c r="N22" s="20">
        <f>'CF YTD Inputs'!N22</f>
        <v>-6</v>
      </c>
      <c r="O22" s="20">
        <f>'CF YTD Inputs'!O22-'CF YTD Inputs'!N22</f>
        <v>1639</v>
      </c>
      <c r="AA22" s="31">
        <f t="shared" si="0"/>
        <v>-893</v>
      </c>
      <c r="AB22" s="31">
        <f t="shared" si="1"/>
        <v>197</v>
      </c>
      <c r="AC22" s="31">
        <f t="shared" si="2"/>
        <v>861</v>
      </c>
      <c r="AD22" s="31">
        <f t="shared" si="3"/>
        <v>1633</v>
      </c>
      <c r="AE22" s="31">
        <f t="shared" si="4"/>
        <v>0</v>
      </c>
      <c r="AF22" s="31">
        <f t="shared" si="5"/>
        <v>0</v>
      </c>
    </row>
    <row r="23" spans="1:32" ht="15" customHeight="1" x14ac:dyDescent="0.45">
      <c r="A23" s="38" t="s">
        <v>264</v>
      </c>
      <c r="B23" s="39">
        <f t="shared" ref="B23:Y23" si="6">SUM(B9:B22)</f>
        <v>12754</v>
      </c>
      <c r="C23" s="39">
        <f t="shared" si="6"/>
        <v>15848</v>
      </c>
      <c r="D23" s="39">
        <f t="shared" si="6"/>
        <v>23845</v>
      </c>
      <c r="E23" s="39">
        <f t="shared" si="6"/>
        <v>28674</v>
      </c>
      <c r="F23" s="39">
        <f t="shared" si="6"/>
        <v>24294</v>
      </c>
      <c r="G23" s="39">
        <f t="shared" si="6"/>
        <v>11944</v>
      </c>
      <c r="H23" s="39">
        <f t="shared" si="6"/>
        <v>19139</v>
      </c>
      <c r="I23" s="39">
        <f t="shared" si="6"/>
        <v>18048</v>
      </c>
      <c r="J23" s="39">
        <f t="shared" si="6"/>
        <v>15621</v>
      </c>
      <c r="K23" s="39">
        <f t="shared" si="6"/>
        <v>14905</v>
      </c>
      <c r="L23" s="39">
        <f t="shared" si="6"/>
        <v>32374</v>
      </c>
      <c r="M23" s="39">
        <f t="shared" si="6"/>
        <v>18159</v>
      </c>
      <c r="N23" s="39">
        <f t="shared" si="6"/>
        <v>17295</v>
      </c>
      <c r="O23" s="39">
        <f t="shared" si="6"/>
        <v>20210</v>
      </c>
      <c r="P23" s="39">
        <f t="shared" si="6"/>
        <v>10512.963058310706</v>
      </c>
      <c r="Q23" s="39">
        <f t="shared" si="6"/>
        <v>28303.138179420417</v>
      </c>
      <c r="R23" s="39">
        <f t="shared" si="6"/>
        <v>51083.373292474236</v>
      </c>
      <c r="S23" s="39">
        <f t="shared" si="6"/>
        <v>32632.455430634589</v>
      </c>
      <c r="T23" s="39">
        <f t="shared" si="6"/>
        <v>22531.334188974419</v>
      </c>
      <c r="U23" s="39">
        <f t="shared" si="6"/>
        <v>44905.799680167562</v>
      </c>
      <c r="V23" s="39">
        <f t="shared" si="6"/>
        <v>75524.815422632906</v>
      </c>
      <c r="W23" s="39">
        <f t="shared" si="6"/>
        <v>49822.602230437769</v>
      </c>
      <c r="X23" s="39">
        <f t="shared" si="6"/>
        <v>38204.415818487825</v>
      </c>
      <c r="Y23" s="39">
        <f t="shared" si="6"/>
        <v>65763.870496703108</v>
      </c>
      <c r="AA23" s="39">
        <f t="shared" ref="AA23:AF23" si="7">SUM(AA9:AA22)</f>
        <v>81121</v>
      </c>
      <c r="AB23" s="39">
        <f t="shared" si="7"/>
        <v>73425</v>
      </c>
      <c r="AC23" s="39">
        <f t="shared" si="7"/>
        <v>81059</v>
      </c>
      <c r="AD23" s="39">
        <f t="shared" si="7"/>
        <v>76321.101237731127</v>
      </c>
      <c r="AE23" s="39">
        <f t="shared" si="7"/>
        <v>151152.96259225081</v>
      </c>
      <c r="AF23" s="39">
        <f t="shared" si="7"/>
        <v>229315.70396826166</v>
      </c>
    </row>
    <row r="25" spans="1:32" ht="15" customHeight="1" x14ac:dyDescent="0.45">
      <c r="A25" s="16" t="s">
        <v>265</v>
      </c>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row>
    <row r="26" spans="1:32" ht="15" customHeight="1" x14ac:dyDescent="0.45">
      <c r="A26" s="9" t="s">
        <v>166</v>
      </c>
      <c r="B26" s="20">
        <f>'CF YTD Inputs'!B26</f>
        <v>-1417</v>
      </c>
      <c r="C26" s="20">
        <f>'CF YTD Inputs'!C26-'CF YTD Inputs'!B26</f>
        <v>-1135</v>
      </c>
      <c r="D26" s="20">
        <f>'CF YTD Inputs'!D26-'CF YTD Inputs'!C26</f>
        <v>-2872</v>
      </c>
      <c r="E26" s="20">
        <f>'CF YTD Inputs'!E26-'CF YTD Inputs'!D26</f>
        <v>-5177</v>
      </c>
      <c r="F26" s="20">
        <f>'CF YTD Inputs'!F26</f>
        <v>-801</v>
      </c>
      <c r="G26" s="20">
        <f>'CF YTD Inputs'!G26-'CF YTD Inputs'!F26</f>
        <v>-736</v>
      </c>
      <c r="H26" s="20">
        <f>'CF YTD Inputs'!H26-'CF YTD Inputs'!G26</f>
        <v>-11731</v>
      </c>
      <c r="I26" s="20">
        <f>'CF YTD Inputs'!I26-'CF YTD Inputs'!H26</f>
        <v>-4324</v>
      </c>
      <c r="J26" s="20">
        <f>'CF YTD Inputs'!J26</f>
        <v>-1441</v>
      </c>
      <c r="K26" s="20">
        <f>'CF YTD Inputs'!K26-'CF YTD Inputs'!J26</f>
        <v>-1340</v>
      </c>
      <c r="L26" s="20">
        <f>'CF YTD Inputs'!L26-'CF YTD Inputs'!K26</f>
        <v>-4674</v>
      </c>
      <c r="M26" s="20">
        <f>'CF YTD Inputs'!M26-'CF YTD Inputs'!L26</f>
        <v>-6890</v>
      </c>
      <c r="N26" s="20">
        <f>'CF YTD Inputs'!N26</f>
        <v>-11</v>
      </c>
      <c r="O26" s="20">
        <f>'CF YTD Inputs'!O26-'CF YTD Inputs'!N26</f>
        <v>-2955</v>
      </c>
      <c r="P26" s="20">
        <f>-Drivers!P32</f>
        <v>-3500</v>
      </c>
      <c r="Q26" s="20">
        <f>-Drivers!Q32</f>
        <v>-3500</v>
      </c>
      <c r="R26" s="20">
        <f>-Drivers!R32</f>
        <v>-3500</v>
      </c>
      <c r="S26" s="20">
        <f>-Drivers!S32</f>
        <v>-3500</v>
      </c>
      <c r="T26" s="20">
        <f>-Drivers!T32</f>
        <v>-3500</v>
      </c>
      <c r="U26" s="20">
        <f>-Drivers!U32</f>
        <v>-3500</v>
      </c>
      <c r="V26" s="20">
        <f>-Drivers!V32</f>
        <v>-3500</v>
      </c>
      <c r="W26" s="20">
        <f>-Drivers!W32</f>
        <v>-3500</v>
      </c>
      <c r="X26" s="20">
        <f>-Drivers!X32</f>
        <v>-3500</v>
      </c>
      <c r="Y26" s="20">
        <f>-Drivers!Y32</f>
        <v>-3500</v>
      </c>
      <c r="AA26" s="31">
        <f t="shared" ref="AA26:AA32" si="8">SUM(B26:E26)</f>
        <v>-10601</v>
      </c>
      <c r="AB26" s="31">
        <f t="shared" ref="AB26:AB32" si="9">SUM(F26:I26)</f>
        <v>-17592</v>
      </c>
      <c r="AC26" s="31">
        <f t="shared" ref="AC26:AC32" si="10">SUM(J26:M26)</f>
        <v>-14345</v>
      </c>
      <c r="AD26" s="31">
        <f t="shared" ref="AD26:AD32" si="11">SUM(N26:Q26)</f>
        <v>-9966</v>
      </c>
      <c r="AE26" s="31">
        <f t="shared" ref="AE26:AE32" si="12">SUM(R26:U26)</f>
        <v>-14000</v>
      </c>
      <c r="AF26" s="31">
        <f t="shared" ref="AF26:AF32" si="13">SUM(V26:Y26)</f>
        <v>-14000</v>
      </c>
    </row>
    <row r="27" spans="1:32" ht="15" customHeight="1" x14ac:dyDescent="0.45">
      <c r="A27" s="9" t="s">
        <v>168</v>
      </c>
      <c r="B27" s="20">
        <f>'CF YTD Inputs'!B27</f>
        <v>-6001</v>
      </c>
      <c r="C27" s="20">
        <f>'CF YTD Inputs'!C27-'CF YTD Inputs'!B27</f>
        <v>-3918</v>
      </c>
      <c r="D27" s="20">
        <f>'CF YTD Inputs'!D27-'CF YTD Inputs'!C27</f>
        <v>-3806</v>
      </c>
      <c r="E27" s="20">
        <f>'CF YTD Inputs'!E27-'CF YTD Inputs'!D27</f>
        <v>-3962</v>
      </c>
      <c r="F27" s="20">
        <f>'CF YTD Inputs'!F27</f>
        <v>-7231</v>
      </c>
      <c r="G27" s="20">
        <f>'CF YTD Inputs'!G27-'CF YTD Inputs'!F27</f>
        <v>-4295</v>
      </c>
      <c r="H27" s="20">
        <f>'CF YTD Inputs'!H27-'CF YTD Inputs'!G27</f>
        <v>-4542</v>
      </c>
      <c r="I27" s="20">
        <f>'CF YTD Inputs'!I27-'CF YTD Inputs'!H27</f>
        <v>-4868</v>
      </c>
      <c r="J27" s="20">
        <f>'CF YTD Inputs'!J27</f>
        <v>-6880</v>
      </c>
      <c r="K27" s="20">
        <f>'CF YTD Inputs'!K27-'CF YTD Inputs'!J27</f>
        <v>-4300</v>
      </c>
      <c r="L27" s="20">
        <f>'CF YTD Inputs'!L27-'CF YTD Inputs'!K27</f>
        <v>-4914</v>
      </c>
      <c r="M27" s="20">
        <f>'CF YTD Inputs'!M27-'CF YTD Inputs'!L27</f>
        <v>-4417</v>
      </c>
      <c r="N27" s="20">
        <f>'CF YTD Inputs'!N27</f>
        <v>-6579</v>
      </c>
      <c r="O27" s="20">
        <f>'CF YTD Inputs'!O27-'CF YTD Inputs'!N27</f>
        <v>-3592</v>
      </c>
      <c r="P27" s="20">
        <f>-Drivers!P33</f>
        <v>-5000</v>
      </c>
      <c r="Q27" s="20">
        <f>-Drivers!Q33</f>
        <v>-5000</v>
      </c>
      <c r="R27" s="20">
        <f>-Drivers!R33</f>
        <v>-5000</v>
      </c>
      <c r="S27" s="20">
        <f>-Drivers!S33</f>
        <v>-5000</v>
      </c>
      <c r="T27" s="20">
        <f>-Drivers!T33</f>
        <v>-5000</v>
      </c>
      <c r="U27" s="20">
        <f>-Drivers!U33</f>
        <v>-5000</v>
      </c>
      <c r="V27" s="20">
        <f>-Drivers!V33</f>
        <v>-5000</v>
      </c>
      <c r="W27" s="20">
        <f>-Drivers!W33</f>
        <v>-5000</v>
      </c>
      <c r="X27" s="20">
        <f>-Drivers!X33</f>
        <v>-5000</v>
      </c>
      <c r="Y27" s="20">
        <f>-Drivers!Y33</f>
        <v>-5000</v>
      </c>
      <c r="AA27" s="31">
        <f t="shared" si="8"/>
        <v>-17687</v>
      </c>
      <c r="AB27" s="31">
        <f t="shared" si="9"/>
        <v>-20936</v>
      </c>
      <c r="AC27" s="31">
        <f t="shared" si="10"/>
        <v>-20511</v>
      </c>
      <c r="AD27" s="31">
        <f t="shared" si="11"/>
        <v>-20171</v>
      </c>
      <c r="AE27" s="31">
        <f t="shared" si="12"/>
        <v>-20000</v>
      </c>
      <c r="AF27" s="31">
        <f t="shared" si="13"/>
        <v>-20000</v>
      </c>
    </row>
    <row r="28" spans="1:32" ht="15" customHeight="1" x14ac:dyDescent="0.45">
      <c r="A28" s="45" t="s">
        <v>266</v>
      </c>
      <c r="B28" s="20">
        <f>'CF YTD Inputs'!B28</f>
        <v>-40343</v>
      </c>
      <c r="C28" s="20">
        <f>'CF YTD Inputs'!C28-'CF YTD Inputs'!B28</f>
        <v>-6372</v>
      </c>
      <c r="D28" s="20">
        <f>'CF YTD Inputs'!D28-'CF YTD Inputs'!C28</f>
        <v>-30217</v>
      </c>
      <c r="E28" s="20">
        <f>'CF YTD Inputs'!E28-'CF YTD Inputs'!D28</f>
        <v>-63671</v>
      </c>
      <c r="F28" s="20">
        <f>'CF YTD Inputs'!F28</f>
        <v>-34336</v>
      </c>
      <c r="G28" s="20">
        <f>'CF YTD Inputs'!G28-'CF YTD Inputs'!F28</f>
        <v>-62229</v>
      </c>
      <c r="H28" s="20">
        <f>'CF YTD Inputs'!H28-'CF YTD Inputs'!G28</f>
        <v>-21412</v>
      </c>
      <c r="I28" s="20">
        <f>'CF YTD Inputs'!I28-'CF YTD Inputs'!H28</f>
        <v>-24039</v>
      </c>
      <c r="J28" s="20">
        <f>'CF YTD Inputs'!J28</f>
        <v>-15307</v>
      </c>
      <c r="K28" s="20">
        <f>'CF YTD Inputs'!K28-'CF YTD Inputs'!J28</f>
        <v>-10719</v>
      </c>
      <c r="L28" s="20">
        <f>'CF YTD Inputs'!L28-'CF YTD Inputs'!K28</f>
        <v>0</v>
      </c>
      <c r="M28" s="20">
        <f>'CF YTD Inputs'!M28-'CF YTD Inputs'!L28</f>
        <v>0</v>
      </c>
      <c r="N28" s="20">
        <f>'CF YTD Inputs'!N28</f>
        <v>0</v>
      </c>
      <c r="O28" s="20">
        <f>'CF YTD Inputs'!O28-'CF YTD Inputs'!N28</f>
        <v>-17429</v>
      </c>
      <c r="AA28" s="31">
        <f t="shared" si="8"/>
        <v>-140603</v>
      </c>
      <c r="AB28" s="31">
        <f t="shared" si="9"/>
        <v>-142016</v>
      </c>
      <c r="AC28" s="31">
        <f t="shared" si="10"/>
        <v>-26026</v>
      </c>
      <c r="AD28" s="31">
        <f t="shared" si="11"/>
        <v>-17429</v>
      </c>
      <c r="AE28" s="31">
        <f t="shared" si="12"/>
        <v>0</v>
      </c>
      <c r="AF28" s="31">
        <f t="shared" si="13"/>
        <v>0</v>
      </c>
    </row>
    <row r="29" spans="1:32" ht="15" customHeight="1" x14ac:dyDescent="0.45">
      <c r="A29" s="45" t="s">
        <v>267</v>
      </c>
      <c r="B29" s="20">
        <f>'CF YTD Inputs'!B29</f>
        <v>0</v>
      </c>
      <c r="C29" s="20">
        <f>'CF YTD Inputs'!C29-'CF YTD Inputs'!B29</f>
        <v>18873</v>
      </c>
      <c r="D29" s="20">
        <f>'CF YTD Inputs'!D29-'CF YTD Inputs'!C29</f>
        <v>0</v>
      </c>
      <c r="E29" s="20">
        <f>'CF YTD Inputs'!E29-'CF YTD Inputs'!D29</f>
        <v>0</v>
      </c>
      <c r="F29" s="20">
        <f>'CF YTD Inputs'!F29</f>
        <v>0</v>
      </c>
      <c r="G29" s="20">
        <f>'CF YTD Inputs'!G29-'CF YTD Inputs'!F29</f>
        <v>0</v>
      </c>
      <c r="H29" s="20">
        <f>'CF YTD Inputs'!H29-'CF YTD Inputs'!G29</f>
        <v>0</v>
      </c>
      <c r="I29" s="20">
        <f>'CF YTD Inputs'!I29-'CF YTD Inputs'!H29</f>
        <v>0</v>
      </c>
      <c r="J29" s="20">
        <f>'CF YTD Inputs'!J29</f>
        <v>0</v>
      </c>
      <c r="K29" s="20">
        <f>'CF YTD Inputs'!K29-'CF YTD Inputs'!J29</f>
        <v>0</v>
      </c>
      <c r="L29" s="20">
        <f>'CF YTD Inputs'!L29-'CF YTD Inputs'!K29</f>
        <v>27095</v>
      </c>
      <c r="M29" s="20">
        <f>'CF YTD Inputs'!M29-'CF YTD Inputs'!L29</f>
        <v>0</v>
      </c>
      <c r="N29" s="20">
        <f>'CF YTD Inputs'!N29</f>
        <v>0</v>
      </c>
      <c r="O29" s="20">
        <f>'CF YTD Inputs'!O29-'CF YTD Inputs'!N29</f>
        <v>0</v>
      </c>
      <c r="AA29" s="31">
        <f t="shared" si="8"/>
        <v>18873</v>
      </c>
      <c r="AB29" s="31">
        <f t="shared" si="9"/>
        <v>0</v>
      </c>
      <c r="AC29" s="31">
        <f t="shared" si="10"/>
        <v>27095</v>
      </c>
      <c r="AD29" s="31">
        <f t="shared" si="11"/>
        <v>0</v>
      </c>
      <c r="AE29" s="31">
        <f t="shared" si="12"/>
        <v>0</v>
      </c>
      <c r="AF29" s="31">
        <f t="shared" si="13"/>
        <v>0</v>
      </c>
    </row>
    <row r="30" spans="1:32" ht="15" customHeight="1" x14ac:dyDescent="0.45">
      <c r="A30" s="45" t="s">
        <v>268</v>
      </c>
      <c r="B30" s="20">
        <f>'CF YTD Inputs'!B30</f>
        <v>29500</v>
      </c>
      <c r="C30" s="20">
        <f>'CF YTD Inputs'!C30-'CF YTD Inputs'!B30</f>
        <v>17000</v>
      </c>
      <c r="D30" s="20">
        <f>'CF YTD Inputs'!D30-'CF YTD Inputs'!C30</f>
        <v>23000</v>
      </c>
      <c r="E30" s="20">
        <f>'CF YTD Inputs'!E30-'CF YTD Inputs'!D30</f>
        <v>41500</v>
      </c>
      <c r="F30" s="20">
        <f>'CF YTD Inputs'!F30</f>
        <v>38500</v>
      </c>
      <c r="G30" s="20">
        <f>'CF YTD Inputs'!G30-'CF YTD Inputs'!F30</f>
        <v>65258</v>
      </c>
      <c r="H30" s="20">
        <f>'CF YTD Inputs'!H30-'CF YTD Inputs'!G30</f>
        <v>53200</v>
      </c>
      <c r="I30" s="20">
        <f>'CF YTD Inputs'!I30-'CF YTD Inputs'!H30</f>
        <v>45900</v>
      </c>
      <c r="J30" s="20">
        <f>'CF YTD Inputs'!J30</f>
        <v>13559</v>
      </c>
      <c r="K30" s="20">
        <f>'CF YTD Inputs'!K30-'CF YTD Inputs'!J30</f>
        <v>26300</v>
      </c>
      <c r="L30" s="20">
        <f>'CF YTD Inputs'!L30-'CF YTD Inputs'!K30</f>
        <v>0</v>
      </c>
      <c r="M30" s="20">
        <f>'CF YTD Inputs'!M30-'CF YTD Inputs'!L30</f>
        <v>0</v>
      </c>
      <c r="N30" s="20">
        <f>'CF YTD Inputs'!N30</f>
        <v>0</v>
      </c>
      <c r="O30" s="20">
        <f>'CF YTD Inputs'!O30-'CF YTD Inputs'!N30</f>
        <v>0</v>
      </c>
      <c r="AA30" s="31">
        <f t="shared" si="8"/>
        <v>111000</v>
      </c>
      <c r="AB30" s="31">
        <f t="shared" si="9"/>
        <v>202858</v>
      </c>
      <c r="AC30" s="31">
        <f t="shared" si="10"/>
        <v>39859</v>
      </c>
      <c r="AD30" s="31">
        <f t="shared" si="11"/>
        <v>0</v>
      </c>
      <c r="AE30" s="31">
        <f t="shared" si="12"/>
        <v>0</v>
      </c>
      <c r="AF30" s="31">
        <f t="shared" si="13"/>
        <v>0</v>
      </c>
    </row>
    <row r="31" spans="1:32" ht="15" customHeight="1" x14ac:dyDescent="0.45">
      <c r="A31" s="9" t="s">
        <v>269</v>
      </c>
      <c r="B31" s="31">
        <f t="shared" ref="B31:O31" si="14">SUM(B28:B30)</f>
        <v>-10843</v>
      </c>
      <c r="C31" s="31">
        <f t="shared" si="14"/>
        <v>29501</v>
      </c>
      <c r="D31" s="31">
        <f t="shared" si="14"/>
        <v>-7217</v>
      </c>
      <c r="E31" s="31">
        <f t="shared" si="14"/>
        <v>-22171</v>
      </c>
      <c r="F31" s="31">
        <f t="shared" si="14"/>
        <v>4164</v>
      </c>
      <c r="G31" s="31">
        <f t="shared" si="14"/>
        <v>3029</v>
      </c>
      <c r="H31" s="31">
        <f t="shared" si="14"/>
        <v>31788</v>
      </c>
      <c r="I31" s="31">
        <f t="shared" si="14"/>
        <v>21861</v>
      </c>
      <c r="J31" s="31">
        <f t="shared" si="14"/>
        <v>-1748</v>
      </c>
      <c r="K31" s="31">
        <f t="shared" si="14"/>
        <v>15581</v>
      </c>
      <c r="L31" s="31">
        <f t="shared" si="14"/>
        <v>27095</v>
      </c>
      <c r="M31" s="31">
        <f t="shared" si="14"/>
        <v>0</v>
      </c>
      <c r="N31" s="31">
        <f t="shared" si="14"/>
        <v>0</v>
      </c>
      <c r="O31" s="31">
        <f t="shared" si="14"/>
        <v>-17429</v>
      </c>
      <c r="P31" s="20">
        <f>-('Balance Sheet'!Q10-'Balance Sheet'!P10)</f>
        <v>0</v>
      </c>
      <c r="Q31" s="20">
        <f>-('Balance Sheet'!R10-'Balance Sheet'!Q10)</f>
        <v>0</v>
      </c>
      <c r="R31" s="20">
        <f>-('Balance Sheet'!S10-'Balance Sheet'!R10)</f>
        <v>0</v>
      </c>
      <c r="S31" s="20">
        <f>-('Balance Sheet'!T10-'Balance Sheet'!S10)</f>
        <v>0</v>
      </c>
      <c r="T31" s="20">
        <f>-('Balance Sheet'!U10-'Balance Sheet'!T10)</f>
        <v>0</v>
      </c>
      <c r="U31" s="20">
        <f>-('Balance Sheet'!V10-'Balance Sheet'!U10)</f>
        <v>0</v>
      </c>
      <c r="V31" s="20">
        <f>-('Balance Sheet'!W10-'Balance Sheet'!V10)</f>
        <v>0</v>
      </c>
      <c r="W31" s="20">
        <f>-('Balance Sheet'!X10-'Balance Sheet'!W10)</f>
        <v>0</v>
      </c>
      <c r="X31" s="20">
        <f>-('Balance Sheet'!Y10-'Balance Sheet'!X10)</f>
        <v>0</v>
      </c>
      <c r="Y31" s="20">
        <f>-('Balance Sheet'!Z10-'Balance Sheet'!Y10)</f>
        <v>0</v>
      </c>
      <c r="AA31" s="31">
        <f t="shared" si="8"/>
        <v>-10730</v>
      </c>
      <c r="AB31" s="31">
        <f t="shared" si="9"/>
        <v>60842</v>
      </c>
      <c r="AC31" s="31">
        <f t="shared" si="10"/>
        <v>40928</v>
      </c>
      <c r="AD31" s="31">
        <f t="shared" si="11"/>
        <v>-17429</v>
      </c>
      <c r="AE31" s="31">
        <f t="shared" si="12"/>
        <v>0</v>
      </c>
      <c r="AF31" s="31">
        <f t="shared" si="13"/>
        <v>0</v>
      </c>
    </row>
    <row r="32" spans="1:32" ht="15" customHeight="1" x14ac:dyDescent="0.45">
      <c r="A32" s="9" t="s">
        <v>270</v>
      </c>
      <c r="B32" s="20">
        <f>'CF YTD Inputs'!B31</f>
        <v>0</v>
      </c>
      <c r="C32" s="20">
        <f>'CF YTD Inputs'!C31-'CF YTD Inputs'!B31</f>
        <v>0</v>
      </c>
      <c r="D32" s="20">
        <f>'CF YTD Inputs'!D31-'CF YTD Inputs'!C31</f>
        <v>0</v>
      </c>
      <c r="E32" s="20">
        <f>'CF YTD Inputs'!E31-'CF YTD Inputs'!D31</f>
        <v>0</v>
      </c>
      <c r="F32" s="20">
        <f>'CF YTD Inputs'!F31</f>
        <v>0</v>
      </c>
      <c r="G32" s="20">
        <f>'CF YTD Inputs'!G31-'CF YTD Inputs'!F31</f>
        <v>0</v>
      </c>
      <c r="H32" s="20">
        <f>'CF YTD Inputs'!H31-'CF YTD Inputs'!G31</f>
        <v>0</v>
      </c>
      <c r="I32" s="20">
        <f>'CF YTD Inputs'!I31-'CF YTD Inputs'!H31</f>
        <v>0</v>
      </c>
      <c r="J32" s="20">
        <f>'CF YTD Inputs'!J31</f>
        <v>0</v>
      </c>
      <c r="K32" s="20">
        <f>'CF YTD Inputs'!K31-'CF YTD Inputs'!J31</f>
        <v>0</v>
      </c>
      <c r="L32" s="20">
        <f>'CF YTD Inputs'!L31-'CF YTD Inputs'!K31</f>
        <v>0</v>
      </c>
      <c r="M32" s="20">
        <f>'CF YTD Inputs'!M31-'CF YTD Inputs'!L31</f>
        <v>0</v>
      </c>
      <c r="N32" s="20">
        <f>'CF YTD Inputs'!N31</f>
        <v>-3000</v>
      </c>
      <c r="O32" s="20">
        <f>'CF YTD Inputs'!O31-'CF YTD Inputs'!N31</f>
        <v>-500</v>
      </c>
      <c r="AA32" s="31">
        <f t="shared" si="8"/>
        <v>0</v>
      </c>
      <c r="AB32" s="31">
        <f t="shared" si="9"/>
        <v>0</v>
      </c>
      <c r="AC32" s="31">
        <f t="shared" si="10"/>
        <v>0</v>
      </c>
      <c r="AD32" s="31">
        <f t="shared" si="11"/>
        <v>-3500</v>
      </c>
      <c r="AE32" s="31">
        <f t="shared" si="12"/>
        <v>0</v>
      </c>
      <c r="AF32" s="31">
        <f t="shared" si="13"/>
        <v>0</v>
      </c>
    </row>
    <row r="33" spans="1:32" ht="15" customHeight="1" x14ac:dyDescent="0.45">
      <c r="A33" s="38" t="s">
        <v>271</v>
      </c>
      <c r="B33" s="39">
        <f t="shared" ref="B33:Y33" si="15">B26+B27+B31+B32</f>
        <v>-18261</v>
      </c>
      <c r="C33" s="39">
        <f t="shared" si="15"/>
        <v>24448</v>
      </c>
      <c r="D33" s="39">
        <f t="shared" si="15"/>
        <v>-13895</v>
      </c>
      <c r="E33" s="39">
        <f t="shared" si="15"/>
        <v>-31310</v>
      </c>
      <c r="F33" s="39">
        <f t="shared" si="15"/>
        <v>-3868</v>
      </c>
      <c r="G33" s="39">
        <f t="shared" si="15"/>
        <v>-2002</v>
      </c>
      <c r="H33" s="39">
        <f t="shared" si="15"/>
        <v>15515</v>
      </c>
      <c r="I33" s="39">
        <f t="shared" si="15"/>
        <v>12669</v>
      </c>
      <c r="J33" s="39">
        <f t="shared" si="15"/>
        <v>-10069</v>
      </c>
      <c r="K33" s="39">
        <f t="shared" si="15"/>
        <v>9941</v>
      </c>
      <c r="L33" s="39">
        <f t="shared" si="15"/>
        <v>17507</v>
      </c>
      <c r="M33" s="39">
        <f t="shared" si="15"/>
        <v>-11307</v>
      </c>
      <c r="N33" s="39">
        <f t="shared" si="15"/>
        <v>-9590</v>
      </c>
      <c r="O33" s="39">
        <f t="shared" si="15"/>
        <v>-24476</v>
      </c>
      <c r="P33" s="39">
        <f t="shared" si="15"/>
        <v>-8500</v>
      </c>
      <c r="Q33" s="39">
        <f t="shared" si="15"/>
        <v>-8500</v>
      </c>
      <c r="R33" s="39">
        <f t="shared" si="15"/>
        <v>-8500</v>
      </c>
      <c r="S33" s="39">
        <f t="shared" si="15"/>
        <v>-8500</v>
      </c>
      <c r="T33" s="39">
        <f t="shared" si="15"/>
        <v>-8500</v>
      </c>
      <c r="U33" s="39">
        <f t="shared" si="15"/>
        <v>-8500</v>
      </c>
      <c r="V33" s="39">
        <f t="shared" si="15"/>
        <v>-8500</v>
      </c>
      <c r="W33" s="39">
        <f t="shared" si="15"/>
        <v>-8500</v>
      </c>
      <c r="X33" s="39">
        <f t="shared" si="15"/>
        <v>-8500</v>
      </c>
      <c r="Y33" s="39">
        <f t="shared" si="15"/>
        <v>-8500</v>
      </c>
      <c r="AA33" s="39">
        <f t="shared" ref="AA33:AF33" si="16">AA26+AA27+AA31+AA32</f>
        <v>-39018</v>
      </c>
      <c r="AB33" s="39">
        <f t="shared" si="16"/>
        <v>22314</v>
      </c>
      <c r="AC33" s="39">
        <f t="shared" si="16"/>
        <v>6072</v>
      </c>
      <c r="AD33" s="39">
        <f t="shared" si="16"/>
        <v>-51066</v>
      </c>
      <c r="AE33" s="39">
        <f t="shared" si="16"/>
        <v>-34000</v>
      </c>
      <c r="AF33" s="39">
        <f t="shared" si="16"/>
        <v>-34000</v>
      </c>
    </row>
    <row r="35" spans="1:32" ht="15" customHeight="1" x14ac:dyDescent="0.45">
      <c r="A35" s="16" t="s">
        <v>272</v>
      </c>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row>
    <row r="36" spans="1:32" ht="15" customHeight="1" x14ac:dyDescent="0.45">
      <c r="A36" s="9" t="s">
        <v>273</v>
      </c>
      <c r="B36" s="20">
        <f>'CF YTD Inputs'!B35</f>
        <v>0</v>
      </c>
      <c r="C36" s="20">
        <f>'CF YTD Inputs'!C35-'CF YTD Inputs'!B35</f>
        <v>0</v>
      </c>
      <c r="D36" s="20">
        <f>'CF YTD Inputs'!D35-'CF YTD Inputs'!C35</f>
        <v>0</v>
      </c>
      <c r="E36" s="20">
        <f>'CF YTD Inputs'!E35-'CF YTD Inputs'!D35</f>
        <v>0</v>
      </c>
      <c r="F36" s="20">
        <f>'CF YTD Inputs'!F35</f>
        <v>-2148</v>
      </c>
      <c r="G36" s="20">
        <f>'CF YTD Inputs'!G35-'CF YTD Inputs'!F35</f>
        <v>0</v>
      </c>
      <c r="H36" s="20">
        <f>'CF YTD Inputs'!H35-'CF YTD Inputs'!G35</f>
        <v>0</v>
      </c>
      <c r="I36" s="20">
        <f>'CF YTD Inputs'!I35-'CF YTD Inputs'!H35</f>
        <v>0</v>
      </c>
      <c r="J36" s="20">
        <f>'CF YTD Inputs'!J35</f>
        <v>0</v>
      </c>
      <c r="K36" s="20">
        <f>'CF YTD Inputs'!K35-'CF YTD Inputs'!J35</f>
        <v>0</v>
      </c>
      <c r="L36" s="20">
        <f>'CF YTD Inputs'!L35-'CF YTD Inputs'!K35</f>
        <v>0</v>
      </c>
      <c r="M36" s="20">
        <f>'CF YTD Inputs'!M35-'CF YTD Inputs'!L35</f>
        <v>0</v>
      </c>
      <c r="N36" s="20">
        <f>'CF YTD Inputs'!N35</f>
        <v>0</v>
      </c>
      <c r="O36" s="20">
        <f>'CF YTD Inputs'!O35-'CF YTD Inputs'!N35</f>
        <v>0</v>
      </c>
      <c r="AA36" s="31">
        <f>SUM(B36:E36)</f>
        <v>0</v>
      </c>
      <c r="AB36" s="31">
        <f>SUM(F36:I36)</f>
        <v>-2148</v>
      </c>
      <c r="AC36" s="31">
        <f>SUM(J36:M36)</f>
        <v>0</v>
      </c>
      <c r="AD36" s="31">
        <f>SUM(N36:Q36)</f>
        <v>0</v>
      </c>
      <c r="AE36" s="31">
        <f>SUM(R36:U36)</f>
        <v>0</v>
      </c>
      <c r="AF36" s="31">
        <f>SUM(V36:Y36)</f>
        <v>0</v>
      </c>
    </row>
    <row r="37" spans="1:32" ht="15" customHeight="1" x14ac:dyDescent="0.45">
      <c r="A37" s="9" t="s">
        <v>274</v>
      </c>
      <c r="B37" s="20">
        <f>'CF YTD Inputs'!B36</f>
        <v>0</v>
      </c>
      <c r="C37" s="20">
        <f>'CF YTD Inputs'!C36-'CF YTD Inputs'!B36</f>
        <v>971</v>
      </c>
      <c r="D37" s="20">
        <f>'CF YTD Inputs'!D36-'CF YTD Inputs'!C36</f>
        <v>0</v>
      </c>
      <c r="E37" s="20">
        <f>'CF YTD Inputs'!E36-'CF YTD Inputs'!D36</f>
        <v>898</v>
      </c>
      <c r="F37" s="20">
        <f>'CF YTD Inputs'!F36</f>
        <v>0</v>
      </c>
      <c r="G37" s="20">
        <f>'CF YTD Inputs'!G36-'CF YTD Inputs'!F36</f>
        <v>1451</v>
      </c>
      <c r="H37" s="20">
        <f>'CF YTD Inputs'!H36-'CF YTD Inputs'!G36</f>
        <v>0</v>
      </c>
      <c r="I37" s="20">
        <f>'CF YTD Inputs'!I36-'CF YTD Inputs'!H36</f>
        <v>917</v>
      </c>
      <c r="J37" s="20">
        <f>'CF YTD Inputs'!J36</f>
        <v>0</v>
      </c>
      <c r="K37" s="20">
        <f>'CF YTD Inputs'!K36-'CF YTD Inputs'!J36</f>
        <v>1357</v>
      </c>
      <c r="L37" s="20">
        <f>'CF YTD Inputs'!L36-'CF YTD Inputs'!K36</f>
        <v>0</v>
      </c>
      <c r="M37" s="20">
        <f>'CF YTD Inputs'!M36-'CF YTD Inputs'!L36</f>
        <v>791</v>
      </c>
      <c r="N37" s="20">
        <f>'CF YTD Inputs'!N36</f>
        <v>0</v>
      </c>
      <c r="O37" s="20">
        <f>'CF YTD Inputs'!O36-'CF YTD Inputs'!N36</f>
        <v>1054</v>
      </c>
      <c r="AA37" s="31">
        <f>SUM(B37:E37)</f>
        <v>1869</v>
      </c>
      <c r="AB37" s="31">
        <f>SUM(F37:I37)</f>
        <v>2368</v>
      </c>
      <c r="AC37" s="31">
        <f>SUM(J37:M37)</f>
        <v>2148</v>
      </c>
      <c r="AD37" s="31">
        <f>SUM(N37:Q37)</f>
        <v>1054</v>
      </c>
      <c r="AE37" s="31">
        <f>SUM(R37:U37)</f>
        <v>0</v>
      </c>
      <c r="AF37" s="31">
        <f>SUM(V37:Y37)</f>
        <v>0</v>
      </c>
    </row>
    <row r="38" spans="1:32" ht="15" customHeight="1" x14ac:dyDescent="0.45">
      <c r="A38" s="9" t="s">
        <v>275</v>
      </c>
      <c r="B38" s="20">
        <f>'CF YTD Inputs'!B37</f>
        <v>314</v>
      </c>
      <c r="C38" s="20">
        <f>'CF YTD Inputs'!C37-'CF YTD Inputs'!B37</f>
        <v>623</v>
      </c>
      <c r="D38" s="20">
        <f>'CF YTD Inputs'!D37-'CF YTD Inputs'!C37</f>
        <v>273</v>
      </c>
      <c r="E38" s="20">
        <f>'CF YTD Inputs'!E37-'CF YTD Inputs'!D37</f>
        <v>339</v>
      </c>
      <c r="F38" s="20">
        <f>'CF YTD Inputs'!F37</f>
        <v>939</v>
      </c>
      <c r="G38" s="20">
        <f>'CF YTD Inputs'!G37-'CF YTD Inputs'!F37</f>
        <v>335</v>
      </c>
      <c r="H38" s="20">
        <f>'CF YTD Inputs'!H37-'CF YTD Inputs'!G37</f>
        <v>304</v>
      </c>
      <c r="I38" s="20">
        <f>'CF YTD Inputs'!I37-'CF YTD Inputs'!H37</f>
        <v>187</v>
      </c>
      <c r="J38" s="20">
        <f>'CF YTD Inputs'!J37</f>
        <v>563</v>
      </c>
      <c r="K38" s="20">
        <f>'CF YTD Inputs'!K37-'CF YTD Inputs'!J37</f>
        <v>611</v>
      </c>
      <c r="L38" s="20">
        <f>'CF YTD Inputs'!L37-'CF YTD Inputs'!K37</f>
        <v>321</v>
      </c>
      <c r="M38" s="20">
        <f>'CF YTD Inputs'!M37-'CF YTD Inputs'!L37</f>
        <v>264</v>
      </c>
      <c r="N38" s="20">
        <f>'CF YTD Inputs'!N37</f>
        <v>477</v>
      </c>
      <c r="O38" s="20">
        <f>'CF YTD Inputs'!O37-'CF YTD Inputs'!N37</f>
        <v>407</v>
      </c>
      <c r="P38" s="20">
        <f>Drivers!P36</f>
        <v>1000</v>
      </c>
      <c r="Q38" s="20">
        <f>Drivers!Q36</f>
        <v>1000</v>
      </c>
      <c r="R38" s="20">
        <f>Drivers!R36</f>
        <v>1000</v>
      </c>
      <c r="S38" s="20">
        <f>Drivers!S36</f>
        <v>1000</v>
      </c>
      <c r="T38" s="20">
        <f>Drivers!T36</f>
        <v>1000</v>
      </c>
      <c r="U38" s="20">
        <f>Drivers!U36</f>
        <v>1000</v>
      </c>
      <c r="V38" s="20">
        <f>Drivers!V36</f>
        <v>1000</v>
      </c>
      <c r="W38" s="20">
        <f>Drivers!W36</f>
        <v>1000</v>
      </c>
      <c r="X38" s="20">
        <f>Drivers!X36</f>
        <v>1000</v>
      </c>
      <c r="Y38" s="20">
        <f>Drivers!Y36</f>
        <v>1000</v>
      </c>
      <c r="AA38" s="31">
        <f>SUM(B38:E38)</f>
        <v>1549</v>
      </c>
      <c r="AB38" s="31">
        <f>SUM(F38:I38)</f>
        <v>1765</v>
      </c>
      <c r="AC38" s="31">
        <f>SUM(J38:M38)</f>
        <v>1759</v>
      </c>
      <c r="AD38" s="31">
        <f>SUM(N38:Q38)</f>
        <v>2884</v>
      </c>
      <c r="AE38" s="31">
        <f>SUM(R38:U38)</f>
        <v>4000</v>
      </c>
      <c r="AF38" s="31">
        <f>SUM(V38:Y38)</f>
        <v>4000</v>
      </c>
    </row>
    <row r="39" spans="1:32" ht="15" customHeight="1" x14ac:dyDescent="0.45">
      <c r="A39" s="9" t="s">
        <v>276</v>
      </c>
      <c r="B39" s="20">
        <f>'CF YTD Inputs'!B38</f>
        <v>-31</v>
      </c>
      <c r="C39" s="20">
        <f>'CF YTD Inputs'!C38-'CF YTD Inputs'!B38</f>
        <v>-31</v>
      </c>
      <c r="D39" s="20">
        <f>'CF YTD Inputs'!D38-'CF YTD Inputs'!C38</f>
        <v>-31</v>
      </c>
      <c r="E39" s="20">
        <f>'CF YTD Inputs'!E38-'CF YTD Inputs'!D38</f>
        <v>-33</v>
      </c>
      <c r="F39" s="20">
        <f>'CF YTD Inputs'!F38</f>
        <v>-32</v>
      </c>
      <c r="G39" s="20">
        <f>'CF YTD Inputs'!G38-'CF YTD Inputs'!F38</f>
        <v>-33</v>
      </c>
      <c r="H39" s="20">
        <f>'CF YTD Inputs'!H38-'CF YTD Inputs'!G38</f>
        <v>-33</v>
      </c>
      <c r="I39" s="20">
        <f>'CF YTD Inputs'!I38-'CF YTD Inputs'!H38</f>
        <v>-33</v>
      </c>
      <c r="J39" s="20">
        <f>'CF YTD Inputs'!J38</f>
        <v>-35</v>
      </c>
      <c r="K39" s="20">
        <f>'CF YTD Inputs'!K38-'CF YTD Inputs'!J38</f>
        <v>-35</v>
      </c>
      <c r="L39" s="20">
        <f>'CF YTD Inputs'!L38-'CF YTD Inputs'!K38</f>
        <v>-35</v>
      </c>
      <c r="M39" s="20">
        <f>'CF YTD Inputs'!M38-'CF YTD Inputs'!L38</f>
        <v>-35</v>
      </c>
      <c r="N39" s="20">
        <f>'CF YTD Inputs'!N38</f>
        <v>-36</v>
      </c>
      <c r="O39" s="20">
        <f>'CF YTD Inputs'!O38-'CF YTD Inputs'!N38</f>
        <v>-39</v>
      </c>
      <c r="AA39" s="31">
        <f>SUM(B39:E39)</f>
        <v>-126</v>
      </c>
      <c r="AB39" s="31">
        <f>SUM(F39:I39)</f>
        <v>-131</v>
      </c>
      <c r="AC39" s="31">
        <f>SUM(J39:M39)</f>
        <v>-140</v>
      </c>
      <c r="AD39" s="31">
        <f>SUM(N39:Q39)</f>
        <v>-75</v>
      </c>
      <c r="AE39" s="31">
        <f>SUM(R39:U39)</f>
        <v>0</v>
      </c>
      <c r="AF39" s="31">
        <f>SUM(V39:Y39)</f>
        <v>0</v>
      </c>
    </row>
    <row r="40" spans="1:32" ht="15" customHeight="1" x14ac:dyDescent="0.45">
      <c r="A40" s="9" t="s">
        <v>277</v>
      </c>
      <c r="B40" s="20">
        <f>'CF YTD Inputs'!B39</f>
        <v>-7898</v>
      </c>
      <c r="C40" s="20">
        <f>'CF YTD Inputs'!C39-'CF YTD Inputs'!B39</f>
        <v>-15582</v>
      </c>
      <c r="D40" s="20">
        <f>'CF YTD Inputs'!D39-'CF YTD Inputs'!C39</f>
        <v>-17999</v>
      </c>
      <c r="E40" s="20">
        <f>'CF YTD Inputs'!E39-'CF YTD Inputs'!D39</f>
        <v>-17789</v>
      </c>
      <c r="F40" s="20">
        <f>'CF YTD Inputs'!F39</f>
        <v>-17500</v>
      </c>
      <c r="G40" s="20">
        <f>'CF YTD Inputs'!G39-'CF YTD Inputs'!F39</f>
        <v>-18368</v>
      </c>
      <c r="H40" s="20">
        <f>'CF YTD Inputs'!H39-'CF YTD Inputs'!G39</f>
        <v>-29532</v>
      </c>
      <c r="I40" s="20">
        <f>'CF YTD Inputs'!I39-'CF YTD Inputs'!H39</f>
        <v>-9932</v>
      </c>
      <c r="J40" s="20">
        <f>'CF YTD Inputs'!J39</f>
        <v>-5000</v>
      </c>
      <c r="K40" s="20">
        <f>'CF YTD Inputs'!K39-'CF YTD Inputs'!J39</f>
        <v>-38649</v>
      </c>
      <c r="L40" s="20">
        <f>'CF YTD Inputs'!L39-'CF YTD Inputs'!K39</f>
        <v>-4001</v>
      </c>
      <c r="M40" s="20">
        <f>'CF YTD Inputs'!M39-'CF YTD Inputs'!L39</f>
        <v>1152</v>
      </c>
      <c r="N40" s="20">
        <f>'CF YTD Inputs'!N39</f>
        <v>-8500</v>
      </c>
      <c r="O40" s="20">
        <f>'CF YTD Inputs'!O39-'CF YTD Inputs'!N39</f>
        <v>-22000</v>
      </c>
      <c r="P40" s="20">
        <f>-Drivers!P35</f>
        <v>-10000</v>
      </c>
      <c r="Q40" s="20">
        <f>-Drivers!Q35</f>
        <v>-10000</v>
      </c>
      <c r="R40" s="20">
        <f>-Drivers!R35</f>
        <v>-10000</v>
      </c>
      <c r="S40" s="20">
        <f>-Drivers!S35</f>
        <v>-10000</v>
      </c>
      <c r="T40" s="20">
        <f>-Drivers!T35</f>
        <v>-10000</v>
      </c>
      <c r="U40" s="20">
        <f>-Drivers!U35</f>
        <v>-10000</v>
      </c>
      <c r="V40" s="20">
        <f>-Drivers!V35</f>
        <v>-10000</v>
      </c>
      <c r="W40" s="20">
        <f>-Drivers!W35</f>
        <v>-10000</v>
      </c>
      <c r="X40" s="20">
        <f>-Drivers!X35</f>
        <v>-10000</v>
      </c>
      <c r="Y40" s="20">
        <f>-Drivers!Y35</f>
        <v>-10000</v>
      </c>
      <c r="AA40" s="31">
        <f>SUM(B40:E40)</f>
        <v>-59268</v>
      </c>
      <c r="AB40" s="31">
        <f>SUM(F40:I40)</f>
        <v>-75332</v>
      </c>
      <c r="AC40" s="31">
        <f>SUM(J40:M40)</f>
        <v>-46498</v>
      </c>
      <c r="AD40" s="31">
        <f>SUM(N40:Q40)</f>
        <v>-50500</v>
      </c>
      <c r="AE40" s="31">
        <f>SUM(R40:U40)</f>
        <v>-40000</v>
      </c>
      <c r="AF40" s="31">
        <f>SUM(V40:Y40)</f>
        <v>-40000</v>
      </c>
    </row>
    <row r="41" spans="1:32" ht="15" customHeight="1" x14ac:dyDescent="0.45">
      <c r="A41" s="38" t="s">
        <v>278</v>
      </c>
      <c r="B41" s="39">
        <f t="shared" ref="B41:Y41" si="17">SUM(B36:B40)</f>
        <v>-7615</v>
      </c>
      <c r="C41" s="39">
        <f t="shared" si="17"/>
        <v>-14019</v>
      </c>
      <c r="D41" s="39">
        <f t="shared" si="17"/>
        <v>-17757</v>
      </c>
      <c r="E41" s="39">
        <f t="shared" si="17"/>
        <v>-16585</v>
      </c>
      <c r="F41" s="39">
        <f t="shared" si="17"/>
        <v>-18741</v>
      </c>
      <c r="G41" s="39">
        <f t="shared" si="17"/>
        <v>-16615</v>
      </c>
      <c r="H41" s="39">
        <f t="shared" si="17"/>
        <v>-29261</v>
      </c>
      <c r="I41" s="39">
        <f t="shared" si="17"/>
        <v>-8861</v>
      </c>
      <c r="J41" s="39">
        <f t="shared" si="17"/>
        <v>-4472</v>
      </c>
      <c r="K41" s="39">
        <f t="shared" si="17"/>
        <v>-36716</v>
      </c>
      <c r="L41" s="39">
        <f t="shared" si="17"/>
        <v>-3715</v>
      </c>
      <c r="M41" s="39">
        <f t="shared" si="17"/>
        <v>2172</v>
      </c>
      <c r="N41" s="39">
        <f t="shared" si="17"/>
        <v>-8059</v>
      </c>
      <c r="O41" s="39">
        <f t="shared" si="17"/>
        <v>-20578</v>
      </c>
      <c r="P41" s="39">
        <f t="shared" si="17"/>
        <v>-9000</v>
      </c>
      <c r="Q41" s="39">
        <f t="shared" si="17"/>
        <v>-9000</v>
      </c>
      <c r="R41" s="39">
        <f t="shared" si="17"/>
        <v>-9000</v>
      </c>
      <c r="S41" s="39">
        <f t="shared" si="17"/>
        <v>-9000</v>
      </c>
      <c r="T41" s="39">
        <f t="shared" si="17"/>
        <v>-9000</v>
      </c>
      <c r="U41" s="39">
        <f t="shared" si="17"/>
        <v>-9000</v>
      </c>
      <c r="V41" s="39">
        <f t="shared" si="17"/>
        <v>-9000</v>
      </c>
      <c r="W41" s="39">
        <f t="shared" si="17"/>
        <v>-9000</v>
      </c>
      <c r="X41" s="39">
        <f t="shared" si="17"/>
        <v>-9000</v>
      </c>
      <c r="Y41" s="39">
        <f t="shared" si="17"/>
        <v>-9000</v>
      </c>
      <c r="AA41" s="39">
        <f t="shared" ref="AA41:AF41" si="18">SUM(AA36:AA40)</f>
        <v>-55976</v>
      </c>
      <c r="AB41" s="39">
        <f t="shared" si="18"/>
        <v>-73478</v>
      </c>
      <c r="AC41" s="39">
        <f t="shared" si="18"/>
        <v>-42731</v>
      </c>
      <c r="AD41" s="39">
        <f t="shared" si="18"/>
        <v>-46637</v>
      </c>
      <c r="AE41" s="39">
        <f t="shared" si="18"/>
        <v>-36000</v>
      </c>
      <c r="AF41" s="39">
        <f t="shared" si="18"/>
        <v>-36000</v>
      </c>
    </row>
    <row r="43" spans="1:32" ht="15" customHeight="1" x14ac:dyDescent="0.45">
      <c r="A43" s="16" t="s">
        <v>279</v>
      </c>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row>
    <row r="44" spans="1:32" ht="15" customHeight="1" x14ac:dyDescent="0.45">
      <c r="A44" s="9" t="s">
        <v>280</v>
      </c>
      <c r="B44" s="31">
        <f t="shared" ref="B44:Y44" si="19">B23+B33+B41</f>
        <v>-13122</v>
      </c>
      <c r="C44" s="31">
        <f t="shared" si="19"/>
        <v>26277</v>
      </c>
      <c r="D44" s="31">
        <f t="shared" si="19"/>
        <v>-7807</v>
      </c>
      <c r="E44" s="31">
        <f t="shared" si="19"/>
        <v>-19221</v>
      </c>
      <c r="F44" s="31">
        <f t="shared" si="19"/>
        <v>1685</v>
      </c>
      <c r="G44" s="31">
        <f t="shared" si="19"/>
        <v>-6673</v>
      </c>
      <c r="H44" s="31">
        <f t="shared" si="19"/>
        <v>5393</v>
      </c>
      <c r="I44" s="31">
        <f t="shared" si="19"/>
        <v>21856</v>
      </c>
      <c r="J44" s="31">
        <f t="shared" si="19"/>
        <v>1080</v>
      </c>
      <c r="K44" s="31">
        <f t="shared" si="19"/>
        <v>-11870</v>
      </c>
      <c r="L44" s="31">
        <f t="shared" si="19"/>
        <v>46166</v>
      </c>
      <c r="M44" s="31">
        <f t="shared" si="19"/>
        <v>9024</v>
      </c>
      <c r="N44" s="31">
        <f t="shared" si="19"/>
        <v>-354</v>
      </c>
      <c r="O44" s="31">
        <f t="shared" si="19"/>
        <v>-24844</v>
      </c>
      <c r="P44" s="31">
        <f t="shared" si="19"/>
        <v>-6987.0369416892936</v>
      </c>
      <c r="Q44" s="31">
        <f t="shared" si="19"/>
        <v>10803.138179420417</v>
      </c>
      <c r="R44" s="31">
        <f t="shared" si="19"/>
        <v>33583.373292474236</v>
      </c>
      <c r="S44" s="31">
        <f t="shared" si="19"/>
        <v>15132.455430634589</v>
      </c>
      <c r="T44" s="31">
        <f t="shared" si="19"/>
        <v>5031.3341889744188</v>
      </c>
      <c r="U44" s="31">
        <f t="shared" si="19"/>
        <v>27405.799680167562</v>
      </c>
      <c r="V44" s="31">
        <f t="shared" si="19"/>
        <v>58024.815422632906</v>
      </c>
      <c r="W44" s="31">
        <f t="shared" si="19"/>
        <v>32322.602230437769</v>
      </c>
      <c r="X44" s="31">
        <f t="shared" si="19"/>
        <v>20704.415818487825</v>
      </c>
      <c r="Y44" s="31">
        <f t="shared" si="19"/>
        <v>48263.870496703108</v>
      </c>
      <c r="AA44" s="31">
        <f t="shared" ref="AA44:AF44" si="20">AA23+AA33+AA41</f>
        <v>-13873</v>
      </c>
      <c r="AB44" s="31">
        <f t="shared" si="20"/>
        <v>22261</v>
      </c>
      <c r="AC44" s="31">
        <f t="shared" si="20"/>
        <v>44400</v>
      </c>
      <c r="AD44" s="31">
        <f t="shared" si="20"/>
        <v>-21381.898762268873</v>
      </c>
      <c r="AE44" s="31">
        <f t="shared" si="20"/>
        <v>81152.962592250813</v>
      </c>
      <c r="AF44" s="31">
        <f t="shared" si="20"/>
        <v>159315.70396826166</v>
      </c>
    </row>
    <row r="45" spans="1:32" ht="15" customHeight="1" x14ac:dyDescent="0.45">
      <c r="A45" s="9" t="s">
        <v>281</v>
      </c>
      <c r="B45" s="20">
        <f>'CF YTD Inputs'!B44</f>
        <v>0</v>
      </c>
      <c r="C45" s="20">
        <f>'CF YTD Inputs'!C44-'CF YTD Inputs'!B44</f>
        <v>0</v>
      </c>
      <c r="D45" s="20">
        <f>'CF YTD Inputs'!D44-'CF YTD Inputs'!C44</f>
        <v>0</v>
      </c>
      <c r="E45" s="20">
        <f>'CF YTD Inputs'!E44-'CF YTD Inputs'!D44</f>
        <v>0</v>
      </c>
      <c r="F45" s="20">
        <f>'CF YTD Inputs'!F44</f>
        <v>0</v>
      </c>
      <c r="G45" s="20">
        <f>'CF YTD Inputs'!G44-'CF YTD Inputs'!F44</f>
        <v>0</v>
      </c>
      <c r="H45" s="20">
        <f>'CF YTD Inputs'!H44-'CF YTD Inputs'!G44</f>
        <v>0</v>
      </c>
      <c r="I45" s="20">
        <f>'CF YTD Inputs'!I44-'CF YTD Inputs'!H44</f>
        <v>-318</v>
      </c>
      <c r="J45" s="20">
        <f>'CF YTD Inputs'!J44</f>
        <v>279</v>
      </c>
      <c r="K45" s="20">
        <f>'CF YTD Inputs'!K44-'CF YTD Inputs'!J44</f>
        <v>535</v>
      </c>
      <c r="L45" s="20">
        <f>'CF YTD Inputs'!L44-'CF YTD Inputs'!K44</f>
        <v>-94</v>
      </c>
      <c r="M45" s="20">
        <f>'CF YTD Inputs'!M44-'CF YTD Inputs'!L44</f>
        <v>-54</v>
      </c>
      <c r="N45" s="20">
        <f>'CF YTD Inputs'!N44</f>
        <v>-288</v>
      </c>
      <c r="O45" s="20">
        <f>'CF YTD Inputs'!O44-'CF YTD Inputs'!N44</f>
        <v>-61</v>
      </c>
      <c r="AA45" s="31">
        <f>SUM(B45:E45)</f>
        <v>0</v>
      </c>
      <c r="AB45" s="31">
        <f>SUM(F45:I45)</f>
        <v>-318</v>
      </c>
      <c r="AC45" s="31">
        <f>SUM(J45:M45)</f>
        <v>666</v>
      </c>
      <c r="AD45" s="31">
        <f>SUM(N45:Q45)</f>
        <v>-349</v>
      </c>
      <c r="AE45" s="31">
        <f>SUM(R45:U45)</f>
        <v>0</v>
      </c>
      <c r="AF45" s="31">
        <f>SUM(V45:Y45)</f>
        <v>0</v>
      </c>
    </row>
    <row r="46" spans="1:32" ht="15" customHeight="1" x14ac:dyDescent="0.45">
      <c r="A46" s="9" t="s">
        <v>282</v>
      </c>
      <c r="B46" s="20">
        <f>'CF YTD Inputs'!B45</f>
        <v>92382</v>
      </c>
      <c r="C46" s="31">
        <f>B47</f>
        <v>79260</v>
      </c>
      <c r="D46" s="31">
        <f>C47</f>
        <v>105537</v>
      </c>
      <c r="E46" s="31">
        <f>D47</f>
        <v>97730</v>
      </c>
      <c r="F46" s="20">
        <f>'CF YTD Inputs'!F45</f>
        <v>78509</v>
      </c>
      <c r="G46" s="31">
        <f>F47</f>
        <v>80194</v>
      </c>
      <c r="H46" s="31">
        <f>G47</f>
        <v>73521</v>
      </c>
      <c r="I46" s="31">
        <f>H47</f>
        <v>78914</v>
      </c>
      <c r="J46" s="20">
        <f>'CF YTD Inputs'!J45</f>
        <v>100452</v>
      </c>
      <c r="K46" s="31">
        <f>J47</f>
        <v>101811</v>
      </c>
      <c r="L46" s="31">
        <f>K47</f>
        <v>90476</v>
      </c>
      <c r="M46" s="31">
        <f>L47</f>
        <v>136548</v>
      </c>
      <c r="N46" s="20">
        <f>'CF YTD Inputs'!N45</f>
        <v>145518</v>
      </c>
      <c r="O46" s="31">
        <f t="shared" ref="O46:Y46" si="21">N47</f>
        <v>144876</v>
      </c>
      <c r="P46" s="31">
        <f t="shared" si="21"/>
        <v>119971</v>
      </c>
      <c r="Q46" s="31">
        <f t="shared" si="21"/>
        <v>112983.96305831071</v>
      </c>
      <c r="R46" s="31">
        <f t="shared" si="21"/>
        <v>123787.10123773113</v>
      </c>
      <c r="S46" s="31">
        <f t="shared" si="21"/>
        <v>157370.47453020536</v>
      </c>
      <c r="T46" s="31">
        <f t="shared" si="21"/>
        <v>172502.92996083995</v>
      </c>
      <c r="U46" s="31">
        <f t="shared" si="21"/>
        <v>177534.26414981438</v>
      </c>
      <c r="V46" s="31">
        <f t="shared" si="21"/>
        <v>204940.06382998195</v>
      </c>
      <c r="W46" s="31">
        <f t="shared" si="21"/>
        <v>262964.87925261486</v>
      </c>
      <c r="X46" s="31">
        <f t="shared" si="21"/>
        <v>295287.4814830526</v>
      </c>
      <c r="Y46" s="31">
        <f t="shared" si="21"/>
        <v>315991.89730154042</v>
      </c>
      <c r="AA46" s="31">
        <f>B46</f>
        <v>92382</v>
      </c>
      <c r="AB46" s="31">
        <f>F46</f>
        <v>78509</v>
      </c>
      <c r="AC46" s="31">
        <f>J46</f>
        <v>100452</v>
      </c>
      <c r="AD46" s="31">
        <f>N46</f>
        <v>145518</v>
      </c>
      <c r="AE46" s="31">
        <f>R46</f>
        <v>123787.10123773113</v>
      </c>
      <c r="AF46" s="31">
        <f>V46</f>
        <v>204940.06382998195</v>
      </c>
    </row>
    <row r="47" spans="1:32" ht="15" customHeight="1" x14ac:dyDescent="0.45">
      <c r="A47" s="38" t="s">
        <v>283</v>
      </c>
      <c r="B47" s="39">
        <f t="shared" ref="B47:Y47" si="22">B46+B44+B45</f>
        <v>79260</v>
      </c>
      <c r="C47" s="39">
        <f t="shared" si="22"/>
        <v>105537</v>
      </c>
      <c r="D47" s="39">
        <f t="shared" si="22"/>
        <v>97730</v>
      </c>
      <c r="E47" s="39">
        <f t="shared" si="22"/>
        <v>78509</v>
      </c>
      <c r="F47" s="39">
        <f t="shared" si="22"/>
        <v>80194</v>
      </c>
      <c r="G47" s="39">
        <f t="shared" si="22"/>
        <v>73521</v>
      </c>
      <c r="H47" s="39">
        <f t="shared" si="22"/>
        <v>78914</v>
      </c>
      <c r="I47" s="39">
        <f t="shared" si="22"/>
        <v>100452</v>
      </c>
      <c r="J47" s="39">
        <f t="shared" si="22"/>
        <v>101811</v>
      </c>
      <c r="K47" s="39">
        <f t="shared" si="22"/>
        <v>90476</v>
      </c>
      <c r="L47" s="39">
        <f t="shared" si="22"/>
        <v>136548</v>
      </c>
      <c r="M47" s="39">
        <f t="shared" si="22"/>
        <v>145518</v>
      </c>
      <c r="N47" s="39">
        <f t="shared" si="22"/>
        <v>144876</v>
      </c>
      <c r="O47" s="39">
        <f t="shared" si="22"/>
        <v>119971</v>
      </c>
      <c r="P47" s="39">
        <f t="shared" si="22"/>
        <v>112983.96305831071</v>
      </c>
      <c r="Q47" s="39">
        <f t="shared" si="22"/>
        <v>123787.10123773113</v>
      </c>
      <c r="R47" s="39">
        <f t="shared" si="22"/>
        <v>157370.47453020536</v>
      </c>
      <c r="S47" s="39">
        <f t="shared" si="22"/>
        <v>172502.92996083995</v>
      </c>
      <c r="T47" s="39">
        <f t="shared" si="22"/>
        <v>177534.26414981438</v>
      </c>
      <c r="U47" s="39">
        <f t="shared" si="22"/>
        <v>204940.06382998195</v>
      </c>
      <c r="V47" s="39">
        <f t="shared" si="22"/>
        <v>262964.87925261486</v>
      </c>
      <c r="W47" s="39">
        <f t="shared" si="22"/>
        <v>295287.4814830526</v>
      </c>
      <c r="X47" s="39">
        <f t="shared" si="22"/>
        <v>315991.89730154042</v>
      </c>
      <c r="Y47" s="39">
        <f t="shared" si="22"/>
        <v>364255.76779824356</v>
      </c>
      <c r="AA47" s="39">
        <f t="shared" ref="AA47:AF47" si="23">AA46+AA44+AA45</f>
        <v>78509</v>
      </c>
      <c r="AB47" s="39">
        <f t="shared" si="23"/>
        <v>100452</v>
      </c>
      <c r="AC47" s="39">
        <f t="shared" si="23"/>
        <v>145518</v>
      </c>
      <c r="AD47" s="39">
        <f t="shared" si="23"/>
        <v>123787.10123773113</v>
      </c>
      <c r="AE47" s="39">
        <f t="shared" si="23"/>
        <v>204940.06382998195</v>
      </c>
      <c r="AF47" s="39">
        <f t="shared" si="23"/>
        <v>364255.76779824361</v>
      </c>
    </row>
    <row r="49" spans="1:32" ht="15" customHeight="1" x14ac:dyDescent="0.45">
      <c r="A49" s="16" t="s">
        <v>284</v>
      </c>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row>
    <row r="50" spans="1:32" ht="15" customHeight="1" x14ac:dyDescent="0.45">
      <c r="A50" s="10" t="s">
        <v>98</v>
      </c>
      <c r="B50" s="36">
        <f t="shared" ref="B50:Y50" si="24">B23+B26+B27</f>
        <v>5336</v>
      </c>
      <c r="C50" s="36">
        <f t="shared" si="24"/>
        <v>10795</v>
      </c>
      <c r="D50" s="36">
        <f t="shared" si="24"/>
        <v>17167</v>
      </c>
      <c r="E50" s="36">
        <f t="shared" si="24"/>
        <v>19535</v>
      </c>
      <c r="F50" s="36">
        <f t="shared" si="24"/>
        <v>16262</v>
      </c>
      <c r="G50" s="36">
        <f t="shared" si="24"/>
        <v>6913</v>
      </c>
      <c r="H50" s="36">
        <f t="shared" si="24"/>
        <v>2866</v>
      </c>
      <c r="I50" s="36">
        <f t="shared" si="24"/>
        <v>8856</v>
      </c>
      <c r="J50" s="36">
        <f t="shared" si="24"/>
        <v>7300</v>
      </c>
      <c r="K50" s="36">
        <f t="shared" si="24"/>
        <v>9265</v>
      </c>
      <c r="L50" s="36">
        <f t="shared" si="24"/>
        <v>22786</v>
      </c>
      <c r="M50" s="36">
        <f t="shared" si="24"/>
        <v>6852</v>
      </c>
      <c r="N50" s="36">
        <f t="shared" si="24"/>
        <v>10705</v>
      </c>
      <c r="O50" s="36">
        <f t="shared" si="24"/>
        <v>13663</v>
      </c>
      <c r="P50" s="36">
        <f t="shared" si="24"/>
        <v>2012.9630583107064</v>
      </c>
      <c r="Q50" s="36">
        <f t="shared" si="24"/>
        <v>19803.138179420417</v>
      </c>
      <c r="R50" s="36">
        <f t="shared" si="24"/>
        <v>42583.373292474236</v>
      </c>
      <c r="S50" s="36">
        <f t="shared" si="24"/>
        <v>24132.455430634589</v>
      </c>
      <c r="T50" s="36">
        <f t="shared" si="24"/>
        <v>14031.334188974419</v>
      </c>
      <c r="U50" s="36">
        <f t="shared" si="24"/>
        <v>36405.799680167562</v>
      </c>
      <c r="V50" s="36">
        <f t="shared" si="24"/>
        <v>67024.815422632906</v>
      </c>
      <c r="W50" s="36">
        <f t="shared" si="24"/>
        <v>41322.602230437769</v>
      </c>
      <c r="X50" s="36">
        <f t="shared" si="24"/>
        <v>29704.415818487825</v>
      </c>
      <c r="Y50" s="36">
        <f t="shared" si="24"/>
        <v>57263.870496703108</v>
      </c>
      <c r="AA50" s="36">
        <f t="shared" ref="AA50:AF50" si="25">AA23+AA26+AA27</f>
        <v>52833</v>
      </c>
      <c r="AB50" s="36">
        <f t="shared" si="25"/>
        <v>34897</v>
      </c>
      <c r="AC50" s="36">
        <f t="shared" si="25"/>
        <v>46203</v>
      </c>
      <c r="AD50" s="36">
        <f t="shared" si="25"/>
        <v>46184.101237731127</v>
      </c>
      <c r="AE50" s="36">
        <f t="shared" si="25"/>
        <v>117152.96259225081</v>
      </c>
      <c r="AF50" s="36">
        <f t="shared" si="25"/>
        <v>195315.70396826166</v>
      </c>
    </row>
    <row r="51" spans="1:32" ht="15" customHeight="1" x14ac:dyDescent="0.45">
      <c r="A51" s="40" t="s">
        <v>285</v>
      </c>
      <c r="B51" s="41">
        <f>IF('Income Statement'!C9=0,0,B50/'Income Statement'!C9)</f>
        <v>9.6305520963055211E-2</v>
      </c>
      <c r="C51" s="41">
        <f>IF('Income Statement'!D9=0,0,C50/'Income Statement'!D9)</f>
        <v>0.17045633980735828</v>
      </c>
      <c r="D51" s="41">
        <f>IF('Income Statement'!E9=0,0,D50/'Income Statement'!E9)</f>
        <v>0.2695949872010302</v>
      </c>
      <c r="E51" s="41">
        <f>IF('Income Statement'!F9=0,0,E50/'Income Statement'!F9)</f>
        <v>0.23091016548463356</v>
      </c>
      <c r="F51" s="41">
        <f>IF('Income Statement'!G9=0,0,F50/'Income Statement'!G9)</f>
        <v>0.24380444071303278</v>
      </c>
      <c r="G51" s="41">
        <f>IF('Income Statement'!H9=0,0,G50/'Income Statement'!H9)</f>
        <v>0.10276956011119866</v>
      </c>
      <c r="H51" s="41">
        <f>IF('Income Statement'!I9=0,0,H50/'Income Statement'!I9)</f>
        <v>3.9924219207087733E-2</v>
      </c>
      <c r="I51" s="41">
        <f>IF('Income Statement'!J9=0,0,I50/'Income Statement'!J9)</f>
        <v>0.10357652452574209</v>
      </c>
      <c r="J51" s="41">
        <f>IF('Income Statement'!K9=0,0,J50/'Income Statement'!K9)</f>
        <v>0.11437524481002742</v>
      </c>
      <c r="K51" s="41">
        <f>IF('Income Statement'!L9=0,0,K50/'Income Statement'!L9)</f>
        <v>0.13031858780504957</v>
      </c>
      <c r="L51" s="41">
        <f>IF('Income Statement'!M9=0,0,L50/'Income Statement'!M9)</f>
        <v>0.33528546203649207</v>
      </c>
      <c r="M51" s="41">
        <f>IF('Income Statement'!N9=0,0,M50/'Income Statement'!N9)</f>
        <v>8.5600779551757739E-2</v>
      </c>
      <c r="N51" s="41">
        <f>IF('Income Statement'!O9=0,0,N50/'Income Statement'!O9)</f>
        <v>0.17109658446145731</v>
      </c>
      <c r="O51" s="41">
        <f>IF('Income Statement'!P9=0,0,O50/'Income Statement'!P9)</f>
        <v>0.17384499891847874</v>
      </c>
      <c r="P51" s="41">
        <f>IF('Income Statement'!Q9=0,0,P50/'Income Statement'!Q9)</f>
        <v>2.2564147592393485E-2</v>
      </c>
      <c r="Q51" s="41">
        <f>IF('Income Statement'!R9=0,0,Q50/'Income Statement'!R9)</f>
        <v>0.19782692190900616</v>
      </c>
      <c r="R51" s="41">
        <f>IF('Income Statement'!S9=0,0,R50/'Income Statement'!S9)</f>
        <v>0.44259305373173907</v>
      </c>
      <c r="S51" s="41">
        <f>IF('Income Statement'!T9=0,0,S50/'Income Statement'!T9)</f>
        <v>0.2567971244809043</v>
      </c>
      <c r="T51" s="41">
        <f>IF('Income Statement'!U9=0,0,T50/'Income Statement'!U9)</f>
        <v>0.12580697101025154</v>
      </c>
      <c r="U51" s="41">
        <f>IF('Income Statement'!V9=0,0,U50/'Income Statement'!V9)</f>
        <v>0.29148389243491257</v>
      </c>
      <c r="V51" s="41">
        <f>IF('Income Statement'!W9=0,0,V50/'Income Statement'!W9)</f>
        <v>0.55944292658743178</v>
      </c>
      <c r="W51" s="41">
        <f>IF('Income Statement'!X9=0,0,W50/'Income Statement'!X9)</f>
        <v>0.35382459339619798</v>
      </c>
      <c r="X51" s="41">
        <f>IF('Income Statement'!Y9=0,0,X50/'Income Statement'!Y9)</f>
        <v>0.21472749098200855</v>
      </c>
      <c r="Y51" s="41">
        <f>IF('Income Statement'!Z9=0,0,Y50/'Income Statement'!Z9)</f>
        <v>0.37036327297525362</v>
      </c>
      <c r="AA51" s="41">
        <f>IF('Income Statement'!AB9=0,0,AA50/'Income Statement'!AB9)</f>
        <v>0.19786602949658069</v>
      </c>
      <c r="AB51" s="41">
        <f>IF('Income Statement'!AC9=0,0,AB50/'Income Statement'!AC9)</f>
        <v>0.11981555744774357</v>
      </c>
      <c r="AC51" s="41">
        <f>IF('Income Statement'!AD9=0,0,AC50/'Income Statement'!AD9)</f>
        <v>0.16330418554675075</v>
      </c>
      <c r="AD51" s="41">
        <f>IF('Income Statement'!AE9=0,0,AD50/'Income Statement'!AE9)</f>
        <v>0.13975107260923711</v>
      </c>
      <c r="AE51" s="41">
        <f>IF('Income Statement'!AF9=0,0,AE50/'Income Statement'!AF9)</f>
        <v>0.27460923672043697</v>
      </c>
      <c r="AF51" s="41">
        <f>IF('Income Statement'!AG9=0,0,AF50/'Income Statement'!AG9)</f>
        <v>0.36883645002432908</v>
      </c>
    </row>
    <row r="52" spans="1:32" ht="15" customHeight="1" x14ac:dyDescent="0.45">
      <c r="A52" s="40" t="s">
        <v>286</v>
      </c>
      <c r="B52" s="41">
        <f>IF('Income Statement'!C51=0,0,B50/'Income Statement'!C51)</f>
        <v>0.72559151482186568</v>
      </c>
      <c r="C52" s="41">
        <f>IF('Income Statement'!D51=0,0,C50/'Income Statement'!D51)</f>
        <v>0.99870478305116106</v>
      </c>
      <c r="D52" s="41">
        <f>IF('Income Statement'!E51=0,0,D50/'Income Statement'!E51)</f>
        <v>0.94117324561403504</v>
      </c>
      <c r="E52" s="41">
        <f>IF('Income Statement'!F51=0,0,E50/'Income Statement'!F51)</f>
        <v>0.50210764406518271</v>
      </c>
      <c r="F52" s="41">
        <f>IF('Income Statement'!G51=0,0,F50/'Income Statement'!G51)</f>
        <v>1.0801009564293305</v>
      </c>
      <c r="G52" s="41">
        <f>IF('Income Statement'!H51=0,0,G50/'Income Statement'!H51)</f>
        <v>0.32797229338646933</v>
      </c>
      <c r="H52" s="41">
        <f>IF('Income Statement'!I51=0,0,H50/'Income Statement'!I51)</f>
        <v>0.15454300350498787</v>
      </c>
      <c r="I52" s="41">
        <f>IF('Income Statement'!J51=0,0,I50/'Income Statement'!J51)</f>
        <v>0.23524411624076927</v>
      </c>
      <c r="J52" s="41">
        <f>IF('Income Statement'!K51=0,0,J50/'Income Statement'!K51)</f>
        <v>0.86319025659217219</v>
      </c>
      <c r="K52" s="41">
        <f>IF('Income Statement'!L51=0,0,K50/'Income Statement'!L51)</f>
        <v>0.65186800816154222</v>
      </c>
      <c r="L52" s="41">
        <f>IF('Income Statement'!M51=0,0,L50/'Income Statement'!M51)</f>
        <v>2.0432209469153517</v>
      </c>
      <c r="M52" s="41">
        <f>IF('Income Statement'!N51=0,0,M50/'Income Statement'!N51)</f>
        <v>0.24631533539434899</v>
      </c>
      <c r="N52" s="41">
        <f>IF('Income Statement'!O51=0,0,N50/'Income Statement'!O51)</f>
        <v>4.1363987635239567</v>
      </c>
      <c r="O52" s="41">
        <f>IF('Income Statement'!P51=0,0,O50/'Income Statement'!P51)</f>
        <v>0.69652324632952689</v>
      </c>
      <c r="P52" s="41">
        <f>IF('Income Statement'!Q51=0,0,P50/'Income Statement'!Q51)</f>
        <v>8.2239721911191555E-2</v>
      </c>
      <c r="Q52" s="41">
        <f>IF('Income Statement'!R51=0,0,Q50/'Income Statement'!R51)</f>
        <v>0.50268049009799365</v>
      </c>
      <c r="R52" s="41">
        <f>IF('Income Statement'!S51=0,0,R50/'Income Statement'!S51)</f>
        <v>1.3989993715963698</v>
      </c>
      <c r="S52" s="41">
        <f>IF('Income Statement'!T51=0,0,S50/'Income Statement'!T51)</f>
        <v>0.84903543262068049</v>
      </c>
      <c r="T52" s="41">
        <f>IF('Income Statement'!U51=0,0,T50/'Income Statement'!U51)</f>
        <v>0.32302134075242517</v>
      </c>
      <c r="U52" s="41">
        <f>IF('Income Statement'!V51=0,0,U50/'Income Statement'!V51)</f>
        <v>0.59740641081290846</v>
      </c>
      <c r="V52" s="41">
        <f>IF('Income Statement'!W51=0,0,V50/'Income Statement'!W51)</f>
        <v>1.3216700521862956</v>
      </c>
      <c r="W52" s="41">
        <f>IF('Income Statement'!X51=0,0,W50/'Income Statement'!X51)</f>
        <v>0.8602743474588832</v>
      </c>
      <c r="X52" s="41">
        <f>IF('Income Statement'!Y51=0,0,X50/'Income Statement'!Y51)</f>
        <v>0.44395139649005616</v>
      </c>
      <c r="Y52" s="41">
        <f>IF('Income Statement'!Z51=0,0,Y50/'Income Statement'!Z51)</f>
        <v>0.65470098452021375</v>
      </c>
      <c r="AA52" s="41">
        <f>IF('Income Statement'!AB51=0,0,AA50/'Income Statement'!AB51)</f>
        <v>0.70154961558379481</v>
      </c>
      <c r="AB52" s="41">
        <f>IF('Income Statement'!AC51=0,0,AB50/'Income Statement'!AC51)</f>
        <v>0.37797996209044138</v>
      </c>
      <c r="AC52" s="41">
        <f>IF('Income Statement'!AD51=0,0,AC50/'Income Statement'!AD51)</f>
        <v>0.74956197274497083</v>
      </c>
      <c r="AD52" s="41">
        <f>IF('Income Statement'!AE51=0,0,AD50/'Income Statement'!AE51)</f>
        <v>0.53655118383998834</v>
      </c>
      <c r="AE52" s="41">
        <f>IF('Income Statement'!AF51=0,0,AE50/'Income Statement'!AF51)</f>
        <v>0.71767587771416363</v>
      </c>
      <c r="AF52" s="41">
        <f>IF('Income Statement'!AG51=0,0,AF50/'Income Statement'!AG51)</f>
        <v>0.77162894741391941</v>
      </c>
    </row>
  </sheetData>
  <pageMargins left="0.75" right="0.75" top="1" bottom="1" header="0.511811023622047" footer="0.511811023622047"/>
  <pageSetup fitToHeight="0" orientation="landscape"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pageSetUpPr fitToPage="1"/>
  </sheetPr>
  <dimension ref="A1:O53"/>
  <sheetViews>
    <sheetView showGridLines="0" zoomScale="90" zoomScaleNormal="90" workbookViewId="0">
      <pane xSplit="1" ySplit="5" topLeftCell="B6" activePane="bottomRight" state="frozen"/>
      <selection pane="topRight" activeCell="B1" sqref="B1"/>
      <selection pane="bottomLeft" activeCell="A6" sqref="A6"/>
      <selection pane="bottomRight" activeCell="B6" sqref="B6"/>
    </sheetView>
  </sheetViews>
  <sheetFormatPr defaultColWidth="8.6640625" defaultRowHeight="14.25" x14ac:dyDescent="0.45"/>
  <cols>
    <col min="1" max="1" width="46" customWidth="1"/>
    <col min="2" max="15" width="10.53125" customWidth="1"/>
  </cols>
  <sheetData>
    <row r="1" spans="1:15" ht="17.25" customHeight="1" x14ac:dyDescent="0.5">
      <c r="A1" s="13" t="s">
        <v>287</v>
      </c>
    </row>
    <row r="2" spans="1:15" ht="15" customHeight="1" x14ac:dyDescent="0.45">
      <c r="A2" s="4" t="s">
        <v>288</v>
      </c>
    </row>
    <row r="4" spans="1:15" ht="15" customHeight="1" x14ac:dyDescent="0.45">
      <c r="A4" s="5" t="s">
        <v>289</v>
      </c>
      <c r="B4" s="22" t="s">
        <v>290</v>
      </c>
      <c r="C4" s="22" t="s">
        <v>291</v>
      </c>
      <c r="D4" s="22" t="s">
        <v>292</v>
      </c>
      <c r="E4" s="22" t="s">
        <v>293</v>
      </c>
      <c r="F4" s="22" t="s">
        <v>294</v>
      </c>
      <c r="G4" s="22" t="s">
        <v>295</v>
      </c>
      <c r="H4" s="22" t="s">
        <v>296</v>
      </c>
      <c r="I4" s="22" t="s">
        <v>297</v>
      </c>
      <c r="J4" s="22" t="s">
        <v>298</v>
      </c>
      <c r="K4" s="22" t="s">
        <v>299</v>
      </c>
      <c r="L4" s="22" t="s">
        <v>300</v>
      </c>
      <c r="M4" s="22" t="s">
        <v>301</v>
      </c>
      <c r="N4" s="22" t="s">
        <v>302</v>
      </c>
      <c r="O4" s="22" t="s">
        <v>303</v>
      </c>
    </row>
    <row r="5" spans="1:15" ht="15" customHeight="1" x14ac:dyDescent="0.45">
      <c r="A5" s="5" t="s">
        <v>134</v>
      </c>
      <c r="B5" s="24">
        <v>45016</v>
      </c>
      <c r="C5" s="24">
        <v>45107</v>
      </c>
      <c r="D5" s="24">
        <v>45199</v>
      </c>
      <c r="E5" s="24">
        <v>45291</v>
      </c>
      <c r="F5" s="24">
        <v>45382</v>
      </c>
      <c r="G5" s="24">
        <v>45473</v>
      </c>
      <c r="H5" s="24">
        <v>45565</v>
      </c>
      <c r="I5" s="24">
        <v>45657</v>
      </c>
      <c r="J5" s="24">
        <v>45747</v>
      </c>
      <c r="K5" s="24">
        <v>45838</v>
      </c>
      <c r="L5" s="24">
        <v>45930</v>
      </c>
      <c r="M5" s="24">
        <v>46022</v>
      </c>
      <c r="N5" s="24">
        <v>46112</v>
      </c>
      <c r="O5" s="24">
        <v>46203</v>
      </c>
    </row>
    <row r="8" spans="1:15" ht="15" customHeight="1" x14ac:dyDescent="0.45">
      <c r="A8" s="16" t="s">
        <v>304</v>
      </c>
      <c r="B8" s="17"/>
      <c r="C8" s="17"/>
      <c r="D8" s="17"/>
      <c r="E8" s="17"/>
      <c r="F8" s="17"/>
      <c r="G8" s="17"/>
      <c r="H8" s="17"/>
      <c r="I8" s="17"/>
      <c r="J8" s="17"/>
      <c r="K8" s="17"/>
      <c r="L8" s="17"/>
      <c r="M8" s="17"/>
      <c r="N8" s="17"/>
      <c r="O8" s="17"/>
    </row>
    <row r="9" spans="1:15" ht="15" customHeight="1" x14ac:dyDescent="0.45">
      <c r="A9" s="9" t="s">
        <v>91</v>
      </c>
      <c r="B9" s="37">
        <v>-5871</v>
      </c>
      <c r="C9" s="37">
        <v>-11595</v>
      </c>
      <c r="D9" s="37">
        <v>-9821</v>
      </c>
      <c r="E9" s="37">
        <v>8881</v>
      </c>
      <c r="F9" s="37">
        <v>-2454</v>
      </c>
      <c r="G9" s="37">
        <v>-483</v>
      </c>
      <c r="H9" s="37">
        <v>-1395</v>
      </c>
      <c r="I9" s="37">
        <v>12504</v>
      </c>
      <c r="J9" s="37">
        <v>-9486</v>
      </c>
      <c r="K9" s="37">
        <v>-14694</v>
      </c>
      <c r="L9" s="37">
        <v>-21146</v>
      </c>
      <c r="M9" s="37">
        <v>-14462</v>
      </c>
      <c r="N9" s="37">
        <v>-12510</v>
      </c>
      <c r="O9" s="37">
        <v>-13712</v>
      </c>
    </row>
    <row r="10" spans="1:15" ht="15" customHeight="1" x14ac:dyDescent="0.45">
      <c r="A10" s="9" t="s">
        <v>96</v>
      </c>
      <c r="B10" s="37">
        <v>11432</v>
      </c>
      <c r="C10" s="37">
        <v>22330</v>
      </c>
      <c r="D10" s="37">
        <v>33731</v>
      </c>
      <c r="E10" s="37">
        <v>44770</v>
      </c>
      <c r="F10" s="37">
        <v>11212</v>
      </c>
      <c r="G10" s="37">
        <v>22548</v>
      </c>
      <c r="H10" s="37">
        <v>33931</v>
      </c>
      <c r="I10" s="37">
        <v>45352</v>
      </c>
      <c r="J10" s="37">
        <v>11676</v>
      </c>
      <c r="K10" s="37">
        <v>23537</v>
      </c>
      <c r="L10" s="37">
        <v>33996</v>
      </c>
      <c r="M10" s="37">
        <v>43769</v>
      </c>
      <c r="N10" s="37">
        <v>9988</v>
      </c>
      <c r="O10" s="37">
        <v>19995</v>
      </c>
    </row>
    <row r="11" spans="1:15" ht="15" customHeight="1" x14ac:dyDescent="0.45">
      <c r="A11" s="9" t="s">
        <v>95</v>
      </c>
      <c r="B11" s="37">
        <v>7059</v>
      </c>
      <c r="C11" s="37">
        <v>14325</v>
      </c>
      <c r="D11" s="37">
        <v>21525</v>
      </c>
      <c r="E11" s="37">
        <v>28862</v>
      </c>
      <c r="F11" s="37">
        <v>9111</v>
      </c>
      <c r="G11" s="37">
        <v>18810</v>
      </c>
      <c r="H11" s="37">
        <v>28267</v>
      </c>
      <c r="I11" s="37">
        <v>37676</v>
      </c>
      <c r="J11" s="37">
        <v>9698</v>
      </c>
      <c r="K11" s="37">
        <v>19499</v>
      </c>
      <c r="L11" s="37">
        <v>29010</v>
      </c>
      <c r="M11" s="37">
        <v>38378</v>
      </c>
      <c r="N11" s="37">
        <v>8488</v>
      </c>
      <c r="O11" s="37">
        <v>16835</v>
      </c>
    </row>
    <row r="12" spans="1:15" ht="15" customHeight="1" x14ac:dyDescent="0.45">
      <c r="A12" s="9" t="s">
        <v>253</v>
      </c>
      <c r="B12" s="37">
        <v>0</v>
      </c>
      <c r="C12" s="37">
        <v>5675</v>
      </c>
      <c r="D12" s="37">
        <v>5675</v>
      </c>
      <c r="E12" s="37">
        <v>5675</v>
      </c>
      <c r="F12" s="37">
        <v>0</v>
      </c>
      <c r="G12" s="37">
        <v>0</v>
      </c>
      <c r="H12" s="37">
        <v>0</v>
      </c>
      <c r="I12" s="37">
        <v>0</v>
      </c>
      <c r="J12" s="37">
        <v>0</v>
      </c>
      <c r="K12" s="37">
        <v>0</v>
      </c>
      <c r="L12" s="37">
        <v>0</v>
      </c>
      <c r="M12" s="37">
        <v>0</v>
      </c>
      <c r="N12" s="37">
        <v>0</v>
      </c>
      <c r="O12" s="37">
        <v>0</v>
      </c>
    </row>
    <row r="13" spans="1:15" ht="15" customHeight="1" x14ac:dyDescent="0.45">
      <c r="A13" s="9" t="s">
        <v>254</v>
      </c>
      <c r="B13" s="37">
        <v>-4327</v>
      </c>
      <c r="C13" s="37">
        <v>-13555</v>
      </c>
      <c r="D13" s="37">
        <v>-14185</v>
      </c>
      <c r="E13" s="37">
        <v>-13406</v>
      </c>
      <c r="F13" s="37">
        <v>-4667</v>
      </c>
      <c r="G13" s="37">
        <v>-8732</v>
      </c>
      <c r="H13" s="37">
        <v>-10831</v>
      </c>
      <c r="I13" s="37">
        <v>-10984</v>
      </c>
      <c r="J13" s="37">
        <v>-4754</v>
      </c>
      <c r="K13" s="37">
        <v>-9024</v>
      </c>
      <c r="L13" s="37">
        <v>-11772</v>
      </c>
      <c r="M13" s="37">
        <v>-14489</v>
      </c>
      <c r="N13" s="37">
        <v>-1423</v>
      </c>
      <c r="O13" s="37">
        <v>-1143</v>
      </c>
    </row>
    <row r="14" spans="1:15" ht="15" customHeight="1" x14ac:dyDescent="0.45">
      <c r="A14" s="9" t="s">
        <v>255</v>
      </c>
      <c r="B14" s="37">
        <v>-1057</v>
      </c>
      <c r="C14" s="37">
        <v>-2042</v>
      </c>
      <c r="D14" s="37">
        <v>-3061</v>
      </c>
      <c r="E14" s="37">
        <v>-4093</v>
      </c>
      <c r="F14" s="37">
        <v>-1234</v>
      </c>
      <c r="G14" s="37">
        <v>-2460</v>
      </c>
      <c r="H14" s="37">
        <v>-3552</v>
      </c>
      <c r="I14" s="37">
        <v>-4117</v>
      </c>
      <c r="J14" s="37">
        <v>-454</v>
      </c>
      <c r="K14" s="37">
        <v>-819</v>
      </c>
      <c r="L14" s="37">
        <v>-822</v>
      </c>
      <c r="M14" s="37">
        <v>-822</v>
      </c>
      <c r="N14" s="37">
        <v>0</v>
      </c>
      <c r="O14" s="37">
        <v>-110</v>
      </c>
    </row>
    <row r="15" spans="1:15" ht="15" customHeight="1" x14ac:dyDescent="0.45">
      <c r="A15" s="9" t="s">
        <v>256</v>
      </c>
      <c r="B15" s="37">
        <v>1532</v>
      </c>
      <c r="C15" s="37">
        <v>3067</v>
      </c>
      <c r="D15" s="37">
        <v>4605</v>
      </c>
      <c r="E15" s="37">
        <v>6145</v>
      </c>
      <c r="F15" s="37">
        <v>1690</v>
      </c>
      <c r="G15" s="37">
        <v>3475</v>
      </c>
      <c r="H15" s="37">
        <v>5098</v>
      </c>
      <c r="I15" s="37">
        <v>6801</v>
      </c>
      <c r="J15" s="37">
        <v>1928</v>
      </c>
      <c r="K15" s="37">
        <v>3710</v>
      </c>
      <c r="L15" s="37">
        <v>5528</v>
      </c>
      <c r="M15" s="37">
        <v>7351</v>
      </c>
      <c r="N15" s="37">
        <v>1840</v>
      </c>
      <c r="O15" s="37">
        <v>3591</v>
      </c>
    </row>
    <row r="16" spans="1:15" ht="15" customHeight="1" x14ac:dyDescent="0.45">
      <c r="A16" s="9" t="s">
        <v>257</v>
      </c>
      <c r="B16" s="37">
        <v>-3</v>
      </c>
      <c r="C16" s="37">
        <v>4</v>
      </c>
      <c r="D16" s="37">
        <v>3</v>
      </c>
      <c r="E16" s="37">
        <v>45</v>
      </c>
      <c r="F16" s="37">
        <v>-1</v>
      </c>
      <c r="G16" s="37">
        <v>1</v>
      </c>
      <c r="H16" s="37">
        <v>-78</v>
      </c>
      <c r="I16" s="37">
        <v>-25</v>
      </c>
      <c r="J16" s="37">
        <v>-223</v>
      </c>
      <c r="K16" s="37">
        <v>-278</v>
      </c>
      <c r="L16" s="37">
        <v>-864</v>
      </c>
      <c r="M16" s="37">
        <v>-1047</v>
      </c>
      <c r="N16" s="37">
        <v>-676</v>
      </c>
      <c r="O16" s="37">
        <v>-305</v>
      </c>
    </row>
    <row r="17" spans="1:15" ht="15" customHeight="1" x14ac:dyDescent="0.45">
      <c r="A17" s="9" t="s">
        <v>258</v>
      </c>
      <c r="B17" s="37">
        <v>61292</v>
      </c>
      <c r="C17" s="37">
        <v>41743</v>
      </c>
      <c r="D17" s="37">
        <v>8367</v>
      </c>
      <c r="E17" s="37">
        <v>-75716</v>
      </c>
      <c r="F17" s="37">
        <v>72184</v>
      </c>
      <c r="G17" s="37">
        <v>23881</v>
      </c>
      <c r="H17" s="37">
        <v>-1322</v>
      </c>
      <c r="I17" s="37">
        <v>-49345</v>
      </c>
      <c r="J17" s="37">
        <v>75691</v>
      </c>
      <c r="K17" s="37">
        <v>41412</v>
      </c>
      <c r="L17" s="37">
        <v>62223</v>
      </c>
      <c r="M17" s="37">
        <v>66574</v>
      </c>
      <c r="N17" s="37">
        <v>21335</v>
      </c>
      <c r="O17" s="37">
        <v>-24957</v>
      </c>
    </row>
    <row r="18" spans="1:15" ht="15" customHeight="1" x14ac:dyDescent="0.45">
      <c r="A18" s="9" t="s">
        <v>259</v>
      </c>
      <c r="B18" s="37">
        <v>894</v>
      </c>
      <c r="C18" s="37">
        <v>907</v>
      </c>
      <c r="D18" s="37">
        <v>3501</v>
      </c>
      <c r="E18" s="37">
        <v>3918</v>
      </c>
      <c r="F18" s="37">
        <v>-196</v>
      </c>
      <c r="G18" s="37">
        <v>-3397</v>
      </c>
      <c r="H18" s="37">
        <v>-1554</v>
      </c>
      <c r="I18" s="37">
        <v>-5826</v>
      </c>
      <c r="J18" s="37">
        <v>5681</v>
      </c>
      <c r="K18" s="37">
        <v>-340</v>
      </c>
      <c r="L18" s="37">
        <v>-2221</v>
      </c>
      <c r="M18" s="37">
        <v>-16220</v>
      </c>
      <c r="N18" s="37">
        <v>4082</v>
      </c>
      <c r="O18" s="37">
        <v>4046</v>
      </c>
    </row>
    <row r="19" spans="1:15" ht="15" customHeight="1" x14ac:dyDescent="0.45">
      <c r="A19" s="9" t="s">
        <v>260</v>
      </c>
      <c r="B19" s="37">
        <v>-55387</v>
      </c>
      <c r="C19" s="37">
        <v>-30078</v>
      </c>
      <c r="D19" s="37">
        <v>4141</v>
      </c>
      <c r="E19" s="37">
        <v>79687</v>
      </c>
      <c r="F19" s="37">
        <v>-58444</v>
      </c>
      <c r="G19" s="37">
        <v>-14768</v>
      </c>
      <c r="H19" s="37">
        <v>8841</v>
      </c>
      <c r="I19" s="37">
        <v>38096</v>
      </c>
      <c r="J19" s="37">
        <v>-62578</v>
      </c>
      <c r="K19" s="37">
        <v>-25865</v>
      </c>
      <c r="L19" s="37">
        <v>-29981</v>
      </c>
      <c r="M19" s="37">
        <v>-42397</v>
      </c>
      <c r="N19" s="37">
        <v>-997</v>
      </c>
      <c r="O19" s="37">
        <v>36558</v>
      </c>
    </row>
    <row r="20" spans="1:15" ht="15" customHeight="1" x14ac:dyDescent="0.45">
      <c r="A20" s="9" t="s">
        <v>261</v>
      </c>
      <c r="B20" s="37">
        <v>-833</v>
      </c>
      <c r="C20" s="37">
        <v>1875</v>
      </c>
      <c r="D20" s="37">
        <v>3214</v>
      </c>
      <c r="E20" s="37">
        <v>3035</v>
      </c>
      <c r="F20" s="37">
        <v>-1784</v>
      </c>
      <c r="G20" s="37">
        <v>56</v>
      </c>
      <c r="H20" s="37">
        <v>2259</v>
      </c>
      <c r="I20" s="37">
        <v>9627</v>
      </c>
      <c r="J20" s="37">
        <v>-11287</v>
      </c>
      <c r="K20" s="37">
        <v>-5559</v>
      </c>
      <c r="L20" s="37">
        <v>429</v>
      </c>
      <c r="M20" s="37">
        <v>16179</v>
      </c>
      <c r="N20" s="37">
        <v>-11382</v>
      </c>
      <c r="O20" s="37">
        <v>-1738</v>
      </c>
    </row>
    <row r="21" spans="1:15" ht="15" customHeight="1" x14ac:dyDescent="0.45">
      <c r="A21" s="9" t="s">
        <v>262</v>
      </c>
      <c r="B21" s="37">
        <v>-1265</v>
      </c>
      <c r="C21" s="37">
        <v>-2740</v>
      </c>
      <c r="D21" s="37">
        <v>-4282</v>
      </c>
      <c r="E21" s="37">
        <v>-5789</v>
      </c>
      <c r="F21" s="37">
        <v>-1380</v>
      </c>
      <c r="G21" s="37">
        <v>-2970</v>
      </c>
      <c r="H21" s="37">
        <v>-4741</v>
      </c>
      <c r="I21" s="37">
        <v>-6531</v>
      </c>
      <c r="J21" s="37">
        <v>-590</v>
      </c>
      <c r="K21" s="37">
        <v>-1328</v>
      </c>
      <c r="L21" s="37">
        <v>-1912</v>
      </c>
      <c r="M21" s="37">
        <v>-2616</v>
      </c>
      <c r="N21" s="37">
        <v>-1444</v>
      </c>
      <c r="O21" s="37">
        <v>-3188</v>
      </c>
    </row>
    <row r="22" spans="1:15" ht="15" customHeight="1" x14ac:dyDescent="0.45">
      <c r="A22" s="9" t="s">
        <v>263</v>
      </c>
      <c r="B22" s="37">
        <v>-712</v>
      </c>
      <c r="C22" s="37">
        <v>-1314</v>
      </c>
      <c r="D22" s="37">
        <v>-966</v>
      </c>
      <c r="E22" s="37">
        <v>-893</v>
      </c>
      <c r="F22" s="37">
        <v>257</v>
      </c>
      <c r="G22" s="37">
        <v>277</v>
      </c>
      <c r="H22" s="37">
        <v>454</v>
      </c>
      <c r="I22" s="37">
        <v>197</v>
      </c>
      <c r="J22" s="37">
        <v>319</v>
      </c>
      <c r="K22" s="37">
        <v>275</v>
      </c>
      <c r="L22" s="37">
        <v>432</v>
      </c>
      <c r="M22" s="37">
        <v>861</v>
      </c>
      <c r="N22" s="37">
        <v>-6</v>
      </c>
      <c r="O22" s="37">
        <v>1633</v>
      </c>
    </row>
    <row r="23" spans="1:15" ht="15" customHeight="1" x14ac:dyDescent="0.45">
      <c r="A23" s="38" t="s">
        <v>264</v>
      </c>
      <c r="B23" s="39">
        <f t="shared" ref="B23:O23" si="0">SUM(B9:B22)</f>
        <v>12754</v>
      </c>
      <c r="C23" s="39">
        <f t="shared" si="0"/>
        <v>28602</v>
      </c>
      <c r="D23" s="39">
        <f t="shared" si="0"/>
        <v>52447</v>
      </c>
      <c r="E23" s="39">
        <f t="shared" si="0"/>
        <v>81121</v>
      </c>
      <c r="F23" s="39">
        <f t="shared" si="0"/>
        <v>24294</v>
      </c>
      <c r="G23" s="39">
        <f t="shared" si="0"/>
        <v>36238</v>
      </c>
      <c r="H23" s="39">
        <f t="shared" si="0"/>
        <v>55377</v>
      </c>
      <c r="I23" s="39">
        <f t="shared" si="0"/>
        <v>73425</v>
      </c>
      <c r="J23" s="39">
        <f t="shared" si="0"/>
        <v>15621</v>
      </c>
      <c r="K23" s="39">
        <f t="shared" si="0"/>
        <v>30526</v>
      </c>
      <c r="L23" s="39">
        <f t="shared" si="0"/>
        <v>62900</v>
      </c>
      <c r="M23" s="39">
        <f t="shared" si="0"/>
        <v>81059</v>
      </c>
      <c r="N23" s="39">
        <f t="shared" si="0"/>
        <v>17295</v>
      </c>
      <c r="O23" s="39">
        <f t="shared" si="0"/>
        <v>37505</v>
      </c>
    </row>
    <row r="25" spans="1:15" ht="15" customHeight="1" x14ac:dyDescent="0.45">
      <c r="A25" s="16" t="s">
        <v>305</v>
      </c>
      <c r="B25" s="17"/>
      <c r="C25" s="17"/>
      <c r="D25" s="17"/>
      <c r="E25" s="17"/>
      <c r="F25" s="17"/>
      <c r="G25" s="17"/>
      <c r="H25" s="17"/>
      <c r="I25" s="17"/>
      <c r="J25" s="17"/>
      <c r="K25" s="17"/>
      <c r="L25" s="17"/>
      <c r="M25" s="17"/>
      <c r="N25" s="17"/>
      <c r="O25" s="17"/>
    </row>
    <row r="26" spans="1:15" ht="15" customHeight="1" x14ac:dyDescent="0.45">
      <c r="A26" s="9" t="s">
        <v>166</v>
      </c>
      <c r="B26" s="37">
        <v>-1417</v>
      </c>
      <c r="C26" s="37">
        <v>-2552</v>
      </c>
      <c r="D26" s="37">
        <v>-5424</v>
      </c>
      <c r="E26" s="37">
        <v>-10601</v>
      </c>
      <c r="F26" s="37">
        <v>-801</v>
      </c>
      <c r="G26" s="37">
        <v>-1537</v>
      </c>
      <c r="H26" s="37">
        <v>-13268</v>
      </c>
      <c r="I26" s="37">
        <v>-17592</v>
      </c>
      <c r="J26" s="37">
        <v>-1441</v>
      </c>
      <c r="K26" s="37">
        <v>-2781</v>
      </c>
      <c r="L26" s="37">
        <v>-7455</v>
      </c>
      <c r="M26" s="37">
        <v>-14345</v>
      </c>
      <c r="N26" s="37">
        <v>-11</v>
      </c>
      <c r="O26" s="37">
        <v>-2966</v>
      </c>
    </row>
    <row r="27" spans="1:15" ht="15" customHeight="1" x14ac:dyDescent="0.45">
      <c r="A27" s="9" t="s">
        <v>168</v>
      </c>
      <c r="B27" s="37">
        <v>-6001</v>
      </c>
      <c r="C27" s="37">
        <v>-9919</v>
      </c>
      <c r="D27" s="37">
        <v>-13725</v>
      </c>
      <c r="E27" s="37">
        <v>-17687</v>
      </c>
      <c r="F27" s="37">
        <v>-7231</v>
      </c>
      <c r="G27" s="37">
        <v>-11526</v>
      </c>
      <c r="H27" s="37">
        <v>-16068</v>
      </c>
      <c r="I27" s="37">
        <v>-20936</v>
      </c>
      <c r="J27" s="37">
        <v>-6880</v>
      </c>
      <c r="K27" s="37">
        <v>-11180</v>
      </c>
      <c r="L27" s="37">
        <v>-16094</v>
      </c>
      <c r="M27" s="37">
        <v>-20511</v>
      </c>
      <c r="N27" s="37">
        <v>-6579</v>
      </c>
      <c r="O27" s="37">
        <v>-10171</v>
      </c>
    </row>
    <row r="28" spans="1:15" ht="15" customHeight="1" x14ac:dyDescent="0.45">
      <c r="A28" s="9" t="s">
        <v>266</v>
      </c>
      <c r="B28" s="37">
        <v>-40343</v>
      </c>
      <c r="C28" s="37">
        <v>-46715</v>
      </c>
      <c r="D28" s="37">
        <v>-76932</v>
      </c>
      <c r="E28" s="37">
        <v>-140603</v>
      </c>
      <c r="F28" s="37">
        <v>-34336</v>
      </c>
      <c r="G28" s="37">
        <v>-96565</v>
      </c>
      <c r="H28" s="37">
        <v>-117977</v>
      </c>
      <c r="I28" s="37">
        <v>-142016</v>
      </c>
      <c r="J28" s="37">
        <v>-15307</v>
      </c>
      <c r="K28" s="37">
        <v>-26026</v>
      </c>
      <c r="L28" s="37">
        <v>-26026</v>
      </c>
      <c r="M28" s="37">
        <v>-26026</v>
      </c>
      <c r="N28" s="37">
        <v>0</v>
      </c>
      <c r="O28" s="37">
        <v>-17429</v>
      </c>
    </row>
    <row r="29" spans="1:15" ht="15" customHeight="1" x14ac:dyDescent="0.45">
      <c r="A29" s="9" t="s">
        <v>267</v>
      </c>
      <c r="B29" s="37">
        <v>0</v>
      </c>
      <c r="C29" s="37">
        <v>18873</v>
      </c>
      <c r="D29" s="37">
        <v>18873</v>
      </c>
      <c r="E29" s="37">
        <v>18873</v>
      </c>
      <c r="F29" s="37">
        <v>0</v>
      </c>
      <c r="G29" s="37">
        <v>0</v>
      </c>
      <c r="H29" s="37">
        <v>0</v>
      </c>
      <c r="I29" s="37">
        <v>0</v>
      </c>
      <c r="J29" s="37">
        <v>0</v>
      </c>
      <c r="K29" s="37">
        <v>0</v>
      </c>
      <c r="L29" s="37">
        <v>27095</v>
      </c>
      <c r="M29" s="37">
        <v>27095</v>
      </c>
      <c r="N29" s="37">
        <v>0</v>
      </c>
      <c r="O29" s="37">
        <v>0</v>
      </c>
    </row>
    <row r="30" spans="1:15" ht="15" customHeight="1" x14ac:dyDescent="0.45">
      <c r="A30" s="9" t="s">
        <v>268</v>
      </c>
      <c r="B30" s="37">
        <v>29500</v>
      </c>
      <c r="C30" s="37">
        <v>46500</v>
      </c>
      <c r="D30" s="37">
        <v>69500</v>
      </c>
      <c r="E30" s="37">
        <v>111000</v>
      </c>
      <c r="F30" s="37">
        <v>38500</v>
      </c>
      <c r="G30" s="37">
        <v>103758</v>
      </c>
      <c r="H30" s="37">
        <v>156958</v>
      </c>
      <c r="I30" s="37">
        <v>202858</v>
      </c>
      <c r="J30" s="37">
        <v>13559</v>
      </c>
      <c r="K30" s="37">
        <v>39859</v>
      </c>
      <c r="L30" s="37">
        <v>39859</v>
      </c>
      <c r="M30" s="37">
        <v>39859</v>
      </c>
      <c r="N30" s="37">
        <v>0</v>
      </c>
      <c r="O30" s="37">
        <v>0</v>
      </c>
    </row>
    <row r="31" spans="1:15" ht="15" customHeight="1" x14ac:dyDescent="0.45">
      <c r="A31" s="9" t="s">
        <v>270</v>
      </c>
      <c r="B31" s="37">
        <v>0</v>
      </c>
      <c r="C31" s="37">
        <v>0</v>
      </c>
      <c r="D31" s="37">
        <v>0</v>
      </c>
      <c r="E31" s="37">
        <v>0</v>
      </c>
      <c r="F31" s="37">
        <v>0</v>
      </c>
      <c r="G31" s="37">
        <v>0</v>
      </c>
      <c r="H31" s="37">
        <v>0</v>
      </c>
      <c r="I31" s="37">
        <v>0</v>
      </c>
      <c r="J31" s="37">
        <v>0</v>
      </c>
      <c r="K31" s="37">
        <v>0</v>
      </c>
      <c r="L31" s="37">
        <v>0</v>
      </c>
      <c r="M31" s="37">
        <v>0</v>
      </c>
      <c r="N31" s="37">
        <v>-3000</v>
      </c>
      <c r="O31" s="37">
        <v>-3500</v>
      </c>
    </row>
    <row r="32" spans="1:15" ht="15" customHeight="1" x14ac:dyDescent="0.45">
      <c r="A32" s="38" t="s">
        <v>271</v>
      </c>
      <c r="B32" s="39">
        <f t="shared" ref="B32:O32" si="1">SUM(B26:B31)</f>
        <v>-18261</v>
      </c>
      <c r="C32" s="39">
        <f t="shared" si="1"/>
        <v>6187</v>
      </c>
      <c r="D32" s="39">
        <f t="shared" si="1"/>
        <v>-7708</v>
      </c>
      <c r="E32" s="39">
        <f t="shared" si="1"/>
        <v>-39018</v>
      </c>
      <c r="F32" s="39">
        <f t="shared" si="1"/>
        <v>-3868</v>
      </c>
      <c r="G32" s="39">
        <f t="shared" si="1"/>
        <v>-5870</v>
      </c>
      <c r="H32" s="39">
        <f t="shared" si="1"/>
        <v>9645</v>
      </c>
      <c r="I32" s="39">
        <f t="shared" si="1"/>
        <v>22314</v>
      </c>
      <c r="J32" s="39">
        <f t="shared" si="1"/>
        <v>-10069</v>
      </c>
      <c r="K32" s="39">
        <f t="shared" si="1"/>
        <v>-128</v>
      </c>
      <c r="L32" s="39">
        <f t="shared" si="1"/>
        <v>17379</v>
      </c>
      <c r="M32" s="39">
        <f t="shared" si="1"/>
        <v>6072</v>
      </c>
      <c r="N32" s="39">
        <f t="shared" si="1"/>
        <v>-9590</v>
      </c>
      <c r="O32" s="39">
        <f t="shared" si="1"/>
        <v>-34066</v>
      </c>
    </row>
    <row r="34" spans="1:15" ht="15" customHeight="1" x14ac:dyDescent="0.45">
      <c r="A34" s="16" t="s">
        <v>306</v>
      </c>
      <c r="B34" s="17"/>
      <c r="C34" s="17"/>
      <c r="D34" s="17"/>
      <c r="E34" s="17"/>
      <c r="F34" s="17"/>
      <c r="G34" s="17"/>
      <c r="H34" s="17"/>
      <c r="I34" s="17"/>
      <c r="J34" s="17"/>
      <c r="K34" s="17"/>
      <c r="L34" s="17"/>
      <c r="M34" s="17"/>
      <c r="N34" s="17"/>
      <c r="O34" s="17"/>
    </row>
    <row r="35" spans="1:15" ht="15" customHeight="1" x14ac:dyDescent="0.45">
      <c r="A35" s="9" t="s">
        <v>273</v>
      </c>
      <c r="B35" s="37">
        <v>0</v>
      </c>
      <c r="C35" s="37">
        <v>0</v>
      </c>
      <c r="D35" s="37">
        <v>0</v>
      </c>
      <c r="E35" s="37">
        <v>0</v>
      </c>
      <c r="F35" s="37">
        <v>-2148</v>
      </c>
      <c r="G35" s="37">
        <v>-2148</v>
      </c>
      <c r="H35" s="37">
        <v>-2148</v>
      </c>
      <c r="I35" s="37">
        <v>-2148</v>
      </c>
      <c r="J35" s="37">
        <v>0</v>
      </c>
      <c r="K35" s="37">
        <v>0</v>
      </c>
      <c r="L35" s="37">
        <v>0</v>
      </c>
      <c r="M35" s="37">
        <v>0</v>
      </c>
      <c r="N35" s="37">
        <v>0</v>
      </c>
      <c r="O35" s="37">
        <v>0</v>
      </c>
    </row>
    <row r="36" spans="1:15" ht="15" customHeight="1" x14ac:dyDescent="0.45">
      <c r="A36" s="9" t="s">
        <v>274</v>
      </c>
      <c r="B36" s="37">
        <v>0</v>
      </c>
      <c r="C36" s="37">
        <v>971</v>
      </c>
      <c r="D36" s="37">
        <v>971</v>
      </c>
      <c r="E36" s="37">
        <v>1869</v>
      </c>
      <c r="F36" s="37">
        <v>0</v>
      </c>
      <c r="G36" s="37">
        <v>1451</v>
      </c>
      <c r="H36" s="37">
        <v>1451</v>
      </c>
      <c r="I36" s="37">
        <v>2368</v>
      </c>
      <c r="J36" s="37">
        <v>0</v>
      </c>
      <c r="K36" s="37">
        <v>1357</v>
      </c>
      <c r="L36" s="37">
        <v>1357</v>
      </c>
      <c r="M36" s="37">
        <v>2148</v>
      </c>
      <c r="N36" s="37">
        <v>0</v>
      </c>
      <c r="O36" s="37">
        <v>1054</v>
      </c>
    </row>
    <row r="37" spans="1:15" ht="15" customHeight="1" x14ac:dyDescent="0.45">
      <c r="A37" s="9" t="s">
        <v>275</v>
      </c>
      <c r="B37" s="37">
        <v>314</v>
      </c>
      <c r="C37" s="37">
        <v>937</v>
      </c>
      <c r="D37" s="37">
        <v>1210</v>
      </c>
      <c r="E37" s="37">
        <v>1549</v>
      </c>
      <c r="F37" s="37">
        <v>939</v>
      </c>
      <c r="G37" s="37">
        <v>1274</v>
      </c>
      <c r="H37" s="37">
        <v>1578</v>
      </c>
      <c r="I37" s="37">
        <v>1765</v>
      </c>
      <c r="J37" s="37">
        <v>563</v>
      </c>
      <c r="K37" s="37">
        <v>1174</v>
      </c>
      <c r="L37" s="37">
        <v>1495</v>
      </c>
      <c r="M37" s="37">
        <v>1759</v>
      </c>
      <c r="N37" s="37">
        <v>477</v>
      </c>
      <c r="O37" s="37">
        <v>884</v>
      </c>
    </row>
    <row r="38" spans="1:15" ht="15" customHeight="1" x14ac:dyDescent="0.45">
      <c r="A38" s="9" t="s">
        <v>276</v>
      </c>
      <c r="B38" s="37">
        <v>-31</v>
      </c>
      <c r="C38" s="37">
        <v>-62</v>
      </c>
      <c r="D38" s="37">
        <v>-93</v>
      </c>
      <c r="E38" s="37">
        <v>-126</v>
      </c>
      <c r="F38" s="37">
        <v>-32</v>
      </c>
      <c r="G38" s="37">
        <v>-65</v>
      </c>
      <c r="H38" s="37">
        <v>-98</v>
      </c>
      <c r="I38" s="37">
        <v>-131</v>
      </c>
      <c r="J38" s="37">
        <v>-35</v>
      </c>
      <c r="K38" s="37">
        <v>-70</v>
      </c>
      <c r="L38" s="37">
        <v>-105</v>
      </c>
      <c r="M38" s="37">
        <v>-140</v>
      </c>
      <c r="N38" s="37">
        <v>-36</v>
      </c>
      <c r="O38" s="37">
        <v>-75</v>
      </c>
    </row>
    <row r="39" spans="1:15" ht="15" customHeight="1" x14ac:dyDescent="0.45">
      <c r="A39" s="9" t="s">
        <v>307</v>
      </c>
      <c r="B39" s="37">
        <v>-7898</v>
      </c>
      <c r="C39" s="37">
        <v>-23480</v>
      </c>
      <c r="D39" s="37">
        <v>-41479</v>
      </c>
      <c r="E39" s="37">
        <v>-59268</v>
      </c>
      <c r="F39" s="37">
        <v>-17500</v>
      </c>
      <c r="G39" s="37">
        <v>-35868</v>
      </c>
      <c r="H39" s="37">
        <v>-65400</v>
      </c>
      <c r="I39" s="37">
        <v>-75332</v>
      </c>
      <c r="J39" s="37">
        <v>-5000</v>
      </c>
      <c r="K39" s="37">
        <v>-43649</v>
      </c>
      <c r="L39" s="37">
        <v>-47650</v>
      </c>
      <c r="M39" s="37">
        <v>-46498</v>
      </c>
      <c r="N39" s="37">
        <v>-8500</v>
      </c>
      <c r="O39" s="37">
        <v>-30500</v>
      </c>
    </row>
    <row r="40" spans="1:15" ht="15" customHeight="1" x14ac:dyDescent="0.45">
      <c r="A40" s="38" t="s">
        <v>278</v>
      </c>
      <c r="B40" s="39">
        <f t="shared" ref="B40:O40" si="2">SUM(B35:B39)</f>
        <v>-7615</v>
      </c>
      <c r="C40" s="39">
        <f t="shared" si="2"/>
        <v>-21634</v>
      </c>
      <c r="D40" s="39">
        <f t="shared" si="2"/>
        <v>-39391</v>
      </c>
      <c r="E40" s="39">
        <f t="shared" si="2"/>
        <v>-55976</v>
      </c>
      <c r="F40" s="39">
        <f t="shared" si="2"/>
        <v>-18741</v>
      </c>
      <c r="G40" s="39">
        <f t="shared" si="2"/>
        <v>-35356</v>
      </c>
      <c r="H40" s="39">
        <f t="shared" si="2"/>
        <v>-64617</v>
      </c>
      <c r="I40" s="39">
        <f t="shared" si="2"/>
        <v>-73478</v>
      </c>
      <c r="J40" s="39">
        <f t="shared" si="2"/>
        <v>-4472</v>
      </c>
      <c r="K40" s="39">
        <f t="shared" si="2"/>
        <v>-41188</v>
      </c>
      <c r="L40" s="39">
        <f t="shared" si="2"/>
        <v>-44903</v>
      </c>
      <c r="M40" s="39">
        <f t="shared" si="2"/>
        <v>-42731</v>
      </c>
      <c r="N40" s="39">
        <f t="shared" si="2"/>
        <v>-8059</v>
      </c>
      <c r="O40" s="39">
        <f t="shared" si="2"/>
        <v>-28637</v>
      </c>
    </row>
    <row r="42" spans="1:15" ht="15" customHeight="1" x14ac:dyDescent="0.45">
      <c r="A42" s="16" t="s">
        <v>308</v>
      </c>
      <c r="B42" s="17"/>
      <c r="C42" s="17"/>
      <c r="D42" s="17"/>
      <c r="E42" s="17"/>
      <c r="F42" s="17"/>
      <c r="G42" s="17"/>
      <c r="H42" s="17"/>
      <c r="I42" s="17"/>
      <c r="J42" s="17"/>
      <c r="K42" s="17"/>
      <c r="L42" s="17"/>
      <c r="M42" s="17"/>
      <c r="N42" s="17"/>
      <c r="O42" s="17"/>
    </row>
    <row r="43" spans="1:15" ht="15" customHeight="1" x14ac:dyDescent="0.45">
      <c r="A43" s="9" t="s">
        <v>280</v>
      </c>
      <c r="B43" s="31">
        <f t="shared" ref="B43:O43" si="3">B23+B32+B40</f>
        <v>-13122</v>
      </c>
      <c r="C43" s="31">
        <f t="shared" si="3"/>
        <v>13155</v>
      </c>
      <c r="D43" s="31">
        <f t="shared" si="3"/>
        <v>5348</v>
      </c>
      <c r="E43" s="31">
        <f t="shared" si="3"/>
        <v>-13873</v>
      </c>
      <c r="F43" s="31">
        <f t="shared" si="3"/>
        <v>1685</v>
      </c>
      <c r="G43" s="31">
        <f t="shared" si="3"/>
        <v>-4988</v>
      </c>
      <c r="H43" s="31">
        <f t="shared" si="3"/>
        <v>405</v>
      </c>
      <c r="I43" s="31">
        <f t="shared" si="3"/>
        <v>22261</v>
      </c>
      <c r="J43" s="31">
        <f t="shared" si="3"/>
        <v>1080</v>
      </c>
      <c r="K43" s="31">
        <f t="shared" si="3"/>
        <v>-10790</v>
      </c>
      <c r="L43" s="31">
        <f t="shared" si="3"/>
        <v>35376</v>
      </c>
      <c r="M43" s="31">
        <f t="shared" si="3"/>
        <v>44400</v>
      </c>
      <c r="N43" s="31">
        <f t="shared" si="3"/>
        <v>-354</v>
      </c>
      <c r="O43" s="31">
        <f t="shared" si="3"/>
        <v>-25198</v>
      </c>
    </row>
    <row r="44" spans="1:15" ht="15" customHeight="1" x14ac:dyDescent="0.45">
      <c r="A44" s="9" t="s">
        <v>281</v>
      </c>
      <c r="B44" s="37">
        <v>0</v>
      </c>
      <c r="C44" s="37">
        <v>0</v>
      </c>
      <c r="D44" s="37">
        <v>0</v>
      </c>
      <c r="E44" s="37">
        <v>0</v>
      </c>
      <c r="F44" s="37">
        <v>0</v>
      </c>
      <c r="G44" s="37">
        <v>0</v>
      </c>
      <c r="H44" s="37">
        <v>0</v>
      </c>
      <c r="I44" s="37">
        <v>-318</v>
      </c>
      <c r="J44" s="37">
        <v>279</v>
      </c>
      <c r="K44" s="37">
        <v>814</v>
      </c>
      <c r="L44" s="37">
        <v>720</v>
      </c>
      <c r="M44" s="37">
        <v>666</v>
      </c>
      <c r="N44" s="37">
        <v>-288</v>
      </c>
      <c r="O44" s="37">
        <v>-349</v>
      </c>
    </row>
    <row r="45" spans="1:15" ht="15" customHeight="1" x14ac:dyDescent="0.45">
      <c r="A45" s="9" t="s">
        <v>309</v>
      </c>
      <c r="B45" s="37">
        <v>92382</v>
      </c>
      <c r="C45" s="37">
        <v>92382</v>
      </c>
      <c r="D45" s="37">
        <v>92382</v>
      </c>
      <c r="E45" s="37">
        <v>92382</v>
      </c>
      <c r="F45" s="37">
        <v>78509</v>
      </c>
      <c r="G45" s="37">
        <v>78509</v>
      </c>
      <c r="H45" s="37">
        <v>78509</v>
      </c>
      <c r="I45" s="37">
        <v>78509</v>
      </c>
      <c r="J45" s="37">
        <v>100452</v>
      </c>
      <c r="K45" s="37">
        <v>100452</v>
      </c>
      <c r="L45" s="37">
        <v>100452</v>
      </c>
      <c r="M45" s="37">
        <v>100452</v>
      </c>
      <c r="N45" s="37">
        <v>145518</v>
      </c>
      <c r="O45" s="37">
        <v>145518</v>
      </c>
    </row>
    <row r="46" spans="1:15" ht="15" customHeight="1" x14ac:dyDescent="0.45">
      <c r="A46" s="38" t="s">
        <v>283</v>
      </c>
      <c r="B46" s="39">
        <f t="shared" ref="B46:O46" si="4">B45+B43+B44</f>
        <v>79260</v>
      </c>
      <c r="C46" s="39">
        <f t="shared" si="4"/>
        <v>105537</v>
      </c>
      <c r="D46" s="39">
        <f t="shared" si="4"/>
        <v>97730</v>
      </c>
      <c r="E46" s="39">
        <f t="shared" si="4"/>
        <v>78509</v>
      </c>
      <c r="F46" s="39">
        <f t="shared" si="4"/>
        <v>80194</v>
      </c>
      <c r="G46" s="39">
        <f t="shared" si="4"/>
        <v>73521</v>
      </c>
      <c r="H46" s="39">
        <f t="shared" si="4"/>
        <v>78914</v>
      </c>
      <c r="I46" s="39">
        <f t="shared" si="4"/>
        <v>100452</v>
      </c>
      <c r="J46" s="39">
        <f t="shared" si="4"/>
        <v>101811</v>
      </c>
      <c r="K46" s="39">
        <f t="shared" si="4"/>
        <v>90476</v>
      </c>
      <c r="L46" s="39">
        <f t="shared" si="4"/>
        <v>136548</v>
      </c>
      <c r="M46" s="39">
        <f t="shared" si="4"/>
        <v>145518</v>
      </c>
      <c r="N46" s="39">
        <f t="shared" si="4"/>
        <v>144876</v>
      </c>
      <c r="O46" s="39">
        <f t="shared" si="4"/>
        <v>119971</v>
      </c>
    </row>
    <row r="48" spans="1:15" ht="15" customHeight="1" x14ac:dyDescent="0.45">
      <c r="A48" s="16" t="s">
        <v>310</v>
      </c>
      <c r="B48" s="17"/>
      <c r="C48" s="17"/>
      <c r="D48" s="17"/>
      <c r="E48" s="17"/>
      <c r="F48" s="17"/>
      <c r="G48" s="17"/>
      <c r="H48" s="17"/>
      <c r="I48" s="17"/>
      <c r="J48" s="17"/>
      <c r="K48" s="17"/>
      <c r="L48" s="17"/>
      <c r="M48" s="17"/>
      <c r="N48" s="17"/>
      <c r="O48" s="17"/>
    </row>
    <row r="49" spans="1:15" ht="15" customHeight="1" x14ac:dyDescent="0.45">
      <c r="A49" s="9" t="s">
        <v>311</v>
      </c>
      <c r="B49" s="37">
        <v>12754</v>
      </c>
      <c r="C49" s="37">
        <v>28602</v>
      </c>
      <c r="D49" s="37">
        <v>52447</v>
      </c>
      <c r="E49" s="37">
        <v>81121</v>
      </c>
      <c r="F49" s="37">
        <v>24294</v>
      </c>
      <c r="G49" s="37">
        <v>36238</v>
      </c>
      <c r="H49" s="37">
        <v>55377</v>
      </c>
      <c r="I49" s="37">
        <v>73425</v>
      </c>
      <c r="J49" s="37">
        <v>15621</v>
      </c>
      <c r="K49" s="37">
        <v>30526</v>
      </c>
      <c r="L49" s="37">
        <v>62900</v>
      </c>
      <c r="M49" s="37">
        <v>81059</v>
      </c>
      <c r="N49" s="37">
        <v>17295</v>
      </c>
      <c r="O49" s="37">
        <v>37505</v>
      </c>
    </row>
    <row r="50" spans="1:15" ht="15" customHeight="1" x14ac:dyDescent="0.45">
      <c r="A50" s="9" t="s">
        <v>312</v>
      </c>
      <c r="B50" s="37">
        <v>-18261</v>
      </c>
      <c r="C50" s="37">
        <v>6187</v>
      </c>
      <c r="D50" s="37">
        <v>-7708</v>
      </c>
      <c r="E50" s="37">
        <v>-39018</v>
      </c>
      <c r="F50" s="37">
        <v>-3868</v>
      </c>
      <c r="G50" s="37">
        <v>-5870</v>
      </c>
      <c r="H50" s="37">
        <v>9645</v>
      </c>
      <c r="I50" s="37">
        <v>22314</v>
      </c>
      <c r="J50" s="37">
        <v>-10069</v>
      </c>
      <c r="K50" s="37">
        <v>-128</v>
      </c>
      <c r="L50" s="37">
        <v>17379</v>
      </c>
      <c r="M50" s="37">
        <v>6072</v>
      </c>
      <c r="N50" s="37">
        <v>-9590</v>
      </c>
      <c r="O50" s="37">
        <v>-34066</v>
      </c>
    </row>
    <row r="51" spans="1:15" ht="15" customHeight="1" x14ac:dyDescent="0.45">
      <c r="A51" s="9" t="s">
        <v>313</v>
      </c>
      <c r="B51" s="37">
        <v>-7615</v>
      </c>
      <c r="C51" s="37">
        <v>-21634</v>
      </c>
      <c r="D51" s="37">
        <v>-39391</v>
      </c>
      <c r="E51" s="37">
        <v>-55976</v>
      </c>
      <c r="F51" s="37">
        <v>-18741</v>
      </c>
      <c r="G51" s="37">
        <v>-35356</v>
      </c>
      <c r="H51" s="37">
        <v>-64617</v>
      </c>
      <c r="I51" s="37">
        <v>-73478</v>
      </c>
      <c r="J51" s="37">
        <v>-4472</v>
      </c>
      <c r="K51" s="37">
        <v>-41188</v>
      </c>
      <c r="L51" s="37">
        <v>-44903</v>
      </c>
      <c r="M51" s="37">
        <v>-42731</v>
      </c>
      <c r="N51" s="37">
        <v>-8059</v>
      </c>
      <c r="O51" s="37">
        <v>-28637</v>
      </c>
    </row>
    <row r="52" spans="1:15" ht="15" customHeight="1" x14ac:dyDescent="0.45">
      <c r="A52" s="9" t="s">
        <v>314</v>
      </c>
      <c r="B52" s="37">
        <v>79260</v>
      </c>
      <c r="C52" s="37">
        <v>105537</v>
      </c>
      <c r="D52" s="37">
        <v>97730</v>
      </c>
      <c r="E52" s="37">
        <v>78509</v>
      </c>
      <c r="F52" s="37">
        <v>80194</v>
      </c>
      <c r="G52" s="37">
        <v>73521</v>
      </c>
      <c r="H52" s="37">
        <v>78914</v>
      </c>
      <c r="I52" s="37">
        <v>100452</v>
      </c>
      <c r="J52" s="37">
        <v>101811</v>
      </c>
      <c r="K52" s="37">
        <v>90476</v>
      </c>
      <c r="L52" s="37">
        <v>136548</v>
      </c>
      <c r="M52" s="37">
        <v>145518</v>
      </c>
      <c r="N52" s="37">
        <v>144876</v>
      </c>
      <c r="O52" s="37">
        <v>119971</v>
      </c>
    </row>
    <row r="53" spans="1:15" ht="15" customHeight="1" x14ac:dyDescent="0.45">
      <c r="A53" s="10" t="s">
        <v>315</v>
      </c>
      <c r="B53" s="36">
        <f t="shared" ref="B53:O53" si="5">ABS(B23-B49)+ABS(B32-B50)+ABS(B40-B51)+ABS(B46-B52)</f>
        <v>0</v>
      </c>
      <c r="C53" s="36">
        <f t="shared" si="5"/>
        <v>0</v>
      </c>
      <c r="D53" s="36">
        <f t="shared" si="5"/>
        <v>0</v>
      </c>
      <c r="E53" s="36">
        <f t="shared" si="5"/>
        <v>0</v>
      </c>
      <c r="F53" s="36">
        <f t="shared" si="5"/>
        <v>0</v>
      </c>
      <c r="G53" s="36">
        <f t="shared" si="5"/>
        <v>0</v>
      </c>
      <c r="H53" s="36">
        <f t="shared" si="5"/>
        <v>0</v>
      </c>
      <c r="I53" s="36">
        <f t="shared" si="5"/>
        <v>0</v>
      </c>
      <c r="J53" s="36">
        <f t="shared" si="5"/>
        <v>0</v>
      </c>
      <c r="K53" s="36">
        <f t="shared" si="5"/>
        <v>0</v>
      </c>
      <c r="L53" s="36">
        <f t="shared" si="5"/>
        <v>0</v>
      </c>
      <c r="M53" s="36">
        <f t="shared" si="5"/>
        <v>0</v>
      </c>
      <c r="N53" s="36">
        <f t="shared" si="5"/>
        <v>0</v>
      </c>
      <c r="O53" s="36">
        <f t="shared" si="5"/>
        <v>0</v>
      </c>
    </row>
  </sheetData>
  <pageMargins left="0.75" right="0.75" top="1" bottom="1" header="0.511811023622047" footer="0.511811023622047"/>
  <pageSetup fitToHeight="0"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7F7F"/>
    <pageSetUpPr fitToPage="1"/>
  </sheetPr>
  <dimension ref="A1:D32"/>
  <sheetViews>
    <sheetView showGridLines="0" zoomScale="90" zoomScaleNormal="90" workbookViewId="0">
      <pane xSplit="1" ySplit="5" topLeftCell="B6" activePane="bottomRight" state="frozen"/>
      <selection pane="topRight" activeCell="B1" sqref="B1"/>
      <selection pane="bottomLeft" activeCell="A6" sqref="A6"/>
      <selection pane="bottomRight" activeCell="B6" sqref="B6"/>
    </sheetView>
  </sheetViews>
  <sheetFormatPr defaultColWidth="8.6640625" defaultRowHeight="14.25" x14ac:dyDescent="0.45"/>
  <cols>
    <col min="1" max="1" width="46" customWidth="1"/>
    <col min="2" max="4" width="13" customWidth="1"/>
  </cols>
  <sheetData>
    <row r="1" spans="1:4" ht="17.25" customHeight="1" x14ac:dyDescent="0.5">
      <c r="A1" s="13" t="s">
        <v>316</v>
      </c>
    </row>
    <row r="2" spans="1:4" ht="15" customHeight="1" x14ac:dyDescent="0.45">
      <c r="A2" s="4" t="s">
        <v>317</v>
      </c>
    </row>
    <row r="4" spans="1:4" ht="15" customHeight="1" x14ac:dyDescent="0.45">
      <c r="A4" s="5" t="s">
        <v>72</v>
      </c>
      <c r="B4" s="22" t="s">
        <v>318</v>
      </c>
      <c r="C4" s="22" t="s">
        <v>319</v>
      </c>
      <c r="D4" s="22" t="s">
        <v>320</v>
      </c>
    </row>
    <row r="5" spans="1:4" ht="15" customHeight="1" x14ac:dyDescent="0.45">
      <c r="A5" s="5" t="s">
        <v>79</v>
      </c>
      <c r="B5" s="22" t="s">
        <v>321</v>
      </c>
      <c r="C5" s="22" t="s">
        <v>321</v>
      </c>
      <c r="D5" s="22" t="s">
        <v>321</v>
      </c>
    </row>
    <row r="8" spans="1:4" ht="15" customHeight="1" x14ac:dyDescent="0.45">
      <c r="A8" s="16" t="s">
        <v>322</v>
      </c>
      <c r="B8" s="17"/>
      <c r="C8" s="17"/>
      <c r="D8" s="17"/>
    </row>
    <row r="9" spans="1:4" ht="15" customHeight="1" x14ac:dyDescent="0.45">
      <c r="A9" s="9" t="s">
        <v>84</v>
      </c>
      <c r="B9" s="37">
        <v>267014</v>
      </c>
      <c r="C9" s="37">
        <v>291256</v>
      </c>
      <c r="D9" s="37">
        <v>282926</v>
      </c>
    </row>
    <row r="10" spans="1:4" ht="15" customHeight="1" x14ac:dyDescent="0.45">
      <c r="A10" s="9" t="s">
        <v>185</v>
      </c>
      <c r="B10" s="37">
        <v>99229</v>
      </c>
      <c r="C10" s="37">
        <v>101027</v>
      </c>
      <c r="D10" s="37">
        <v>103085</v>
      </c>
    </row>
    <row r="11" spans="1:4" ht="15" customHeight="1" x14ac:dyDescent="0.45">
      <c r="A11" s="9" t="s">
        <v>187</v>
      </c>
      <c r="B11" s="37">
        <v>26727</v>
      </c>
      <c r="C11" s="37">
        <v>33263</v>
      </c>
      <c r="D11" s="37">
        <v>33820</v>
      </c>
    </row>
    <row r="12" spans="1:4" ht="15" customHeight="1" x14ac:dyDescent="0.45">
      <c r="A12" s="9" t="s">
        <v>188</v>
      </c>
      <c r="B12" s="37">
        <v>82803</v>
      </c>
      <c r="C12" s="37">
        <v>95369</v>
      </c>
      <c r="D12" s="37">
        <v>102940</v>
      </c>
    </row>
    <row r="13" spans="1:4" ht="15" customHeight="1" x14ac:dyDescent="0.45">
      <c r="A13" s="9" t="s">
        <v>189</v>
      </c>
      <c r="B13" s="37">
        <v>56219</v>
      </c>
      <c r="C13" s="37">
        <v>57670</v>
      </c>
      <c r="D13" s="37">
        <v>60340</v>
      </c>
    </row>
    <row r="14" spans="1:4" ht="15" customHeight="1" x14ac:dyDescent="0.45">
      <c r="A14" s="9" t="s">
        <v>89</v>
      </c>
      <c r="B14" s="37">
        <v>2036</v>
      </c>
      <c r="C14" s="37">
        <v>3927</v>
      </c>
      <c r="D14" s="37">
        <v>-17259</v>
      </c>
    </row>
    <row r="15" spans="1:4" ht="15" customHeight="1" x14ac:dyDescent="0.45">
      <c r="A15" s="9" t="s">
        <v>191</v>
      </c>
      <c r="B15" s="37">
        <v>8828</v>
      </c>
      <c r="C15" s="37">
        <v>8477</v>
      </c>
      <c r="D15" s="37">
        <v>5455</v>
      </c>
    </row>
    <row r="16" spans="1:4" ht="15" customHeight="1" x14ac:dyDescent="0.45">
      <c r="A16" s="9" t="s">
        <v>192</v>
      </c>
      <c r="B16" s="37">
        <v>-359</v>
      </c>
      <c r="C16" s="37">
        <v>5370</v>
      </c>
      <c r="D16" s="37">
        <v>-4150</v>
      </c>
    </row>
    <row r="17" spans="1:4" ht="15" customHeight="1" x14ac:dyDescent="0.45">
      <c r="A17" s="9" t="s">
        <v>195</v>
      </c>
      <c r="B17" s="37">
        <v>1624</v>
      </c>
      <c r="C17" s="37">
        <v>5270</v>
      </c>
      <c r="D17" s="37">
        <v>-1492</v>
      </c>
    </row>
    <row r="18" spans="1:4" ht="15" customHeight="1" x14ac:dyDescent="0.45">
      <c r="A18" s="9" t="s">
        <v>91</v>
      </c>
      <c r="B18" s="37">
        <v>8881</v>
      </c>
      <c r="C18" s="37">
        <v>12504</v>
      </c>
      <c r="D18" s="37">
        <v>-14462</v>
      </c>
    </row>
    <row r="19" spans="1:4" ht="15" customHeight="1" x14ac:dyDescent="0.45">
      <c r="A19" s="9" t="s">
        <v>197</v>
      </c>
      <c r="B19" s="37">
        <v>51760</v>
      </c>
      <c r="C19" s="37">
        <v>49213</v>
      </c>
      <c r="D19" s="37">
        <v>47008</v>
      </c>
    </row>
    <row r="20" spans="1:4" ht="15" customHeight="1" x14ac:dyDescent="0.45">
      <c r="A20" s="9" t="s">
        <v>198</v>
      </c>
      <c r="B20" s="37">
        <v>56027</v>
      </c>
      <c r="C20" s="37">
        <v>54294</v>
      </c>
      <c r="D20" s="37">
        <v>47008</v>
      </c>
    </row>
    <row r="22" spans="1:4" ht="15" customHeight="1" x14ac:dyDescent="0.45">
      <c r="A22" s="16" t="s">
        <v>323</v>
      </c>
      <c r="B22" s="17"/>
      <c r="C22" s="17"/>
      <c r="D22" s="17"/>
    </row>
    <row r="23" spans="1:4" ht="15" customHeight="1" x14ac:dyDescent="0.45">
      <c r="A23" s="9" t="s">
        <v>185</v>
      </c>
      <c r="B23" s="37">
        <v>1472</v>
      </c>
      <c r="C23" s="37">
        <v>1855</v>
      </c>
      <c r="D23" s="37">
        <v>1854</v>
      </c>
    </row>
    <row r="24" spans="1:4" ht="15" customHeight="1" x14ac:dyDescent="0.45">
      <c r="A24" s="9" t="s">
        <v>187</v>
      </c>
      <c r="B24" s="37">
        <v>4346</v>
      </c>
      <c r="C24" s="37">
        <v>6313</v>
      </c>
      <c r="D24" s="37">
        <v>6088</v>
      </c>
    </row>
    <row r="25" spans="1:4" ht="15" customHeight="1" x14ac:dyDescent="0.45">
      <c r="A25" s="9" t="s">
        <v>188</v>
      </c>
      <c r="B25" s="37">
        <v>10462</v>
      </c>
      <c r="C25" s="37">
        <v>13407</v>
      </c>
      <c r="D25" s="37">
        <v>13703</v>
      </c>
    </row>
    <row r="26" spans="1:4" ht="15" customHeight="1" x14ac:dyDescent="0.45">
      <c r="A26" s="9" t="s">
        <v>189</v>
      </c>
      <c r="B26" s="37">
        <v>12582</v>
      </c>
      <c r="C26" s="37">
        <v>16101</v>
      </c>
      <c r="D26" s="37">
        <v>16733</v>
      </c>
    </row>
    <row r="27" spans="1:4" ht="15" customHeight="1" x14ac:dyDescent="0.45">
      <c r="A27" s="9" t="s">
        <v>215</v>
      </c>
      <c r="B27" s="37">
        <v>28862</v>
      </c>
      <c r="C27" s="37">
        <v>37676</v>
      </c>
      <c r="D27" s="37">
        <v>38378</v>
      </c>
    </row>
    <row r="29" spans="1:4" ht="15" customHeight="1" x14ac:dyDescent="0.45">
      <c r="A29" s="16" t="s">
        <v>324</v>
      </c>
      <c r="B29" s="17"/>
      <c r="C29" s="17"/>
      <c r="D29" s="17"/>
    </row>
    <row r="30" spans="1:4" ht="15" customHeight="1" x14ac:dyDescent="0.45">
      <c r="A30" s="9" t="s">
        <v>96</v>
      </c>
      <c r="B30" s="37">
        <v>44770</v>
      </c>
      <c r="C30" s="37">
        <v>45352</v>
      </c>
      <c r="D30" s="37">
        <v>43769</v>
      </c>
    </row>
    <row r="31" spans="1:4" ht="15" customHeight="1" x14ac:dyDescent="0.45">
      <c r="A31" s="9" t="s">
        <v>325</v>
      </c>
      <c r="B31" s="37">
        <v>0</v>
      </c>
      <c r="C31" s="37">
        <v>0</v>
      </c>
      <c r="D31" s="37">
        <v>902</v>
      </c>
    </row>
    <row r="32" spans="1:4" ht="15" customHeight="1" x14ac:dyDescent="0.45">
      <c r="A32" s="9" t="s">
        <v>326</v>
      </c>
      <c r="B32" s="37">
        <v>75309</v>
      </c>
      <c r="C32" s="37">
        <v>92325</v>
      </c>
      <c r="D32" s="37">
        <v>61640</v>
      </c>
    </row>
  </sheetData>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pageSetUpPr fitToPage="1"/>
  </sheetPr>
  <dimension ref="A1:AF40"/>
  <sheetViews>
    <sheetView showGridLines="0" zoomScale="90" zoomScaleNormal="90" workbookViewId="0">
      <pane xSplit="1" ySplit="6" topLeftCell="B7" activePane="bottomRight" state="frozen"/>
      <selection pane="topRight" activeCell="B1" sqref="B1"/>
      <selection pane="bottomLeft" activeCell="A7" sqref="A7"/>
      <selection pane="bottomRight" activeCell="B7" sqref="B7"/>
    </sheetView>
  </sheetViews>
  <sheetFormatPr defaultColWidth="8.6640625" defaultRowHeight="14.25" x14ac:dyDescent="0.45"/>
  <cols>
    <col min="1" max="1" width="46" customWidth="1"/>
    <col min="2" max="25" width="10.53125" customWidth="1"/>
    <col min="26" max="26" width="2" customWidth="1"/>
    <col min="27" max="32" width="11.46484375" customWidth="1"/>
  </cols>
  <sheetData>
    <row r="1" spans="1:32" ht="17.25" customHeight="1" x14ac:dyDescent="0.5">
      <c r="A1" s="13" t="s">
        <v>327</v>
      </c>
    </row>
    <row r="2" spans="1:32" ht="15" customHeight="1" x14ac:dyDescent="0.45">
      <c r="A2" s="4" t="s">
        <v>328</v>
      </c>
    </row>
    <row r="4" spans="1:32" ht="15" customHeight="1" x14ac:dyDescent="0.45">
      <c r="A4" s="5" t="s">
        <v>108</v>
      </c>
      <c r="B4" s="22" t="s">
        <v>109</v>
      </c>
      <c r="C4" s="22" t="s">
        <v>110</v>
      </c>
      <c r="D4" s="22" t="s">
        <v>111</v>
      </c>
      <c r="E4" s="22" t="s">
        <v>112</v>
      </c>
      <c r="F4" s="22" t="s">
        <v>113</v>
      </c>
      <c r="G4" s="22" t="s">
        <v>114</v>
      </c>
      <c r="H4" s="22" t="s">
        <v>115</v>
      </c>
      <c r="I4" s="22" t="s">
        <v>116</v>
      </c>
      <c r="J4" s="22" t="s">
        <v>117</v>
      </c>
      <c r="K4" s="22" t="s">
        <v>118</v>
      </c>
      <c r="L4" s="22" t="s">
        <v>119</v>
      </c>
      <c r="M4" s="22" t="s">
        <v>120</v>
      </c>
      <c r="N4" s="22" t="s">
        <v>121</v>
      </c>
      <c r="O4" s="22" t="s">
        <v>122</v>
      </c>
      <c r="P4" s="23" t="s">
        <v>123</v>
      </c>
      <c r="Q4" s="23" t="s">
        <v>124</v>
      </c>
      <c r="R4" s="23" t="s">
        <v>125</v>
      </c>
      <c r="S4" s="23" t="s">
        <v>126</v>
      </c>
      <c r="T4" s="23" t="s">
        <v>127</v>
      </c>
      <c r="U4" s="23" t="s">
        <v>128</v>
      </c>
      <c r="V4" s="23" t="s">
        <v>129</v>
      </c>
      <c r="W4" s="23" t="s">
        <v>130</v>
      </c>
      <c r="X4" s="23" t="s">
        <v>131</v>
      </c>
      <c r="Y4" s="23" t="s">
        <v>132</v>
      </c>
      <c r="AA4" s="14" t="s">
        <v>73</v>
      </c>
      <c r="AB4" s="14" t="s">
        <v>74</v>
      </c>
      <c r="AC4" s="14" t="s">
        <v>75</v>
      </c>
      <c r="AD4" s="15" t="s">
        <v>76</v>
      </c>
      <c r="AE4" s="15" t="s">
        <v>77</v>
      </c>
      <c r="AF4" s="15" t="s">
        <v>78</v>
      </c>
    </row>
    <row r="5" spans="1:32" ht="15" customHeight="1" x14ac:dyDescent="0.45">
      <c r="A5" s="5" t="s">
        <v>134</v>
      </c>
      <c r="B5" s="24">
        <v>45016</v>
      </c>
      <c r="C5" s="24">
        <v>45107</v>
      </c>
      <c r="D5" s="24">
        <v>45199</v>
      </c>
      <c r="E5" s="24">
        <v>45291</v>
      </c>
      <c r="F5" s="24">
        <v>45382</v>
      </c>
      <c r="G5" s="24">
        <v>45473</v>
      </c>
      <c r="H5" s="24">
        <v>45565</v>
      </c>
      <c r="I5" s="24">
        <v>45657</v>
      </c>
      <c r="J5" s="24">
        <v>45747</v>
      </c>
      <c r="K5" s="24">
        <v>45838</v>
      </c>
      <c r="L5" s="24">
        <v>45930</v>
      </c>
      <c r="M5" s="24">
        <v>46022</v>
      </c>
      <c r="N5" s="24">
        <v>46112</v>
      </c>
      <c r="O5" s="24">
        <v>46203</v>
      </c>
      <c r="P5" s="25">
        <v>46295</v>
      </c>
      <c r="Q5" s="25">
        <v>46387</v>
      </c>
      <c r="R5" s="25">
        <v>46477</v>
      </c>
      <c r="S5" s="25">
        <v>46568</v>
      </c>
      <c r="T5" s="25">
        <v>46660</v>
      </c>
      <c r="U5" s="25">
        <v>46752</v>
      </c>
      <c r="V5" s="25">
        <v>46843</v>
      </c>
      <c r="W5" s="25">
        <v>46934</v>
      </c>
      <c r="X5" s="25">
        <v>47026</v>
      </c>
      <c r="Y5" s="25">
        <v>47118</v>
      </c>
      <c r="AA5" s="26">
        <v>45291</v>
      </c>
      <c r="AB5" s="26">
        <v>45657</v>
      </c>
      <c r="AC5" s="26">
        <v>46022</v>
      </c>
      <c r="AD5" s="27">
        <v>46387</v>
      </c>
      <c r="AE5" s="27">
        <v>46752</v>
      </c>
      <c r="AF5" s="27">
        <v>47118</v>
      </c>
    </row>
    <row r="6" spans="1:32" ht="15" customHeight="1" x14ac:dyDescent="0.45">
      <c r="A6" s="5" t="s">
        <v>79</v>
      </c>
      <c r="B6" s="22" t="s">
        <v>80</v>
      </c>
      <c r="C6" s="22" t="s">
        <v>80</v>
      </c>
      <c r="D6" s="22" t="s">
        <v>80</v>
      </c>
      <c r="E6" s="22" t="s">
        <v>80</v>
      </c>
      <c r="F6" s="22" t="s">
        <v>80</v>
      </c>
      <c r="G6" s="22" t="s">
        <v>80</v>
      </c>
      <c r="H6" s="22" t="s">
        <v>80</v>
      </c>
      <c r="I6" s="22" t="s">
        <v>80</v>
      </c>
      <c r="J6" s="22" t="s">
        <v>80</v>
      </c>
      <c r="K6" s="22" t="s">
        <v>80</v>
      </c>
      <c r="L6" s="22" t="s">
        <v>80</v>
      </c>
      <c r="M6" s="22" t="s">
        <v>80</v>
      </c>
      <c r="N6" s="22" t="s">
        <v>80</v>
      </c>
      <c r="O6" s="22" t="s">
        <v>80</v>
      </c>
      <c r="P6" s="23" t="s">
        <v>82</v>
      </c>
      <c r="Q6" s="23" t="s">
        <v>82</v>
      </c>
      <c r="R6" s="23" t="s">
        <v>82</v>
      </c>
      <c r="S6" s="23" t="s">
        <v>82</v>
      </c>
      <c r="T6" s="23" t="s">
        <v>82</v>
      </c>
      <c r="U6" s="23" t="s">
        <v>82</v>
      </c>
      <c r="V6" s="23" t="s">
        <v>82</v>
      </c>
      <c r="W6" s="23" t="s">
        <v>82</v>
      </c>
      <c r="X6" s="23" t="s">
        <v>82</v>
      </c>
      <c r="Y6" s="23" t="s">
        <v>82</v>
      </c>
      <c r="AA6" s="14" t="s">
        <v>80</v>
      </c>
      <c r="AB6" s="14" t="s">
        <v>80</v>
      </c>
      <c r="AC6" s="14" t="s">
        <v>80</v>
      </c>
      <c r="AD6" s="15" t="s">
        <v>81</v>
      </c>
      <c r="AE6" s="15" t="s">
        <v>82</v>
      </c>
      <c r="AF6" s="15" t="s">
        <v>82</v>
      </c>
    </row>
    <row r="8" spans="1:32" ht="15" customHeight="1" x14ac:dyDescent="0.45">
      <c r="A8" s="50" t="s">
        <v>329</v>
      </c>
      <c r="B8" s="51" t="str">
        <f>IF((SUMPRODUCT(ABS(B11:AF11))+SUMPRODUCT(ABS(B12:AF12))+SUMPRODUCT(ABS(B15:AF15))+SUMPRODUCT(ABS(B18:AF18))+SUMPRODUCT(ABS(B19:AF19))+SUMPRODUCT(ABS(B24:AF24))+SUMPRODUCT(ABS(B27:AF27))+SUMPRODUCT(ABS(B30:AF30))+SUMPRODUCT(ABS(B33:AF33))+SUMPRODUCT(ABS(B34:AF34))+SUMPRODUCT(ABS(B35:AF35))+SUMPRODUCT(ABS(B36:AF36))+SUMPRODUCT(ABS(B37:AF37))+SUMPRODUCT(ABS(B38:AF38))+SUMPRODUCT(ABS(B39:AF39))+SUMPRODUCT(ABS(B40:AF40)))&lt;=25,"ALL CHECKS PASS","REVIEW CHECKS")</f>
        <v>ALL CHECKS PASS</v>
      </c>
    </row>
    <row r="9" spans="1:32" ht="15" customHeight="1" x14ac:dyDescent="0.45">
      <c r="B9" s="52" t="s">
        <v>330</v>
      </c>
    </row>
    <row r="10" spans="1:32" ht="15" customHeight="1" x14ac:dyDescent="0.45">
      <c r="A10" s="16" t="s">
        <v>331</v>
      </c>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row>
    <row r="11" spans="1:32" ht="15" customHeight="1" x14ac:dyDescent="0.45">
      <c r="A11" s="9" t="s">
        <v>332</v>
      </c>
      <c r="E11" s="20">
        <f>'Balance Sheet'!F37</f>
        <v>0</v>
      </c>
      <c r="F11" s="20">
        <f>'Balance Sheet'!G37</f>
        <v>0</v>
      </c>
      <c r="G11" s="20">
        <f>'Balance Sheet'!H37</f>
        <v>0</v>
      </c>
      <c r="H11" s="20">
        <f>'Balance Sheet'!I37</f>
        <v>0</v>
      </c>
      <c r="I11" s="20">
        <f>'Balance Sheet'!J37</f>
        <v>0</v>
      </c>
      <c r="J11" s="20">
        <f>'Balance Sheet'!K37</f>
        <v>0</v>
      </c>
      <c r="K11" s="20">
        <f>'Balance Sheet'!L37</f>
        <v>0</v>
      </c>
      <c r="L11" s="20">
        <f>'Balance Sheet'!M37</f>
        <v>0</v>
      </c>
      <c r="M11" s="20">
        <f>'Balance Sheet'!N37</f>
        <v>0</v>
      </c>
      <c r="N11" s="20">
        <f>'Balance Sheet'!O37</f>
        <v>0</v>
      </c>
      <c r="O11" s="20">
        <f>'Balance Sheet'!P37</f>
        <v>0</v>
      </c>
      <c r="P11" s="20">
        <f>'Balance Sheet'!Q37</f>
        <v>0</v>
      </c>
      <c r="Q11" s="20">
        <f>'Balance Sheet'!R37</f>
        <v>0</v>
      </c>
      <c r="R11" s="20">
        <f>'Balance Sheet'!S37</f>
        <v>0</v>
      </c>
      <c r="S11" s="20">
        <f>'Balance Sheet'!T37</f>
        <v>0</v>
      </c>
      <c r="T11" s="20">
        <f>'Balance Sheet'!U37</f>
        <v>0</v>
      </c>
      <c r="U11" s="20">
        <f>'Balance Sheet'!V37</f>
        <v>0</v>
      </c>
      <c r="V11" s="20">
        <f>'Balance Sheet'!W37</f>
        <v>0</v>
      </c>
      <c r="W11" s="20">
        <f>'Balance Sheet'!X37</f>
        <v>0</v>
      </c>
      <c r="X11" s="20">
        <f>'Balance Sheet'!Y37</f>
        <v>0</v>
      </c>
      <c r="Y11" s="20">
        <f>'Balance Sheet'!Z37</f>
        <v>0</v>
      </c>
    </row>
    <row r="12" spans="1:32" ht="15" customHeight="1" x14ac:dyDescent="0.45">
      <c r="A12" s="9" t="s">
        <v>333</v>
      </c>
      <c r="E12" s="20">
        <f>'Cash Flow'!E47-'Balance Sheet'!F9</f>
        <v>0</v>
      </c>
      <c r="F12" s="20">
        <f>'Cash Flow'!F47-'Balance Sheet'!G9</f>
        <v>0</v>
      </c>
      <c r="G12" s="20">
        <f>'Cash Flow'!G47-'Balance Sheet'!H9</f>
        <v>0</v>
      </c>
      <c r="H12" s="20">
        <f>'Cash Flow'!H47-'Balance Sheet'!I9</f>
        <v>0</v>
      </c>
      <c r="I12" s="20">
        <f>'Cash Flow'!I47-'Balance Sheet'!J9</f>
        <v>0</v>
      </c>
      <c r="J12" s="20">
        <f>'Cash Flow'!J47-'Balance Sheet'!K9</f>
        <v>0</v>
      </c>
      <c r="K12" s="20">
        <f>'Cash Flow'!K47-'Balance Sheet'!L9</f>
        <v>0</v>
      </c>
      <c r="L12" s="20">
        <f>'Cash Flow'!L47-'Balance Sheet'!M9</f>
        <v>0</v>
      </c>
      <c r="M12" s="20">
        <f>'Cash Flow'!M47-'Balance Sheet'!N9</f>
        <v>0</v>
      </c>
      <c r="N12" s="20">
        <f>'Cash Flow'!N47-'Balance Sheet'!O9</f>
        <v>0</v>
      </c>
      <c r="O12" s="20">
        <f>'Cash Flow'!O47-'Balance Sheet'!P9</f>
        <v>0</v>
      </c>
      <c r="P12" s="20">
        <f>'Cash Flow'!P47-'Balance Sheet'!Q9</f>
        <v>0</v>
      </c>
      <c r="Q12" s="20">
        <f>'Cash Flow'!Q47-'Balance Sheet'!R9</f>
        <v>0</v>
      </c>
      <c r="R12" s="20">
        <f>'Cash Flow'!R47-'Balance Sheet'!S9</f>
        <v>0</v>
      </c>
      <c r="S12" s="20">
        <f>'Cash Flow'!S47-'Balance Sheet'!T9</f>
        <v>0</v>
      </c>
      <c r="T12" s="20">
        <f>'Cash Flow'!T47-'Balance Sheet'!U9</f>
        <v>0</v>
      </c>
      <c r="U12" s="20">
        <f>'Cash Flow'!U47-'Balance Sheet'!V9</f>
        <v>0</v>
      </c>
      <c r="V12" s="20">
        <f>'Cash Flow'!V47-'Balance Sheet'!W9</f>
        <v>0</v>
      </c>
      <c r="W12" s="20">
        <f>'Cash Flow'!W47-'Balance Sheet'!X9</f>
        <v>0</v>
      </c>
      <c r="X12" s="20">
        <f>'Cash Flow'!X47-'Balance Sheet'!Y9</f>
        <v>0</v>
      </c>
      <c r="Y12" s="20">
        <f>'Cash Flow'!Y47-'Balance Sheet'!Z9</f>
        <v>0</v>
      </c>
    </row>
    <row r="13" spans="1:32" ht="15" customHeight="1" x14ac:dyDescent="0.45">
      <c r="A13" s="9" t="s">
        <v>334</v>
      </c>
      <c r="B13" s="20">
        <f>'Income Statement'!C27</f>
        <v>-5871</v>
      </c>
      <c r="C13" s="20">
        <f>'Income Statement'!D27</f>
        <v>-5724</v>
      </c>
      <c r="D13" s="20">
        <f>'Income Statement'!E27</f>
        <v>1774</v>
      </c>
      <c r="F13" s="20">
        <f>'Income Statement'!G27</f>
        <v>-2454</v>
      </c>
      <c r="G13" s="20">
        <f>'Income Statement'!H27</f>
        <v>1971</v>
      </c>
      <c r="H13" s="20">
        <f>'Income Statement'!I27</f>
        <v>-912</v>
      </c>
      <c r="J13" s="20">
        <f>'Income Statement'!K27</f>
        <v>-9486</v>
      </c>
      <c r="K13" s="20">
        <f>'Income Statement'!L27</f>
        <v>-5208</v>
      </c>
      <c r="L13" s="20">
        <f>'Income Statement'!M27</f>
        <v>-6452</v>
      </c>
      <c r="N13" s="20">
        <f>'Income Statement'!O27</f>
        <v>-12510</v>
      </c>
      <c r="O13" s="20">
        <f>'Income Statement'!P27</f>
        <v>-1202</v>
      </c>
    </row>
    <row r="14" spans="1:32" ht="15" customHeight="1" x14ac:dyDescent="0.45">
      <c r="A14" s="9" t="s">
        <v>335</v>
      </c>
      <c r="B14" s="37">
        <v>-5871</v>
      </c>
      <c r="C14" s="37">
        <v>-5724</v>
      </c>
      <c r="D14" s="37">
        <v>1774</v>
      </c>
      <c r="F14" s="37">
        <v>-2454</v>
      </c>
      <c r="G14" s="37">
        <v>1971</v>
      </c>
      <c r="H14" s="37">
        <v>-912</v>
      </c>
      <c r="J14" s="37">
        <v>-9486</v>
      </c>
      <c r="K14" s="37">
        <v>-5208</v>
      </c>
      <c r="L14" s="37">
        <v>-6452</v>
      </c>
      <c r="N14" s="37">
        <v>-12510</v>
      </c>
      <c r="O14" s="37">
        <v>-1202</v>
      </c>
    </row>
    <row r="15" spans="1:32" ht="15" customHeight="1" x14ac:dyDescent="0.45">
      <c r="A15" s="10" t="s">
        <v>336</v>
      </c>
      <c r="B15" s="36">
        <f>B13-B14</f>
        <v>0</v>
      </c>
      <c r="C15" s="36">
        <f>C13-C14</f>
        <v>0</v>
      </c>
      <c r="D15" s="36">
        <f>D13-D14</f>
        <v>0</v>
      </c>
      <c r="F15" s="36">
        <f>F13-F14</f>
        <v>0</v>
      </c>
      <c r="G15" s="36">
        <f>G13-G14</f>
        <v>0</v>
      </c>
      <c r="H15" s="36">
        <f>H13-H14</f>
        <v>0</v>
      </c>
      <c r="J15" s="36">
        <f>J13-J14</f>
        <v>0</v>
      </c>
      <c r="K15" s="36">
        <f>K13-K14</f>
        <v>0</v>
      </c>
      <c r="L15" s="36">
        <f>L13-L14</f>
        <v>0</v>
      </c>
      <c r="N15" s="36">
        <f>N13-N14</f>
        <v>0</v>
      </c>
      <c r="O15" s="36">
        <f>O13-O14</f>
        <v>0</v>
      </c>
    </row>
    <row r="16" spans="1:32" ht="15" customHeight="1" x14ac:dyDescent="0.45">
      <c r="A16" s="9" t="s">
        <v>337</v>
      </c>
      <c r="B16" s="20">
        <f>'Income Statement'!C51</f>
        <v>7354</v>
      </c>
      <c r="C16" s="20">
        <f>'Income Statement'!D51</f>
        <v>10809</v>
      </c>
      <c r="D16" s="20">
        <f>'Income Statement'!E51</f>
        <v>18240</v>
      </c>
      <c r="E16" s="20">
        <f>'Income Statement'!F51</f>
        <v>38906</v>
      </c>
      <c r="F16" s="20">
        <f>'Income Statement'!G51</f>
        <v>15056</v>
      </c>
      <c r="G16" s="20">
        <f>'Income Statement'!H51</f>
        <v>21078</v>
      </c>
      <c r="H16" s="20">
        <f>'Income Statement'!I51</f>
        <v>18545</v>
      </c>
      <c r="I16" s="20">
        <f>'Income Statement'!J51</f>
        <v>37646</v>
      </c>
      <c r="J16" s="20">
        <f>'Income Statement'!K51</f>
        <v>8457</v>
      </c>
      <c r="K16" s="20">
        <f>'Income Statement'!L51</f>
        <v>14213</v>
      </c>
      <c r="L16" s="20">
        <f>'Income Statement'!M51</f>
        <v>11152</v>
      </c>
      <c r="M16" s="20">
        <f>'Income Statement'!N51</f>
        <v>27818</v>
      </c>
      <c r="N16" s="20">
        <f>'Income Statement'!O51</f>
        <v>2588</v>
      </c>
      <c r="O16" s="20">
        <f>'Income Statement'!P51</f>
        <v>19616</v>
      </c>
    </row>
    <row r="17" spans="1:32" ht="15" customHeight="1" x14ac:dyDescent="0.45">
      <c r="A17" s="9" t="s">
        <v>338</v>
      </c>
      <c r="B17" s="37">
        <v>7354</v>
      </c>
      <c r="C17" s="37">
        <v>10809</v>
      </c>
      <c r="D17" s="37">
        <v>18240</v>
      </c>
      <c r="E17" s="20">
        <f>'10-K Data'!B32-SUM(B17:D17)</f>
        <v>38906</v>
      </c>
      <c r="F17" s="37">
        <v>15056</v>
      </c>
      <c r="G17" s="37">
        <v>21078</v>
      </c>
      <c r="H17" s="37">
        <v>18546</v>
      </c>
      <c r="I17" s="20">
        <f>'10-K Data'!C32-SUM(F17:H17)</f>
        <v>37645</v>
      </c>
      <c r="J17" s="37">
        <v>8457</v>
      </c>
      <c r="K17" s="37">
        <v>14213</v>
      </c>
      <c r="L17" s="37">
        <v>11152</v>
      </c>
      <c r="M17" s="20">
        <f>'10-K Data'!D32-SUM(J17:L17)</f>
        <v>27818</v>
      </c>
      <c r="N17" s="37">
        <v>2588</v>
      </c>
      <c r="O17" s="37">
        <v>19616</v>
      </c>
    </row>
    <row r="18" spans="1:32" ht="15" customHeight="1" x14ac:dyDescent="0.45">
      <c r="A18" s="10" t="s">
        <v>336</v>
      </c>
      <c r="B18" s="36">
        <f t="shared" ref="B18:O18" si="0">B16-B17</f>
        <v>0</v>
      </c>
      <c r="C18" s="36">
        <f t="shared" si="0"/>
        <v>0</v>
      </c>
      <c r="D18" s="36">
        <f t="shared" si="0"/>
        <v>0</v>
      </c>
      <c r="E18" s="36">
        <f t="shared" si="0"/>
        <v>0</v>
      </c>
      <c r="F18" s="36">
        <f t="shared" si="0"/>
        <v>0</v>
      </c>
      <c r="G18" s="36">
        <f t="shared" si="0"/>
        <v>0</v>
      </c>
      <c r="H18" s="36">
        <f t="shared" si="0"/>
        <v>-1</v>
      </c>
      <c r="I18" s="36">
        <f t="shared" si="0"/>
        <v>1</v>
      </c>
      <c r="J18" s="36">
        <f t="shared" si="0"/>
        <v>0</v>
      </c>
      <c r="K18" s="36">
        <f t="shared" si="0"/>
        <v>0</v>
      </c>
      <c r="L18" s="36">
        <f t="shared" si="0"/>
        <v>0</v>
      </c>
      <c r="M18" s="36">
        <f t="shared" si="0"/>
        <v>0</v>
      </c>
      <c r="N18" s="36">
        <f t="shared" si="0"/>
        <v>0</v>
      </c>
      <c r="O18" s="36">
        <f t="shared" si="0"/>
        <v>0</v>
      </c>
    </row>
    <row r="19" spans="1:32" ht="15" customHeight="1" x14ac:dyDescent="0.45">
      <c r="A19" s="9" t="s">
        <v>339</v>
      </c>
      <c r="B19" s="20">
        <f>'CF YTD Inputs'!B53</f>
        <v>0</v>
      </c>
      <c r="C19" s="20">
        <f>'CF YTD Inputs'!C53</f>
        <v>0</v>
      </c>
      <c r="D19" s="20">
        <f>'CF YTD Inputs'!D53</f>
        <v>0</v>
      </c>
      <c r="E19" s="20">
        <f>'CF YTD Inputs'!E53</f>
        <v>0</v>
      </c>
      <c r="F19" s="20">
        <f>'CF YTD Inputs'!F53</f>
        <v>0</v>
      </c>
      <c r="G19" s="20">
        <f>'CF YTD Inputs'!G53</f>
        <v>0</v>
      </c>
      <c r="H19" s="20">
        <f>'CF YTD Inputs'!H53</f>
        <v>0</v>
      </c>
      <c r="I19" s="20">
        <f>'CF YTD Inputs'!I53</f>
        <v>0</v>
      </c>
      <c r="J19" s="20">
        <f>'CF YTD Inputs'!J53</f>
        <v>0</v>
      </c>
      <c r="K19" s="20">
        <f>'CF YTD Inputs'!K53</f>
        <v>0</v>
      </c>
      <c r="L19" s="20">
        <f>'CF YTD Inputs'!L53</f>
        <v>0</v>
      </c>
      <c r="M19" s="20">
        <f>'CF YTD Inputs'!M53</f>
        <v>0</v>
      </c>
      <c r="N19" s="20">
        <f>'CF YTD Inputs'!N53</f>
        <v>0</v>
      </c>
      <c r="O19" s="20">
        <f>'CF YTD Inputs'!O53</f>
        <v>0</v>
      </c>
    </row>
    <row r="21" spans="1:32" ht="15" customHeight="1" x14ac:dyDescent="0.45">
      <c r="A21" s="16" t="s">
        <v>340</v>
      </c>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 customHeight="1" x14ac:dyDescent="0.45">
      <c r="A22" s="9" t="s">
        <v>341</v>
      </c>
      <c r="D22" s="20">
        <f>SUM('Income Statement'!C9:E9)</f>
        <v>182414</v>
      </c>
      <c r="H22" s="20">
        <f>SUM('Income Statement'!G9:I9)</f>
        <v>205754</v>
      </c>
      <c r="L22" s="20">
        <f>SUM('Income Statement'!K9:M9)</f>
        <v>202880</v>
      </c>
    </row>
    <row r="23" spans="1:32" ht="15" customHeight="1" x14ac:dyDescent="0.45">
      <c r="A23" s="9" t="s">
        <v>342</v>
      </c>
      <c r="D23" s="37">
        <v>182414</v>
      </c>
      <c r="H23" s="37">
        <v>205754</v>
      </c>
      <c r="L23" s="37">
        <v>202880</v>
      </c>
    </row>
    <row r="24" spans="1:32" ht="15" customHeight="1" x14ac:dyDescent="0.45">
      <c r="A24" s="10" t="s">
        <v>336</v>
      </c>
      <c r="D24" s="36">
        <f>D22-D23</f>
        <v>0</v>
      </c>
      <c r="H24" s="36">
        <f>H22-H23</f>
        <v>0</v>
      </c>
      <c r="L24" s="36">
        <f>L22-L23</f>
        <v>0</v>
      </c>
    </row>
    <row r="25" spans="1:32" ht="15" customHeight="1" x14ac:dyDescent="0.45">
      <c r="A25" s="9" t="s">
        <v>343</v>
      </c>
      <c r="D25" s="20">
        <f>SUM('Income Statement'!C18:E18)</f>
        <v>-18377</v>
      </c>
      <c r="H25" s="20">
        <f>SUM('Income Statement'!G18:I18)</f>
        <v>-10875</v>
      </c>
      <c r="L25" s="20">
        <f>SUM('Income Statement'!K18:M18)</f>
        <v>-25783</v>
      </c>
    </row>
    <row r="26" spans="1:32" ht="15" customHeight="1" x14ac:dyDescent="0.45">
      <c r="A26" s="9" t="s">
        <v>344</v>
      </c>
      <c r="D26" s="37">
        <v>-18377</v>
      </c>
      <c r="H26" s="37">
        <v>-10875</v>
      </c>
      <c r="L26" s="37">
        <v>-25783</v>
      </c>
    </row>
    <row r="27" spans="1:32" ht="15" customHeight="1" x14ac:dyDescent="0.45">
      <c r="A27" s="10" t="s">
        <v>336</v>
      </c>
      <c r="D27" s="36">
        <f>D25-D26</f>
        <v>0</v>
      </c>
      <c r="H27" s="36">
        <f>H25-H26</f>
        <v>0</v>
      </c>
      <c r="L27" s="36">
        <f>L25-L26</f>
        <v>0</v>
      </c>
    </row>
    <row r="28" spans="1:32" ht="15" customHeight="1" x14ac:dyDescent="0.45">
      <c r="A28" s="9" t="s">
        <v>345</v>
      </c>
      <c r="D28" s="20">
        <f>SUM('Income Statement'!C59:E59)</f>
        <v>21525</v>
      </c>
      <c r="H28" s="20">
        <f>SUM('Income Statement'!G59:I59)</f>
        <v>28267</v>
      </c>
      <c r="L28" s="20">
        <f>SUM('Income Statement'!K59:M59)</f>
        <v>29010</v>
      </c>
    </row>
    <row r="29" spans="1:32" ht="15" customHeight="1" x14ac:dyDescent="0.45">
      <c r="A29" s="9" t="s">
        <v>346</v>
      </c>
      <c r="D29" s="37">
        <v>21525</v>
      </c>
      <c r="H29" s="37">
        <v>28267</v>
      </c>
      <c r="L29" s="37">
        <v>29010</v>
      </c>
    </row>
    <row r="30" spans="1:32" ht="15" customHeight="1" x14ac:dyDescent="0.45">
      <c r="A30" s="10" t="s">
        <v>336</v>
      </c>
      <c r="D30" s="36">
        <f>D28-D29</f>
        <v>0</v>
      </c>
      <c r="H30" s="36">
        <f>H28-H29</f>
        <v>0</v>
      </c>
      <c r="L30" s="36">
        <f>L28-L29</f>
        <v>0</v>
      </c>
    </row>
    <row r="32" spans="1:32" ht="15" customHeight="1" x14ac:dyDescent="0.45">
      <c r="A32" s="16" t="s">
        <v>347</v>
      </c>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row>
    <row r="33" spans="1:29" ht="15" customHeight="1" x14ac:dyDescent="0.45">
      <c r="A33" s="9" t="s">
        <v>348</v>
      </c>
      <c r="AA33" s="20">
        <f>'Income Statement'!AB9-'10-K Data'!B9</f>
        <v>0</v>
      </c>
      <c r="AB33" s="20">
        <f>'Income Statement'!AC9-'10-K Data'!C9</f>
        <v>0</v>
      </c>
      <c r="AC33" s="20">
        <f>'Income Statement'!AD9-'10-K Data'!D9</f>
        <v>0</v>
      </c>
    </row>
    <row r="34" spans="1:29" ht="15" customHeight="1" x14ac:dyDescent="0.45">
      <c r="A34" s="9" t="s">
        <v>349</v>
      </c>
      <c r="AA34" s="20">
        <f>'Income Statement'!AB10-'10-K Data'!B10</f>
        <v>0</v>
      </c>
      <c r="AB34" s="20">
        <f>'Income Statement'!AC10-'10-K Data'!C10</f>
        <v>0</v>
      </c>
      <c r="AC34" s="20">
        <f>'Income Statement'!AD10-'10-K Data'!D10</f>
        <v>0</v>
      </c>
    </row>
    <row r="35" spans="1:29" ht="15" customHeight="1" x14ac:dyDescent="0.45">
      <c r="A35" s="9" t="s">
        <v>350</v>
      </c>
      <c r="AA35" s="20">
        <f>'Income Statement'!AB17-('10-K Data'!B11+'10-K Data'!B12+'10-K Data'!B13)</f>
        <v>0</v>
      </c>
      <c r="AB35" s="20">
        <f>'Income Statement'!AC17-('10-K Data'!C11+'10-K Data'!C12+'10-K Data'!C13)</f>
        <v>0</v>
      </c>
      <c r="AC35" s="20">
        <f>'Income Statement'!AD17-('10-K Data'!D11+'10-K Data'!D12+'10-K Data'!D13)</f>
        <v>0</v>
      </c>
    </row>
    <row r="36" spans="1:29" ht="15" customHeight="1" x14ac:dyDescent="0.45">
      <c r="A36" s="9" t="s">
        <v>351</v>
      </c>
      <c r="AA36" s="20">
        <f>'Income Statement'!AB18-'10-K Data'!B14</f>
        <v>0</v>
      </c>
      <c r="AB36" s="20">
        <f>'Income Statement'!AC18-'10-K Data'!C14</f>
        <v>0</v>
      </c>
      <c r="AC36" s="20">
        <f>'Income Statement'!AD18-'10-K Data'!D14</f>
        <v>0</v>
      </c>
    </row>
    <row r="37" spans="1:29" ht="15" customHeight="1" x14ac:dyDescent="0.45">
      <c r="A37" s="9" t="s">
        <v>352</v>
      </c>
      <c r="AA37" s="20">
        <f>'Income Statement'!AB27-'10-K Data'!B18</f>
        <v>0</v>
      </c>
      <c r="AB37" s="20">
        <f>'Income Statement'!AC27-'10-K Data'!C18</f>
        <v>0</v>
      </c>
      <c r="AC37" s="20">
        <f>'Income Statement'!AD27-'10-K Data'!D18</f>
        <v>0</v>
      </c>
    </row>
    <row r="38" spans="1:29" ht="15" customHeight="1" x14ac:dyDescent="0.45">
      <c r="A38" s="9" t="s">
        <v>353</v>
      </c>
      <c r="AA38" s="20">
        <f>'Income Statement'!AB51-'10-K Data'!B32</f>
        <v>0</v>
      </c>
      <c r="AB38" s="20">
        <f>'Income Statement'!AC51-'10-K Data'!C32</f>
        <v>0</v>
      </c>
      <c r="AC38" s="20">
        <f>'Income Statement'!AD51-'10-K Data'!D32</f>
        <v>0</v>
      </c>
    </row>
    <row r="39" spans="1:29" ht="15" customHeight="1" x14ac:dyDescent="0.45">
      <c r="A39" s="9" t="s">
        <v>354</v>
      </c>
      <c r="AA39" s="20">
        <f>'Cash Flow'!AA23-'CF YTD Inputs'!E49</f>
        <v>0</v>
      </c>
      <c r="AB39" s="20">
        <f>'Cash Flow'!AB23-'CF YTD Inputs'!I49</f>
        <v>0</v>
      </c>
      <c r="AC39" s="20">
        <f>'Cash Flow'!AC23-'CF YTD Inputs'!M49</f>
        <v>0</v>
      </c>
    </row>
    <row r="40" spans="1:29" ht="15" customHeight="1" x14ac:dyDescent="0.45">
      <c r="A40" s="9" t="s">
        <v>355</v>
      </c>
      <c r="AA40" s="20">
        <f>'Cash Flow'!AA47-'CF YTD Inputs'!E52</f>
        <v>0</v>
      </c>
      <c r="AB40" s="20">
        <f>'Cash Flow'!AB47-'CF YTD Inputs'!I52</f>
        <v>0</v>
      </c>
      <c r="AC40" s="20">
        <f>'Cash Flow'!AC47-'CF YTD Inputs'!M52</f>
        <v>0</v>
      </c>
    </row>
  </sheetData>
  <conditionalFormatting sqref="B8">
    <cfRule type="cellIs" dxfId="1" priority="2" operator="equal">
      <formula>"ALL CHECKS PASS"</formula>
    </cfRule>
    <cfRule type="cellIs" dxfId="0" priority="3" operator="equal">
      <formula>"REVIEW CHECKS"</formula>
    </cfRule>
  </conditionalFormatting>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G98"/>
  <sheetViews>
    <sheetView showGridLines="0" zoomScaleNormal="100" workbookViewId="0">
      <pane xSplit="1" ySplit="4" topLeftCell="B5" activePane="bottomRight" state="frozen"/>
      <selection pane="topRight" activeCell="B1" sqref="B1"/>
      <selection pane="bottomLeft" activeCell="A5" sqref="A5"/>
      <selection pane="bottomRight" activeCell="B5" sqref="B5"/>
    </sheetView>
  </sheetViews>
  <sheetFormatPr defaultColWidth="8.6640625" defaultRowHeight="14.25" x14ac:dyDescent="0.45"/>
  <cols>
    <col min="1" max="1" width="44" customWidth="1"/>
    <col min="2" max="6" width="15" customWidth="1"/>
    <col min="7" max="7" width="70" customWidth="1"/>
  </cols>
  <sheetData>
    <row r="1" spans="1:7" ht="17.25" customHeight="1" x14ac:dyDescent="0.45">
      <c r="A1" s="53" t="s">
        <v>356</v>
      </c>
    </row>
    <row r="2" spans="1:7" ht="15" customHeight="1" x14ac:dyDescent="0.45">
      <c r="A2" s="54" t="s">
        <v>357</v>
      </c>
    </row>
    <row r="4" spans="1:7" ht="15" customHeight="1" x14ac:dyDescent="0.45">
      <c r="A4" s="55" t="s">
        <v>358</v>
      </c>
      <c r="B4" s="56" t="s">
        <v>359</v>
      </c>
      <c r="C4" s="56" t="s">
        <v>360</v>
      </c>
      <c r="D4" s="56" t="s">
        <v>361</v>
      </c>
      <c r="E4" s="56" t="s">
        <v>362</v>
      </c>
      <c r="F4" s="56" t="s">
        <v>363</v>
      </c>
      <c r="G4" s="55" t="s">
        <v>364</v>
      </c>
    </row>
    <row r="5" spans="1:7" ht="23.25" customHeight="1" x14ac:dyDescent="0.45">
      <c r="A5" s="57" t="s">
        <v>365</v>
      </c>
      <c r="B5" s="58">
        <v>78.593000000000004</v>
      </c>
      <c r="C5" s="58">
        <v>192.82300000000001</v>
      </c>
      <c r="D5" s="58">
        <v>715.05700000000002</v>
      </c>
      <c r="E5" s="58">
        <v>428.01799999999997</v>
      </c>
      <c r="F5" s="58">
        <v>1923.6859999999999</v>
      </c>
      <c r="G5" s="1" t="s">
        <v>366</v>
      </c>
    </row>
    <row r="6" spans="1:7" ht="15" customHeight="1" x14ac:dyDescent="0.45">
      <c r="A6" s="57" t="s">
        <v>367</v>
      </c>
      <c r="B6" s="58">
        <v>71.094999999999999</v>
      </c>
      <c r="C6" s="58">
        <v>173.33199999999999</v>
      </c>
      <c r="D6" s="58">
        <v>694.03899999999999</v>
      </c>
      <c r="E6" s="58">
        <v>482.67099999999999</v>
      </c>
      <c r="F6" s="58">
        <v>1258.7539999999999</v>
      </c>
      <c r="G6" s="1"/>
    </row>
    <row r="7" spans="1:7" ht="15" customHeight="1" x14ac:dyDescent="0.45">
      <c r="A7" s="57" t="s">
        <v>368</v>
      </c>
      <c r="B7" s="59">
        <f>B5/B6-1</f>
        <v>0.1054645193051551</v>
      </c>
      <c r="C7" s="59">
        <f>C5/C6-1</f>
        <v>0.11244894191493793</v>
      </c>
      <c r="D7" s="59">
        <f>D5/D6-1</f>
        <v>3.0283600777478048E-2</v>
      </c>
      <c r="E7" s="59">
        <f>E5/E6-1</f>
        <v>-0.11323033702045493</v>
      </c>
      <c r="F7" s="59">
        <f>F5/F6-1</f>
        <v>0.52824618630804743</v>
      </c>
      <c r="G7" s="1"/>
    </row>
    <row r="8" spans="1:7" ht="23.25" customHeight="1" x14ac:dyDescent="0.45">
      <c r="A8" s="60" t="s">
        <v>369</v>
      </c>
      <c r="B8" s="58">
        <v>78.593000000000004</v>
      </c>
      <c r="C8" s="58">
        <v>189.595</v>
      </c>
      <c r="D8" s="58">
        <v>715.05700000000002</v>
      </c>
      <c r="E8" s="58">
        <v>255.47300000000001</v>
      </c>
      <c r="F8" s="58">
        <v>1923.6859999999999</v>
      </c>
      <c r="G8" s="1" t="s">
        <v>370</v>
      </c>
    </row>
    <row r="9" spans="1:7" ht="15" customHeight="1" x14ac:dyDescent="0.45">
      <c r="A9" s="57" t="s">
        <v>371</v>
      </c>
      <c r="B9" s="58">
        <v>71.094999999999999</v>
      </c>
      <c r="C9" s="58">
        <v>161.95599999999999</v>
      </c>
      <c r="D9" s="58">
        <v>694.03899999999999</v>
      </c>
      <c r="E9" s="58">
        <v>292.06900000000002</v>
      </c>
      <c r="F9" s="58">
        <v>1258.7539999999999</v>
      </c>
      <c r="G9" s="1"/>
    </row>
    <row r="10" spans="1:7" ht="15" customHeight="1" x14ac:dyDescent="0.45">
      <c r="A10" s="60" t="s">
        <v>368</v>
      </c>
      <c r="B10" s="61">
        <f>B8/B9-1</f>
        <v>0.1054645193051551</v>
      </c>
      <c r="C10" s="61">
        <f>C8/C9-1</f>
        <v>0.1706574625206847</v>
      </c>
      <c r="D10" s="61">
        <f>D8/D9-1</f>
        <v>3.0283600777478048E-2</v>
      </c>
      <c r="E10" s="61">
        <f>E8/E9-1</f>
        <v>-0.12529915876042985</v>
      </c>
      <c r="F10" s="61">
        <f>F8/F9-1</f>
        <v>0.52824618630804743</v>
      </c>
      <c r="G10" s="1"/>
    </row>
    <row r="11" spans="1:7" ht="34.5" customHeight="1" x14ac:dyDescent="0.45">
      <c r="A11" s="57" t="s">
        <v>372</v>
      </c>
      <c r="B11" s="58">
        <v>25.876999999999999</v>
      </c>
      <c r="C11" s="58">
        <v>58.81</v>
      </c>
      <c r="D11" s="58">
        <v>184.333</v>
      </c>
      <c r="E11" s="58">
        <v>33.259</v>
      </c>
      <c r="F11" s="58">
        <v>225.80099999999999</v>
      </c>
      <c r="G11" s="1" t="s">
        <v>373</v>
      </c>
    </row>
    <row r="12" spans="1:7" ht="15" customHeight="1" x14ac:dyDescent="0.45">
      <c r="A12" s="57" t="s">
        <v>374</v>
      </c>
      <c r="B12" s="59">
        <f>B11/B8</f>
        <v>0.32925324138282031</v>
      </c>
      <c r="C12" s="59">
        <f>C11/C8</f>
        <v>0.31018750494475067</v>
      </c>
      <c r="D12" s="59">
        <f>D11/D8</f>
        <v>0.25778784068962335</v>
      </c>
      <c r="E12" s="59">
        <f>E11/E8</f>
        <v>0.13018596877165101</v>
      </c>
      <c r="F12" s="59">
        <f>F11/F8</f>
        <v>0.11737934361429048</v>
      </c>
      <c r="G12" s="1"/>
    </row>
    <row r="13" spans="1:7" ht="15" customHeight="1" x14ac:dyDescent="0.45">
      <c r="A13" s="57" t="s">
        <v>375</v>
      </c>
      <c r="B13" s="62">
        <f>B8-B11</f>
        <v>52.716000000000008</v>
      </c>
      <c r="C13" s="62">
        <f>C8-C11</f>
        <v>130.785</v>
      </c>
      <c r="D13" s="62">
        <f>D8-D11</f>
        <v>530.72400000000005</v>
      </c>
      <c r="E13" s="62">
        <f>E8-E11</f>
        <v>222.214</v>
      </c>
      <c r="F13" s="62">
        <f>F8-F11</f>
        <v>1697.885</v>
      </c>
      <c r="G13" s="1"/>
    </row>
    <row r="14" spans="1:7" ht="23.25" customHeight="1" x14ac:dyDescent="0.45">
      <c r="A14" s="60" t="s">
        <v>376</v>
      </c>
      <c r="B14" s="61">
        <f>B13/B8</f>
        <v>0.67074675861717969</v>
      </c>
      <c r="C14" s="61">
        <f>C13/C8</f>
        <v>0.68981249505524933</v>
      </c>
      <c r="D14" s="61">
        <f>D13/D8</f>
        <v>0.74221215931037665</v>
      </c>
      <c r="E14" s="61">
        <f>E13/E8</f>
        <v>0.86981403122834888</v>
      </c>
      <c r="F14" s="61">
        <f>F13/F8</f>
        <v>0.88262065638570952</v>
      </c>
      <c r="G14" s="1" t="s">
        <v>377</v>
      </c>
    </row>
    <row r="15" spans="1:7" ht="23.25" customHeight="1" x14ac:dyDescent="0.45">
      <c r="A15" s="57" t="s">
        <v>47</v>
      </c>
      <c r="B15" s="58">
        <v>19.616</v>
      </c>
      <c r="C15" s="58">
        <v>70.599999999999994</v>
      </c>
      <c r="D15" s="58">
        <v>241.279</v>
      </c>
      <c r="E15" s="58">
        <v>73.299000000000007</v>
      </c>
      <c r="F15" s="58">
        <v>1613.8230000000001</v>
      </c>
      <c r="G15" s="1" t="s">
        <v>378</v>
      </c>
    </row>
    <row r="16" spans="1:7" ht="15" customHeight="1" x14ac:dyDescent="0.45">
      <c r="A16" s="57" t="s">
        <v>379</v>
      </c>
      <c r="B16" s="58">
        <v>14.212999999999999</v>
      </c>
      <c r="C16" s="58">
        <v>54.390999999999998</v>
      </c>
      <c r="D16" s="58">
        <v>270.755</v>
      </c>
      <c r="E16" s="58">
        <v>89.38</v>
      </c>
      <c r="F16" s="58">
        <v>1018.347</v>
      </c>
      <c r="G16" s="1"/>
    </row>
    <row r="17" spans="1:7" ht="15" customHeight="1" x14ac:dyDescent="0.45">
      <c r="A17" s="57" t="s">
        <v>368</v>
      </c>
      <c r="B17" s="59">
        <f>B15/B16-1</f>
        <v>0.38014493773306124</v>
      </c>
      <c r="C17" s="59">
        <f>C15/C16-1</f>
        <v>0.29800886176021768</v>
      </c>
      <c r="D17" s="59">
        <f>D15/D16-1</f>
        <v>-0.10886594892061086</v>
      </c>
      <c r="E17" s="59">
        <f>E15/E16-1</f>
        <v>-0.1799172074289549</v>
      </c>
      <c r="F17" s="59">
        <f>F15/F16-1</f>
        <v>0.58474763513812111</v>
      </c>
      <c r="G17" s="1"/>
    </row>
    <row r="18" spans="1:7" ht="23.25" customHeight="1" x14ac:dyDescent="0.45">
      <c r="A18" s="60" t="s">
        <v>380</v>
      </c>
      <c r="B18" s="61">
        <f>B15/B8</f>
        <v>0.24958965811204559</v>
      </c>
      <c r="C18" s="61">
        <f>C15/C8</f>
        <v>0.37237268915319494</v>
      </c>
      <c r="D18" s="61">
        <f>D15/D8</f>
        <v>0.33742624713834002</v>
      </c>
      <c r="E18" s="61">
        <f>E15/E8</f>
        <v>0.28691485988734622</v>
      </c>
      <c r="F18" s="61">
        <f>F15/F8</f>
        <v>0.83892225654290786</v>
      </c>
      <c r="G18" s="1" t="s">
        <v>381</v>
      </c>
    </row>
    <row r="19" spans="1:7" ht="15" customHeight="1" x14ac:dyDescent="0.45">
      <c r="A19" s="57" t="s">
        <v>382</v>
      </c>
      <c r="B19" s="58">
        <v>-1.202</v>
      </c>
      <c r="C19" s="58">
        <v>19.369</v>
      </c>
      <c r="D19" s="58">
        <v>64.394000000000005</v>
      </c>
      <c r="E19" s="58">
        <v>11.750999999999999</v>
      </c>
      <c r="F19" s="58">
        <v>1266.538</v>
      </c>
      <c r="G19" s="1" t="s">
        <v>383</v>
      </c>
    </row>
    <row r="20" spans="1:7" ht="15" customHeight="1" x14ac:dyDescent="0.45">
      <c r="A20" s="57" t="s">
        <v>384</v>
      </c>
      <c r="B20" s="58">
        <v>-5.2080000000000002</v>
      </c>
      <c r="C20" s="58">
        <v>11.138999999999999</v>
      </c>
      <c r="D20" s="58">
        <v>90.129000000000005</v>
      </c>
      <c r="E20" s="58">
        <v>22.92</v>
      </c>
      <c r="F20" s="58">
        <v>771.85599999999999</v>
      </c>
      <c r="G20" s="1" t="s">
        <v>385</v>
      </c>
    </row>
    <row r="21" spans="1:7" ht="15" customHeight="1" x14ac:dyDescent="0.45">
      <c r="A21" s="57" t="s">
        <v>386</v>
      </c>
      <c r="B21" s="59">
        <f>B19/B8</f>
        <v>-1.5293982924687949E-2</v>
      </c>
      <c r="C21" s="59">
        <f>C19/C8</f>
        <v>0.10215986708510245</v>
      </c>
      <c r="D21" s="59">
        <f>D19/D8</f>
        <v>9.0054359302824821E-2</v>
      </c>
      <c r="E21" s="59">
        <f>E19/E8</f>
        <v>4.5997032954558793E-2</v>
      </c>
      <c r="F21" s="59">
        <f>F19/F8</f>
        <v>0.65839123432826363</v>
      </c>
      <c r="G21" s="1"/>
    </row>
    <row r="22" spans="1:7" ht="15" customHeight="1" x14ac:dyDescent="0.45">
      <c r="A22" s="54" t="s">
        <v>387</v>
      </c>
    </row>
    <row r="24" spans="1:7" ht="15" customHeight="1" x14ac:dyDescent="0.45">
      <c r="A24" s="55" t="s">
        <v>388</v>
      </c>
      <c r="B24" s="56" t="s">
        <v>359</v>
      </c>
      <c r="C24" s="56" t="s">
        <v>360</v>
      </c>
      <c r="D24" s="56" t="s">
        <v>361</v>
      </c>
      <c r="E24" s="56" t="s">
        <v>362</v>
      </c>
      <c r="F24" s="56" t="s">
        <v>363</v>
      </c>
      <c r="G24" s="55" t="s">
        <v>364</v>
      </c>
    </row>
    <row r="25" spans="1:7" ht="15" customHeight="1" x14ac:dyDescent="0.45">
      <c r="A25" s="57" t="s">
        <v>389</v>
      </c>
      <c r="B25" s="58">
        <v>141.16</v>
      </c>
      <c r="C25" s="58">
        <v>350.49900000000002</v>
      </c>
      <c r="D25" s="58">
        <v>1403.914</v>
      </c>
      <c r="E25" s="58">
        <v>505.84100000000001</v>
      </c>
      <c r="F25" s="58">
        <v>3766.1350000000002</v>
      </c>
      <c r="G25" s="1"/>
    </row>
    <row r="26" spans="1:7" ht="15" customHeight="1" x14ac:dyDescent="0.45">
      <c r="A26" s="57" t="s">
        <v>390</v>
      </c>
      <c r="B26" s="58">
        <v>51.970999999999997</v>
      </c>
      <c r="C26" s="58">
        <v>115.751</v>
      </c>
      <c r="D26" s="58">
        <v>366.303</v>
      </c>
      <c r="E26" s="58">
        <v>60.884999999999998</v>
      </c>
      <c r="F26" s="58">
        <v>429.43299999999999</v>
      </c>
      <c r="G26" s="1"/>
    </row>
    <row r="27" spans="1:7" ht="23.25" customHeight="1" x14ac:dyDescent="0.45">
      <c r="A27" s="60" t="s">
        <v>374</v>
      </c>
      <c r="B27" s="61">
        <f>B26/B25</f>
        <v>0.36817086993482573</v>
      </c>
      <c r="C27" s="61">
        <f>C26/C25</f>
        <v>0.33024630598090149</v>
      </c>
      <c r="D27" s="61">
        <f>D26/D25</f>
        <v>0.26091555465648181</v>
      </c>
      <c r="E27" s="61">
        <f>E26/E25</f>
        <v>0.1203639088171975</v>
      </c>
      <c r="F27" s="61">
        <f>F26/F25</f>
        <v>0.11402485572078536</v>
      </c>
      <c r="G27" s="1" t="s">
        <v>391</v>
      </c>
    </row>
    <row r="28" spans="1:7" ht="23.25" customHeight="1" x14ac:dyDescent="0.45">
      <c r="A28" s="57" t="s">
        <v>392</v>
      </c>
      <c r="B28" s="58">
        <v>19.995000000000001</v>
      </c>
      <c r="C28" s="58">
        <v>28.922000000000001</v>
      </c>
      <c r="D28" s="58">
        <v>61.570999999999998</v>
      </c>
      <c r="E28" s="58">
        <v>59.948</v>
      </c>
      <c r="F28" s="58">
        <v>66.227999999999994</v>
      </c>
      <c r="G28" s="1" t="s">
        <v>393</v>
      </c>
    </row>
    <row r="29" spans="1:7" ht="23.25" customHeight="1" x14ac:dyDescent="0.45">
      <c r="A29" s="57" t="s">
        <v>374</v>
      </c>
      <c r="B29" s="59">
        <f>B28/B25</f>
        <v>0.14164777557381694</v>
      </c>
      <c r="C29" s="59">
        <f>C28/C25</f>
        <v>8.2516640561028698E-2</v>
      </c>
      <c r="D29" s="59">
        <f>D28/D25</f>
        <v>4.3856674981515964E-2</v>
      </c>
      <c r="E29" s="59">
        <f>E28/E25</f>
        <v>0.11851154809515242</v>
      </c>
      <c r="F29" s="59">
        <f>F28/F25</f>
        <v>1.7585137017127637E-2</v>
      </c>
      <c r="G29" s="1" t="s">
        <v>394</v>
      </c>
    </row>
    <row r="30" spans="1:7" ht="23.25" customHeight="1" x14ac:dyDescent="0.45">
      <c r="A30" s="57" t="s">
        <v>395</v>
      </c>
      <c r="B30" s="58">
        <v>13.137</v>
      </c>
      <c r="C30" s="58">
        <v>29.594999999999999</v>
      </c>
      <c r="D30" s="58">
        <v>133.36500000000001</v>
      </c>
      <c r="E30" s="58">
        <v>91.087999999999994</v>
      </c>
      <c r="F30" s="63" t="s">
        <v>396</v>
      </c>
      <c r="G30" s="1" t="s">
        <v>397</v>
      </c>
    </row>
    <row r="31" spans="1:7" ht="23.25" customHeight="1" x14ac:dyDescent="0.45">
      <c r="A31" s="57" t="s">
        <v>374</v>
      </c>
      <c r="B31" s="59">
        <f>IFERROR(B30/B25,"n.a.")</f>
        <v>9.3064607537546057E-2</v>
      </c>
      <c r="C31" s="59">
        <f>IFERROR(C30/C25,"n.a.")</f>
        <v>8.4436760161940544E-2</v>
      </c>
      <c r="D31" s="59">
        <f>IFERROR(D30/D25,"n.a.")</f>
        <v>9.4995135029638578E-2</v>
      </c>
      <c r="E31" s="59">
        <f>IFERROR(E30/E25,"n.a.")</f>
        <v>0.18007239428990532</v>
      </c>
      <c r="F31" s="59" t="str">
        <f>IFERROR(F30/F25,"n.a.")</f>
        <v>n.a.</v>
      </c>
      <c r="G31" s="1" t="s">
        <v>398</v>
      </c>
    </row>
    <row r="32" spans="1:7" ht="15" customHeight="1" x14ac:dyDescent="0.45">
      <c r="A32" s="57" t="s">
        <v>399</v>
      </c>
      <c r="B32" s="58">
        <v>22.204000000000001</v>
      </c>
      <c r="C32" s="58">
        <v>113.461</v>
      </c>
      <c r="D32" s="58">
        <v>447.34500000000003</v>
      </c>
      <c r="E32" s="58">
        <v>138.19800000000001</v>
      </c>
      <c r="F32" s="58">
        <v>3170.7420000000002</v>
      </c>
      <c r="G32" s="1"/>
    </row>
    <row r="33" spans="1:7" ht="15" customHeight="1" x14ac:dyDescent="0.45">
      <c r="A33" s="60" t="s">
        <v>374</v>
      </c>
      <c r="B33" s="61">
        <f>B32/B25</f>
        <v>0.1572966846132049</v>
      </c>
      <c r="C33" s="61">
        <f>C32/C25</f>
        <v>0.32371276380246444</v>
      </c>
      <c r="D33" s="61">
        <f>D32/D25</f>
        <v>0.31864131278696561</v>
      </c>
      <c r="E33" s="61">
        <f>E32/E25</f>
        <v>0.27320442589667504</v>
      </c>
      <c r="F33" s="61">
        <f>F32/F25</f>
        <v>0.84190874729663168</v>
      </c>
      <c r="G33" s="1"/>
    </row>
    <row r="34" spans="1:7" ht="15" customHeight="1" x14ac:dyDescent="0.45">
      <c r="A34" s="57" t="s">
        <v>400</v>
      </c>
      <c r="B34" s="62">
        <f>IFERROR(B32-B30,"n.a.")</f>
        <v>9.0670000000000002</v>
      </c>
      <c r="C34" s="62">
        <f>IFERROR(C32-C30,"n.a.")</f>
        <v>83.866</v>
      </c>
      <c r="D34" s="62">
        <f>IFERROR(D32-D30,"n.a.")</f>
        <v>313.98</v>
      </c>
      <c r="E34" s="62">
        <f>IFERROR(E32-E30,"n.a.")</f>
        <v>47.110000000000014</v>
      </c>
      <c r="F34" s="62" t="str">
        <f>IFERROR(F32-F30,"n.a.")</f>
        <v>n.a.</v>
      </c>
      <c r="G34" s="1"/>
    </row>
    <row r="35" spans="1:7" ht="23.25" customHeight="1" x14ac:dyDescent="0.45">
      <c r="A35" s="60" t="s">
        <v>374</v>
      </c>
      <c r="B35" s="61">
        <f>IFERROR(B34/B25,"n.a.")</f>
        <v>6.4232077075658825E-2</v>
      </c>
      <c r="C35" s="61">
        <f>IFERROR(C34/C25,"n.a.")</f>
        <v>0.23927600364052393</v>
      </c>
      <c r="D35" s="61">
        <f>IFERROR(D34/D25,"n.a.")</f>
        <v>0.22364617775732704</v>
      </c>
      <c r="E35" s="61">
        <f>IFERROR(E34/E25,"n.a.")</f>
        <v>9.3132031606769736E-2</v>
      </c>
      <c r="F35" s="61" t="str">
        <f>IFERROR(F34/F25,"n.a.")</f>
        <v>n.a.</v>
      </c>
      <c r="G35" s="1" t="s">
        <v>401</v>
      </c>
    </row>
    <row r="36" spans="1:7" ht="15" customHeight="1" x14ac:dyDescent="0.45">
      <c r="A36" s="54" t="s">
        <v>402</v>
      </c>
    </row>
    <row r="38" spans="1:7" ht="15" customHeight="1" x14ac:dyDescent="0.45">
      <c r="A38" s="55" t="s">
        <v>403</v>
      </c>
      <c r="B38" s="55" t="s">
        <v>404</v>
      </c>
      <c r="C38" s="56"/>
      <c r="D38" s="56"/>
      <c r="E38" s="56"/>
      <c r="F38" s="56"/>
      <c r="G38" s="55" t="s">
        <v>405</v>
      </c>
    </row>
    <row r="39" spans="1:7" ht="54" customHeight="1" x14ac:dyDescent="0.45">
      <c r="A39" s="60" t="s">
        <v>406</v>
      </c>
      <c r="B39" s="103" t="s">
        <v>407</v>
      </c>
      <c r="C39" s="103"/>
      <c r="D39" s="103"/>
      <c r="E39" s="103"/>
      <c r="F39" s="103"/>
      <c r="G39" s="2" t="s">
        <v>408</v>
      </c>
    </row>
    <row r="40" spans="1:7" ht="54" customHeight="1" x14ac:dyDescent="0.45">
      <c r="A40" s="60" t="s">
        <v>409</v>
      </c>
      <c r="B40" s="103" t="s">
        <v>410</v>
      </c>
      <c r="C40" s="103"/>
      <c r="D40" s="103"/>
      <c r="E40" s="103"/>
      <c r="F40" s="103"/>
      <c r="G40" s="2" t="s">
        <v>411</v>
      </c>
    </row>
    <row r="41" spans="1:7" ht="54" customHeight="1" x14ac:dyDescent="0.45">
      <c r="A41" s="60" t="s">
        <v>412</v>
      </c>
      <c r="B41" s="103" t="s">
        <v>413</v>
      </c>
      <c r="C41" s="103"/>
      <c r="D41" s="103"/>
      <c r="E41" s="103"/>
      <c r="F41" s="103"/>
      <c r="G41" s="2" t="s">
        <v>414</v>
      </c>
    </row>
    <row r="42" spans="1:7" ht="54" customHeight="1" x14ac:dyDescent="0.45">
      <c r="A42" s="60" t="s">
        <v>415</v>
      </c>
      <c r="B42" s="103" t="s">
        <v>416</v>
      </c>
      <c r="C42" s="103"/>
      <c r="D42" s="103"/>
      <c r="E42" s="103"/>
      <c r="F42" s="103"/>
      <c r="G42" s="2" t="s">
        <v>417</v>
      </c>
    </row>
    <row r="43" spans="1:7" ht="54" customHeight="1" x14ac:dyDescent="0.45">
      <c r="A43" s="60" t="s">
        <v>418</v>
      </c>
      <c r="B43" s="103" t="s">
        <v>419</v>
      </c>
      <c r="C43" s="103"/>
      <c r="D43" s="103"/>
      <c r="E43" s="103"/>
      <c r="F43" s="103"/>
      <c r="G43" s="2" t="s">
        <v>420</v>
      </c>
    </row>
    <row r="45" spans="1:7" ht="15" customHeight="1" x14ac:dyDescent="0.45">
      <c r="A45" s="55" t="s">
        <v>421</v>
      </c>
      <c r="B45" s="6"/>
      <c r="C45" s="6"/>
      <c r="D45" s="6"/>
      <c r="E45" s="6"/>
      <c r="F45" s="6"/>
      <c r="G45" s="6"/>
    </row>
    <row r="46" spans="1:7" ht="31.5" customHeight="1" x14ac:dyDescent="0.45">
      <c r="A46" s="101" t="s">
        <v>422</v>
      </c>
      <c r="B46" s="101"/>
      <c r="C46" s="101"/>
      <c r="D46" s="101"/>
      <c r="E46" s="101"/>
      <c r="F46" s="101"/>
      <c r="G46" s="101"/>
    </row>
    <row r="47" spans="1:7" ht="31.5" customHeight="1" x14ac:dyDescent="0.45">
      <c r="A47" s="101" t="s">
        <v>423</v>
      </c>
      <c r="B47" s="101"/>
      <c r="C47" s="101"/>
      <c r="D47" s="101"/>
      <c r="E47" s="101"/>
      <c r="F47" s="101"/>
      <c r="G47" s="101"/>
    </row>
    <row r="48" spans="1:7" ht="31.5" customHeight="1" x14ac:dyDescent="0.45">
      <c r="A48" s="101" t="s">
        <v>424</v>
      </c>
      <c r="B48" s="101"/>
      <c r="C48" s="101"/>
      <c r="D48" s="101"/>
      <c r="E48" s="101"/>
      <c r="F48" s="101"/>
      <c r="G48" s="101"/>
    </row>
    <row r="49" spans="1:7" ht="31.5" customHeight="1" x14ac:dyDescent="0.45">
      <c r="A49" s="101" t="s">
        <v>425</v>
      </c>
      <c r="B49" s="101"/>
      <c r="C49" s="101"/>
      <c r="D49" s="101"/>
      <c r="E49" s="101"/>
      <c r="F49" s="101"/>
      <c r="G49" s="101"/>
    </row>
    <row r="50" spans="1:7" ht="31.5" customHeight="1" x14ac:dyDescent="0.45">
      <c r="A50" s="101" t="s">
        <v>426</v>
      </c>
      <c r="B50" s="101"/>
      <c r="C50" s="101"/>
      <c r="D50" s="101"/>
      <c r="E50" s="101"/>
      <c r="F50" s="101"/>
      <c r="G50" s="101"/>
    </row>
    <row r="51" spans="1:7" ht="31.5" customHeight="1" x14ac:dyDescent="0.45">
      <c r="A51" s="101" t="s">
        <v>427</v>
      </c>
      <c r="B51" s="101"/>
      <c r="C51" s="101"/>
      <c r="D51" s="101"/>
      <c r="E51" s="101"/>
      <c r="F51" s="101"/>
      <c r="G51" s="101"/>
    </row>
    <row r="53" spans="1:7" ht="30" customHeight="1" x14ac:dyDescent="0.45">
      <c r="A53" s="102" t="s">
        <v>428</v>
      </c>
      <c r="B53" s="102"/>
      <c r="C53" s="102"/>
      <c r="D53" s="102"/>
      <c r="E53" s="102"/>
      <c r="F53" s="102"/>
      <c r="G53" s="102"/>
    </row>
    <row r="55" spans="1:7" ht="15" customHeight="1" x14ac:dyDescent="0.45">
      <c r="A55" s="55" t="s">
        <v>429</v>
      </c>
      <c r="B55" s="56" t="s">
        <v>359</v>
      </c>
      <c r="C55" s="56" t="s">
        <v>360</v>
      </c>
      <c r="D55" s="56" t="s">
        <v>361</v>
      </c>
      <c r="E55" s="56" t="s">
        <v>362</v>
      </c>
      <c r="F55" s="56" t="s">
        <v>363</v>
      </c>
      <c r="G55" s="55" t="s">
        <v>364</v>
      </c>
    </row>
    <row r="56" spans="1:7" ht="23.25" customHeight="1" x14ac:dyDescent="0.45">
      <c r="A56" s="57" t="s">
        <v>430</v>
      </c>
      <c r="B56" s="64">
        <v>18.8</v>
      </c>
      <c r="C56" s="64">
        <v>24.8</v>
      </c>
      <c r="D56" s="64">
        <v>12.05</v>
      </c>
      <c r="E56" s="64">
        <v>15.8</v>
      </c>
      <c r="F56" s="64">
        <v>305.66000000000003</v>
      </c>
      <c r="G56" s="1" t="s">
        <v>431</v>
      </c>
    </row>
    <row r="57" spans="1:7" ht="34.5" customHeight="1" x14ac:dyDescent="0.45">
      <c r="A57" s="57" t="s">
        <v>432</v>
      </c>
      <c r="B57" s="65">
        <v>45.55</v>
      </c>
      <c r="C57" s="65">
        <v>143.41999999999999</v>
      </c>
      <c r="D57" s="65">
        <v>472.8</v>
      </c>
      <c r="E57" s="65">
        <v>48.55</v>
      </c>
      <c r="F57" s="65">
        <v>334.65</v>
      </c>
      <c r="G57" s="1" t="s">
        <v>433</v>
      </c>
    </row>
    <row r="58" spans="1:7" ht="23.25" customHeight="1" x14ac:dyDescent="0.45">
      <c r="A58" s="60" t="s">
        <v>434</v>
      </c>
      <c r="B58" s="66">
        <f>B56*B57</f>
        <v>856.34</v>
      </c>
      <c r="C58" s="66">
        <f>C56*C57</f>
        <v>3556.8159999999998</v>
      </c>
      <c r="D58" s="66">
        <f>D56*D57</f>
        <v>5697.2400000000007</v>
      </c>
      <c r="E58" s="66">
        <f>E56*E57</f>
        <v>767.09</v>
      </c>
      <c r="F58" s="66">
        <f>F56*F57</f>
        <v>102289.11900000001</v>
      </c>
      <c r="G58" s="1" t="s">
        <v>435</v>
      </c>
    </row>
    <row r="59" spans="1:7" ht="34.5" customHeight="1" x14ac:dyDescent="0.45">
      <c r="A59" s="57" t="s">
        <v>436</v>
      </c>
      <c r="B59" s="65">
        <v>0</v>
      </c>
      <c r="C59" s="65">
        <v>350.4</v>
      </c>
      <c r="D59" s="65">
        <v>0</v>
      </c>
      <c r="E59" s="65">
        <v>9.6449999999999996</v>
      </c>
      <c r="F59" s="65">
        <v>3515.0720000000001</v>
      </c>
      <c r="G59" s="1" t="s">
        <v>437</v>
      </c>
    </row>
    <row r="60" spans="1:7" ht="15" customHeight="1" x14ac:dyDescent="0.45">
      <c r="A60" s="57" t="s">
        <v>438</v>
      </c>
      <c r="B60" s="65">
        <v>0</v>
      </c>
      <c r="C60" s="65">
        <v>0</v>
      </c>
      <c r="D60" s="65">
        <v>0</v>
      </c>
      <c r="E60" s="65">
        <v>36.616</v>
      </c>
      <c r="F60" s="65">
        <v>0</v>
      </c>
      <c r="G60" s="1" t="s">
        <v>439</v>
      </c>
    </row>
    <row r="61" spans="1:7" ht="23.25" customHeight="1" x14ac:dyDescent="0.45">
      <c r="A61" s="57" t="s">
        <v>440</v>
      </c>
      <c r="B61" s="65">
        <v>137.50700000000001</v>
      </c>
      <c r="C61" s="65">
        <v>332.61500000000001</v>
      </c>
      <c r="D61" s="65">
        <v>1485.3330000000001</v>
      </c>
      <c r="E61" s="65">
        <v>303.07600000000002</v>
      </c>
      <c r="F61" s="65">
        <v>3053.306</v>
      </c>
      <c r="G61" s="1" t="s">
        <v>441</v>
      </c>
    </row>
    <row r="62" spans="1:7" ht="23.25" customHeight="1" x14ac:dyDescent="0.45">
      <c r="A62" s="60" t="s">
        <v>442</v>
      </c>
      <c r="B62" s="66">
        <f>B58+B59+B60-B61</f>
        <v>718.83300000000008</v>
      </c>
      <c r="C62" s="66">
        <f>C58+C59+C60-C61</f>
        <v>3574.6009999999997</v>
      </c>
      <c r="D62" s="66">
        <f>D58+D59+D60-D61</f>
        <v>4211.9070000000011</v>
      </c>
      <c r="E62" s="66">
        <f>E58+E59+E60-E61</f>
        <v>510.27499999999998</v>
      </c>
      <c r="F62" s="66">
        <f>F58+F59+F60-F61</f>
        <v>102750.88500000001</v>
      </c>
      <c r="G62" s="1" t="s">
        <v>443</v>
      </c>
    </row>
    <row r="64" spans="1:7" ht="15" customHeight="1" x14ac:dyDescent="0.45">
      <c r="A64" s="55" t="s">
        <v>444</v>
      </c>
      <c r="B64" s="56" t="s">
        <v>359</v>
      </c>
      <c r="C64" s="56" t="s">
        <v>360</v>
      </c>
      <c r="D64" s="56" t="s">
        <v>361</v>
      </c>
      <c r="E64" s="56" t="s">
        <v>362</v>
      </c>
      <c r="F64" s="56" t="s">
        <v>363</v>
      </c>
      <c r="G64" s="55" t="s">
        <v>364</v>
      </c>
    </row>
    <row r="65" spans="1:7" ht="23.25" customHeight="1" x14ac:dyDescent="0.45">
      <c r="A65" s="57" t="s">
        <v>445</v>
      </c>
      <c r="B65" s="65">
        <v>282.92599999999999</v>
      </c>
      <c r="C65" s="65">
        <v>669.63300000000004</v>
      </c>
      <c r="D65" s="65">
        <v>2896.2840000000001</v>
      </c>
      <c r="E65" s="65">
        <v>1174.5999999999999</v>
      </c>
      <c r="F65" s="65">
        <v>5480.7169999999996</v>
      </c>
      <c r="G65" s="1" t="s">
        <v>446</v>
      </c>
    </row>
    <row r="66" spans="1:7" ht="15" customHeight="1" x14ac:dyDescent="0.45">
      <c r="A66" s="57" t="s">
        <v>447</v>
      </c>
      <c r="B66" s="62">
        <f>B25</f>
        <v>141.16</v>
      </c>
      <c r="C66" s="62">
        <f>C25</f>
        <v>350.49900000000002</v>
      </c>
      <c r="D66" s="62">
        <f>D25</f>
        <v>1403.914</v>
      </c>
      <c r="E66" s="62">
        <f>E25</f>
        <v>505.84100000000001</v>
      </c>
      <c r="F66" s="62">
        <f>F25</f>
        <v>3766.1350000000002</v>
      </c>
      <c r="G66" s="1" t="s">
        <v>448</v>
      </c>
    </row>
    <row r="67" spans="1:7" ht="15" customHeight="1" x14ac:dyDescent="0.45">
      <c r="A67" s="57" t="s">
        <v>449</v>
      </c>
      <c r="B67" s="65">
        <v>134.91999999999999</v>
      </c>
      <c r="C67" s="65">
        <v>307.80399999999997</v>
      </c>
      <c r="D67" s="65">
        <v>1310.06</v>
      </c>
      <c r="E67" s="65">
        <v>556.44100000000003</v>
      </c>
      <c r="F67" s="65">
        <v>2417.7280000000001</v>
      </c>
      <c r="G67" s="1"/>
    </row>
    <row r="68" spans="1:7" ht="15" customHeight="1" x14ac:dyDescent="0.45">
      <c r="A68" s="60" t="s">
        <v>450</v>
      </c>
      <c r="B68" s="66">
        <f>B65+B66-B67</f>
        <v>289.16600000000005</v>
      </c>
      <c r="C68" s="66">
        <f>C65+C66-C67</f>
        <v>712.32800000000009</v>
      </c>
      <c r="D68" s="66">
        <f>D65+D66-D67</f>
        <v>2990.1380000000004</v>
      </c>
      <c r="E68" s="66">
        <f>E65+E66-E67</f>
        <v>1123.9999999999998</v>
      </c>
      <c r="F68" s="66">
        <f>F65+F66-F67</f>
        <v>6829.1239999999989</v>
      </c>
      <c r="G68" s="1"/>
    </row>
    <row r="69" spans="1:7" ht="15" customHeight="1" x14ac:dyDescent="0.45">
      <c r="A69" s="57" t="s">
        <v>451</v>
      </c>
      <c r="B69" s="65">
        <v>61.64</v>
      </c>
      <c r="C69" s="65">
        <v>232.1</v>
      </c>
      <c r="D69" s="65">
        <v>1196.4490000000001</v>
      </c>
      <c r="E69" s="65">
        <v>406.7</v>
      </c>
      <c r="F69" s="65">
        <v>4512.4520000000002</v>
      </c>
      <c r="G69" s="1" t="s">
        <v>452</v>
      </c>
    </row>
    <row r="70" spans="1:7" ht="15" customHeight="1" x14ac:dyDescent="0.45">
      <c r="A70" s="57" t="s">
        <v>453</v>
      </c>
      <c r="B70" s="62">
        <f>B32</f>
        <v>22.204000000000001</v>
      </c>
      <c r="C70" s="62">
        <f>C32</f>
        <v>113.461</v>
      </c>
      <c r="D70" s="62">
        <f>D32</f>
        <v>447.34500000000003</v>
      </c>
      <c r="E70" s="62">
        <f>E32</f>
        <v>138.19800000000001</v>
      </c>
      <c r="F70" s="62">
        <f>F32</f>
        <v>3170.7420000000002</v>
      </c>
      <c r="G70" s="1" t="s">
        <v>448</v>
      </c>
    </row>
    <row r="71" spans="1:7" ht="15" customHeight="1" x14ac:dyDescent="0.45">
      <c r="A71" s="57" t="s">
        <v>454</v>
      </c>
      <c r="B71" s="65">
        <v>22.67</v>
      </c>
      <c r="C71" s="65">
        <v>91.191000000000003</v>
      </c>
      <c r="D71" s="65">
        <v>478.63</v>
      </c>
      <c r="E71" s="65">
        <v>181.52799999999999</v>
      </c>
      <c r="F71" s="65">
        <v>1956.1189999999999</v>
      </c>
      <c r="G71" s="1"/>
    </row>
    <row r="72" spans="1:7" ht="15" customHeight="1" x14ac:dyDescent="0.45">
      <c r="A72" s="60" t="s">
        <v>455</v>
      </c>
      <c r="B72" s="66">
        <f>B69+B70-B71</f>
        <v>61.173999999999992</v>
      </c>
      <c r="C72" s="66">
        <f>C69+C70-C71</f>
        <v>254.36999999999998</v>
      </c>
      <c r="D72" s="66">
        <f>D69+D70-D71</f>
        <v>1165.1640000000002</v>
      </c>
      <c r="E72" s="66">
        <f>E69+E70-E71</f>
        <v>363.37</v>
      </c>
      <c r="F72" s="66">
        <f>F69+F70-F71</f>
        <v>5727.0750000000007</v>
      </c>
      <c r="G72" s="1"/>
    </row>
    <row r="73" spans="1:7" ht="15" customHeight="1" x14ac:dyDescent="0.45">
      <c r="A73" s="57" t="s">
        <v>456</v>
      </c>
      <c r="B73" s="59">
        <f>B72/B68</f>
        <v>0.21155322548294053</v>
      </c>
      <c r="C73" s="59">
        <f>C72/C68</f>
        <v>0.35709673071955605</v>
      </c>
      <c r="D73" s="59">
        <f>D72/D68</f>
        <v>0.38966897179996379</v>
      </c>
      <c r="E73" s="59">
        <f>E72/E68</f>
        <v>0.32328291814946625</v>
      </c>
      <c r="F73" s="59">
        <f>F72/F68</f>
        <v>0.83862512966523983</v>
      </c>
      <c r="G73" s="1"/>
    </row>
    <row r="74" spans="1:7" ht="23.25" customHeight="1" x14ac:dyDescent="0.45">
      <c r="A74" s="57" t="s">
        <v>457</v>
      </c>
      <c r="B74" s="65">
        <v>-14.462</v>
      </c>
      <c r="C74" s="65">
        <v>144.6</v>
      </c>
      <c r="D74" s="65">
        <v>443.30399999999997</v>
      </c>
      <c r="E74" s="65">
        <v>149.4</v>
      </c>
      <c r="F74" s="65">
        <v>3433.1950000000002</v>
      </c>
      <c r="G74" s="1" t="s">
        <v>458</v>
      </c>
    </row>
    <row r="75" spans="1:7" ht="15" customHeight="1" x14ac:dyDescent="0.45">
      <c r="A75" s="57" t="s">
        <v>459</v>
      </c>
      <c r="B75" s="65">
        <v>-13.712</v>
      </c>
      <c r="C75" s="65">
        <v>23.780999999999999</v>
      </c>
      <c r="D75" s="65">
        <v>104.39100000000001</v>
      </c>
      <c r="E75" s="65">
        <v>20.331</v>
      </c>
      <c r="F75" s="65">
        <v>2472.1509999999998</v>
      </c>
      <c r="G75" s="1"/>
    </row>
    <row r="76" spans="1:7" ht="15" customHeight="1" x14ac:dyDescent="0.45">
      <c r="A76" s="57" t="s">
        <v>460</v>
      </c>
      <c r="B76" s="65">
        <v>-14.694000000000001</v>
      </c>
      <c r="C76" s="65">
        <v>1.5049999999999999</v>
      </c>
      <c r="D76" s="65">
        <v>140.80699999999999</v>
      </c>
      <c r="E76" s="65">
        <v>62.930999999999997</v>
      </c>
      <c r="F76" s="65">
        <v>1495.394</v>
      </c>
      <c r="G76" s="1" t="s">
        <v>461</v>
      </c>
    </row>
    <row r="77" spans="1:7" ht="15" customHeight="1" x14ac:dyDescent="0.45">
      <c r="A77" s="60" t="s">
        <v>462</v>
      </c>
      <c r="B77" s="66">
        <f>B74+B75-B76</f>
        <v>-13.479999999999999</v>
      </c>
      <c r="C77" s="66">
        <f>C74+C75-C76</f>
        <v>166.876</v>
      </c>
      <c r="D77" s="66">
        <f>D74+D75-D76</f>
        <v>406.88799999999992</v>
      </c>
      <c r="E77" s="66">
        <f>E74+E75-E76</f>
        <v>106.8</v>
      </c>
      <c r="F77" s="66">
        <f>F74+F75-F76</f>
        <v>4409.9519999999993</v>
      </c>
      <c r="G77" s="1"/>
    </row>
    <row r="78" spans="1:7" x14ac:dyDescent="0.45">
      <c r="A78" s="67" t="s">
        <v>463</v>
      </c>
      <c r="B78" s="68"/>
      <c r="C78" s="68"/>
      <c r="D78" s="68"/>
      <c r="E78" s="68"/>
      <c r="F78" s="68"/>
      <c r="G78" s="69"/>
    </row>
    <row r="79" spans="1:7" ht="15" customHeight="1" x14ac:dyDescent="0.45">
      <c r="A79" s="70" t="s">
        <v>464</v>
      </c>
      <c r="B79" s="33">
        <f>B65-'Infra Trend'!D6</f>
        <v>179.84100000000001</v>
      </c>
      <c r="C79" s="33">
        <f>C65-'Infra Trend'!D20</f>
        <v>447.33400000000006</v>
      </c>
      <c r="D79" s="33">
        <f>D65-'Infra Trend'!D34</f>
        <v>2277.2170000000001</v>
      </c>
      <c r="E79" s="33">
        <f>E65-'Infra Trend'!D48</f>
        <v>1049.3629999999998</v>
      </c>
      <c r="F79" s="33">
        <f>F65-'Infra Trend'!D62</f>
        <v>4815.5769999999993</v>
      </c>
      <c r="G79" s="71" t="s">
        <v>465</v>
      </c>
    </row>
    <row r="80" spans="1:7" ht="15" customHeight="1" x14ac:dyDescent="0.45">
      <c r="A80" s="70" t="s">
        <v>466</v>
      </c>
      <c r="B80" s="33">
        <f>B25-B26</f>
        <v>89.188999999999993</v>
      </c>
      <c r="C80" s="33">
        <f>C25-C26</f>
        <v>234.74800000000002</v>
      </c>
      <c r="D80" s="33">
        <f>D25-D26</f>
        <v>1037.6109999999999</v>
      </c>
      <c r="E80" s="33">
        <f>E25-E26</f>
        <v>444.95600000000002</v>
      </c>
      <c r="F80" s="33">
        <f>F25-F26</f>
        <v>3336.7020000000002</v>
      </c>
      <c r="G80" s="71" t="s">
        <v>448</v>
      </c>
    </row>
    <row r="81" spans="1:7" ht="23.25" customHeight="1" x14ac:dyDescent="0.45">
      <c r="A81" s="70" t="s">
        <v>467</v>
      </c>
      <c r="B81" s="32">
        <f>('Income Statement'!K10+'Income Statement'!L10)/1000</f>
        <v>52.2</v>
      </c>
      <c r="C81" s="32">
        <v>106.453</v>
      </c>
      <c r="D81" s="32">
        <v>293.81900000000002</v>
      </c>
      <c r="E81" s="32">
        <v>60.9</v>
      </c>
      <c r="F81" s="32">
        <v>306.75599999999997</v>
      </c>
      <c r="G81" s="71" t="s">
        <v>468</v>
      </c>
    </row>
    <row r="82" spans="1:7" ht="23.25" customHeight="1" x14ac:dyDescent="0.45">
      <c r="A82" s="70" t="s">
        <v>469</v>
      </c>
      <c r="B82" s="33">
        <f>B67-B81</f>
        <v>82.719999999999985</v>
      </c>
      <c r="C82" s="33">
        <f>C67-C81</f>
        <v>201.35099999999997</v>
      </c>
      <c r="D82" s="33">
        <f>D67-D81</f>
        <v>1016.241</v>
      </c>
      <c r="E82" s="33">
        <f>E67-E81</f>
        <v>495.54100000000005</v>
      </c>
      <c r="F82" s="33">
        <f>F67-F81</f>
        <v>2110.9720000000002</v>
      </c>
      <c r="G82" s="72"/>
    </row>
    <row r="83" spans="1:7" ht="15" customHeight="1" x14ac:dyDescent="0.45">
      <c r="A83" s="73" t="s">
        <v>470</v>
      </c>
      <c r="B83" s="74">
        <f>B79+B80-B82</f>
        <v>186.31</v>
      </c>
      <c r="C83" s="74">
        <f>C79+C80-C82</f>
        <v>480.73100000000011</v>
      </c>
      <c r="D83" s="74">
        <f>D79+D80-D82</f>
        <v>2298.587</v>
      </c>
      <c r="E83" s="74">
        <f>E79+E80-E82</f>
        <v>998.77799999999991</v>
      </c>
      <c r="F83" s="74">
        <f>F79+F80-F82</f>
        <v>6041.3069999999989</v>
      </c>
      <c r="G83" s="72"/>
    </row>
    <row r="84" spans="1:7" ht="15" customHeight="1" x14ac:dyDescent="0.45">
      <c r="A84" s="75" t="s">
        <v>471</v>
      </c>
      <c r="B84" s="76">
        <f>B83/B68</f>
        <v>0.6443011972361895</v>
      </c>
      <c r="C84" s="76">
        <f>C83/C68</f>
        <v>0.67487309217102243</v>
      </c>
      <c r="D84" s="76">
        <f>D83/D68</f>
        <v>0.76872271447003437</v>
      </c>
      <c r="E84" s="76">
        <f>E83/E68</f>
        <v>0.88859252669039157</v>
      </c>
      <c r="F84" s="76">
        <f>F83/F68</f>
        <v>0.88463864472222209</v>
      </c>
      <c r="G84" s="72"/>
    </row>
    <row r="85" spans="1:7" ht="15" customHeight="1" x14ac:dyDescent="0.45">
      <c r="A85" s="70"/>
      <c r="B85" s="69"/>
      <c r="C85" s="69"/>
      <c r="D85" s="69"/>
      <c r="E85" s="69"/>
      <c r="F85" s="69"/>
      <c r="G85" s="69"/>
    </row>
    <row r="86" spans="1:7" x14ac:dyDescent="0.45">
      <c r="A86" s="5" t="s">
        <v>472</v>
      </c>
      <c r="B86" s="22" t="s">
        <v>359</v>
      </c>
      <c r="C86" s="22" t="s">
        <v>360</v>
      </c>
      <c r="D86" s="22" t="s">
        <v>361</v>
      </c>
      <c r="E86" s="22" t="s">
        <v>362</v>
      </c>
      <c r="F86" s="22" t="s">
        <v>363</v>
      </c>
      <c r="G86" s="22" t="s">
        <v>364</v>
      </c>
    </row>
    <row r="87" spans="1:7" x14ac:dyDescent="0.45">
      <c r="A87" s="67" t="s">
        <v>473</v>
      </c>
      <c r="B87" s="77">
        <f>B62/B68</f>
        <v>2.4858835409418809</v>
      </c>
      <c r="C87" s="77">
        <f>C62/C68</f>
        <v>5.018195269594905</v>
      </c>
      <c r="D87" s="77">
        <f>D62/D68</f>
        <v>1.4085995362086969</v>
      </c>
      <c r="E87" s="77">
        <f>E62/E68</f>
        <v>0.45398131672597875</v>
      </c>
      <c r="F87" s="77">
        <f>F62/F68</f>
        <v>15.045983203702265</v>
      </c>
      <c r="G87" s="69"/>
    </row>
    <row r="88" spans="1:7" x14ac:dyDescent="0.45">
      <c r="A88" s="78" t="s">
        <v>474</v>
      </c>
      <c r="B88" s="76">
        <f>B66/B67-1</f>
        <v>4.6249629410020754E-2</v>
      </c>
      <c r="C88" s="76">
        <f>C66/C67-1</f>
        <v>0.13870839885121722</v>
      </c>
      <c r="D88" s="76">
        <f>D66/D67-1</f>
        <v>7.1640993542280595E-2</v>
      </c>
      <c r="E88" s="76">
        <f>E66/E67-1</f>
        <v>-9.0935067689117077E-2</v>
      </c>
      <c r="F88" s="76">
        <f>F66/F67-1</f>
        <v>0.55771658350318987</v>
      </c>
      <c r="G88" s="71" t="s">
        <v>475</v>
      </c>
    </row>
    <row r="89" spans="1:7" x14ac:dyDescent="0.45">
      <c r="A89" s="67" t="s">
        <v>476</v>
      </c>
      <c r="B89" s="77">
        <f>B62/B83</f>
        <v>3.8582631098706459</v>
      </c>
      <c r="C89" s="77">
        <f>C62/C83</f>
        <v>7.4357613717442783</v>
      </c>
      <c r="D89" s="77">
        <f>D62/D83</f>
        <v>1.8323896376339033</v>
      </c>
      <c r="E89" s="77">
        <f>E62/E83</f>
        <v>0.51089931896777863</v>
      </c>
      <c r="F89" s="77">
        <f>F62/F83</f>
        <v>17.008055541623698</v>
      </c>
      <c r="G89" s="71" t="s">
        <v>477</v>
      </c>
    </row>
    <row r="90" spans="1:7" x14ac:dyDescent="0.45">
      <c r="A90" s="78" t="s">
        <v>471</v>
      </c>
      <c r="B90" s="76">
        <f>B84</f>
        <v>0.6443011972361895</v>
      </c>
      <c r="C90" s="76">
        <f>C84</f>
        <v>0.67487309217102243</v>
      </c>
      <c r="D90" s="76">
        <f>D84</f>
        <v>0.76872271447003437</v>
      </c>
      <c r="E90" s="76">
        <f>E84</f>
        <v>0.88859252669039157</v>
      </c>
      <c r="F90" s="76">
        <f>F84</f>
        <v>0.88463864472222209</v>
      </c>
    </row>
    <row r="91" spans="1:7" ht="23.25" x14ac:dyDescent="0.45">
      <c r="A91" s="67" t="s">
        <v>478</v>
      </c>
      <c r="B91" s="77">
        <f>B62/B72</f>
        <v>11.750629352339232</v>
      </c>
      <c r="C91" s="77">
        <f>C62/C72</f>
        <v>14.052761725046192</v>
      </c>
      <c r="D91" s="77">
        <f>D62/D72</f>
        <v>3.61486194218153</v>
      </c>
      <c r="E91" s="77">
        <f>E62/E72</f>
        <v>1.4042848886809587</v>
      </c>
      <c r="F91" s="77">
        <f>F62/F72</f>
        <v>17.941250114587287</v>
      </c>
      <c r="G91" s="71" t="s">
        <v>479</v>
      </c>
    </row>
    <row r="92" spans="1:7" x14ac:dyDescent="0.45">
      <c r="A92" s="78" t="s">
        <v>480</v>
      </c>
      <c r="B92" s="76">
        <f>B73</f>
        <v>0.21155322548294053</v>
      </c>
      <c r="C92" s="76">
        <f>C73</f>
        <v>0.35709673071955605</v>
      </c>
      <c r="D92" s="76">
        <f>D73</f>
        <v>0.38966897179996379</v>
      </c>
      <c r="E92" s="76">
        <f>E73</f>
        <v>0.32328291814946625</v>
      </c>
      <c r="F92" s="76">
        <f>F73</f>
        <v>0.83862512966523983</v>
      </c>
    </row>
    <row r="93" spans="1:7" ht="23.25" x14ac:dyDescent="0.45">
      <c r="A93" s="67" t="s">
        <v>481</v>
      </c>
      <c r="B93" s="77">
        <f>IFERROR(B62/(B72-2*B30),"n.a.")</f>
        <v>20.596934097421212</v>
      </c>
      <c r="C93" s="77">
        <f>IFERROR(C62/(C72-2*C30),"n.a.")</f>
        <v>18.314381596475048</v>
      </c>
      <c r="D93" s="77">
        <f>IFERROR(D62/(D72-2*D30),"n.a.")</f>
        <v>4.6880538804185949</v>
      </c>
      <c r="E93" s="77">
        <f>IFERROR(E62/(E72-2*E30),"n.a.")</f>
        <v>2.8161804474761856</v>
      </c>
      <c r="F93" s="77" t="str">
        <f>IFERROR(F62/(F72-2*F30),"n.a.")</f>
        <v>n.a.</v>
      </c>
      <c r="G93" s="71" t="s">
        <v>482</v>
      </c>
    </row>
    <row r="94" spans="1:7" x14ac:dyDescent="0.45">
      <c r="A94" s="78" t="s">
        <v>483</v>
      </c>
      <c r="B94" s="76">
        <f>IFERROR((B72-2*B30)/B68,"n.a.")</f>
        <v>0.120691920903564</v>
      </c>
      <c r="C94" s="76">
        <f>IFERROR((C72-2*C30)/C68,"n.a.")</f>
        <v>0.27400298738783252</v>
      </c>
      <c r="D94" s="76">
        <f>IFERROR((D72-2*D30)/D68,"n.a.")</f>
        <v>0.30046573101308371</v>
      </c>
      <c r="E94" s="76">
        <f>IFERROR((E72-2*E30)/E68,"n.a.")</f>
        <v>0.16120462633451962</v>
      </c>
      <c r="F94" s="76" t="str">
        <f>IFERROR((F72-2*F30)/F68,"n.a.")</f>
        <v>n.a.</v>
      </c>
    </row>
    <row r="95" spans="1:7" x14ac:dyDescent="0.45">
      <c r="A95" s="67" t="s">
        <v>484</v>
      </c>
      <c r="B95" s="77" t="str">
        <f>IF(B77&gt;0,B58/B77,"NM")</f>
        <v>NM</v>
      </c>
      <c r="C95" s="77">
        <f>IF(C77&gt;0,C58/C77,"NM")</f>
        <v>21.314125458424218</v>
      </c>
      <c r="D95" s="77">
        <f>IF(D77&gt;0,D58/D77,"NM")</f>
        <v>14.00198580444742</v>
      </c>
      <c r="E95" s="77">
        <f>IF(E77&gt;0,E58/E77,"NM")</f>
        <v>7.1824906367041201</v>
      </c>
      <c r="F95" s="77">
        <f>IF(F77&gt;0,F58/F77,"NM")</f>
        <v>23.19506402790779</v>
      </c>
      <c r="G95" s="71" t="s">
        <v>485</v>
      </c>
    </row>
    <row r="96" spans="1:7" x14ac:dyDescent="0.45">
      <c r="A96" s="78" t="s">
        <v>486</v>
      </c>
      <c r="B96" s="76">
        <f>B77/B68</f>
        <v>-4.6616822171347931E-2</v>
      </c>
      <c r="C96" s="76">
        <f>C77/C68</f>
        <v>0.23426848305836634</v>
      </c>
      <c r="D96" s="76">
        <f>D77/D68</f>
        <v>0.13607666268245808</v>
      </c>
      <c r="E96" s="76">
        <f>E77/E68</f>
        <v>9.5017793594306066E-2</v>
      </c>
      <c r="F96" s="76">
        <f>F77/F68</f>
        <v>0.64575661534334416</v>
      </c>
    </row>
    <row r="97" spans="1:6" x14ac:dyDescent="0.45">
      <c r="A97" s="67" t="s">
        <v>487</v>
      </c>
      <c r="B97" s="79">
        <f>B77/B58</f>
        <v>-1.5741411121750704E-2</v>
      </c>
      <c r="C97" s="79">
        <f>C77/C58</f>
        <v>4.6917242837414143E-2</v>
      </c>
      <c r="D97" s="79">
        <f>D77/D58</f>
        <v>7.1418441210129788E-2</v>
      </c>
      <c r="E97" s="79">
        <f>E77/E58</f>
        <v>0.13922747004914676</v>
      </c>
      <c r="F97" s="79">
        <f>F77/F58</f>
        <v>4.311262080573789E-2</v>
      </c>
    </row>
    <row r="98" spans="1:6" x14ac:dyDescent="0.45">
      <c r="A98" s="80" t="s">
        <v>488</v>
      </c>
    </row>
  </sheetData>
  <mergeCells count="12">
    <mergeCell ref="B39:F39"/>
    <mergeCell ref="B40:F40"/>
    <mergeCell ref="B41:F41"/>
    <mergeCell ref="B42:F42"/>
    <mergeCell ref="B43:F43"/>
    <mergeCell ref="A51:G51"/>
    <mergeCell ref="A53:G53"/>
    <mergeCell ref="A46:G46"/>
    <mergeCell ref="A47:G47"/>
    <mergeCell ref="A48:G48"/>
    <mergeCell ref="A49:G49"/>
    <mergeCell ref="A50:G50"/>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7B895-C15D-40B5-8FD2-7A8CEC21CC49}">
  <dimension ref="A1:S46"/>
  <sheetViews>
    <sheetView showGridLines="0"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45"/>
  <cols>
    <col min="1" max="1" width="26.6640625" customWidth="1"/>
    <col min="2" max="2" width="12.46484375" customWidth="1"/>
    <col min="3" max="18" width="11" customWidth="1"/>
    <col min="19" max="19" width="74.6640625" customWidth="1"/>
  </cols>
  <sheetData>
    <row r="1" spans="1:19" x14ac:dyDescent="0.45">
      <c r="A1" s="122" t="s">
        <v>609</v>
      </c>
      <c r="B1" s="120"/>
      <c r="C1" s="120"/>
      <c r="D1" s="120"/>
      <c r="E1" s="120"/>
      <c r="F1" s="120"/>
      <c r="G1" s="120"/>
      <c r="H1" s="120"/>
      <c r="I1" s="120"/>
      <c r="J1" s="120"/>
      <c r="K1" s="120"/>
      <c r="L1" s="120"/>
      <c r="M1" s="120"/>
      <c r="N1" s="120"/>
      <c r="O1" s="120"/>
      <c r="P1" s="120"/>
      <c r="Q1" s="120"/>
      <c r="R1" s="120"/>
      <c r="S1" s="120"/>
    </row>
    <row r="2" spans="1:19" ht="17.649999999999999" x14ac:dyDescent="0.5">
      <c r="A2" s="13" t="s">
        <v>610</v>
      </c>
      <c r="B2" s="120"/>
      <c r="C2" s="120"/>
      <c r="D2" s="120"/>
      <c r="E2" s="120"/>
      <c r="F2" s="120"/>
      <c r="G2" s="120"/>
      <c r="H2" s="120"/>
      <c r="I2" s="120"/>
      <c r="J2" s="120"/>
      <c r="K2" s="120"/>
      <c r="L2" s="120"/>
      <c r="M2" s="120"/>
      <c r="N2" s="120"/>
      <c r="O2" s="120"/>
      <c r="P2" s="120"/>
      <c r="Q2" s="120"/>
      <c r="R2" s="120"/>
      <c r="S2" s="120"/>
    </row>
    <row r="3" spans="1:19" x14ac:dyDescent="0.45">
      <c r="A3" s="4" t="s">
        <v>611</v>
      </c>
      <c r="B3" s="120"/>
      <c r="C3" s="120"/>
      <c r="D3" s="120"/>
      <c r="E3" s="120"/>
      <c r="F3" s="120"/>
      <c r="G3" s="120"/>
      <c r="H3" s="120"/>
      <c r="I3" s="120"/>
      <c r="J3" s="120"/>
      <c r="K3" s="120"/>
      <c r="L3" s="120"/>
      <c r="M3" s="120"/>
      <c r="N3" s="120"/>
      <c r="O3" s="120"/>
      <c r="P3" s="120"/>
      <c r="Q3" s="120"/>
      <c r="R3" s="120"/>
      <c r="S3" s="120"/>
    </row>
    <row r="4" spans="1:19" ht="30" customHeight="1" x14ac:dyDescent="0.45">
      <c r="A4" s="124" t="s">
        <v>612</v>
      </c>
      <c r="B4" s="123" t="s">
        <v>613</v>
      </c>
      <c r="C4" s="123" t="s">
        <v>614</v>
      </c>
      <c r="D4" s="123" t="s">
        <v>615</v>
      </c>
      <c r="E4" s="125" t="s">
        <v>616</v>
      </c>
      <c r="F4" s="125"/>
      <c r="G4" s="125" t="s">
        <v>617</v>
      </c>
      <c r="H4" s="125"/>
      <c r="I4" s="125" t="s">
        <v>618</v>
      </c>
      <c r="J4" s="125"/>
      <c r="K4" s="125" t="s">
        <v>619</v>
      </c>
      <c r="L4" s="125"/>
      <c r="M4" s="125" t="s">
        <v>620</v>
      </c>
      <c r="N4" s="125"/>
      <c r="O4" s="125" t="s">
        <v>621</v>
      </c>
      <c r="P4" s="125"/>
      <c r="Q4" s="120"/>
      <c r="R4" s="120"/>
      <c r="S4" s="120"/>
    </row>
    <row r="5" spans="1:19" x14ac:dyDescent="0.45">
      <c r="A5" s="126"/>
      <c r="B5" s="127"/>
      <c r="C5" s="127"/>
      <c r="D5" s="127"/>
      <c r="E5" s="127" t="s">
        <v>622</v>
      </c>
      <c r="F5" s="127" t="s">
        <v>623</v>
      </c>
      <c r="G5" s="127" t="s">
        <v>622</v>
      </c>
      <c r="H5" s="127" t="s">
        <v>623</v>
      </c>
      <c r="I5" s="127" t="s">
        <v>622</v>
      </c>
      <c r="J5" s="127" t="s">
        <v>623</v>
      </c>
      <c r="K5" s="127" t="s">
        <v>622</v>
      </c>
      <c r="L5" s="127" t="s">
        <v>623</v>
      </c>
      <c r="M5" s="127" t="s">
        <v>622</v>
      </c>
      <c r="N5" s="127" t="s">
        <v>623</v>
      </c>
      <c r="O5" s="127" t="s">
        <v>622</v>
      </c>
      <c r="P5" s="127" t="s">
        <v>623</v>
      </c>
      <c r="Q5" s="120"/>
      <c r="R5" s="120"/>
      <c r="S5" s="120"/>
    </row>
    <row r="6" spans="1:19" x14ac:dyDescent="0.45">
      <c r="A6" s="128" t="s">
        <v>661</v>
      </c>
      <c r="B6" s="128"/>
      <c r="C6" s="128"/>
      <c r="D6" s="128"/>
      <c r="E6" s="128"/>
      <c r="F6" s="128"/>
      <c r="G6" s="128"/>
      <c r="H6" s="128"/>
      <c r="I6" s="128"/>
      <c r="J6" s="128"/>
      <c r="K6" s="128"/>
      <c r="L6" s="128"/>
      <c r="M6" s="128"/>
      <c r="N6" s="128"/>
      <c r="O6" s="128"/>
      <c r="P6" s="128"/>
      <c r="Q6" s="120"/>
      <c r="R6" s="120"/>
      <c r="S6" s="120"/>
    </row>
    <row r="7" spans="1:19" x14ac:dyDescent="0.45">
      <c r="A7" s="120" t="str">
        <f>A37</f>
        <v>PubMatic (Street)</v>
      </c>
      <c r="B7" s="120" t="str">
        <f>B37</f>
        <v>PUBM</v>
      </c>
      <c r="C7" s="130">
        <f>C37</f>
        <v>856.34</v>
      </c>
      <c r="D7" s="130">
        <f>G37</f>
        <v>718.83300000000008</v>
      </c>
      <c r="E7" s="131">
        <f>$D7/I37</f>
        <v>2.3298641947298484</v>
      </c>
      <c r="F7" s="131">
        <f>$D7/J37</f>
        <v>2.150842284791</v>
      </c>
      <c r="G7" s="131">
        <f>$D7/O37</f>
        <v>3.5205847781369384</v>
      </c>
      <c r="H7" s="131">
        <f>$D7/P37</f>
        <v>3.2500703796971653</v>
      </c>
      <c r="I7" s="131">
        <f>IF(Q37&lt;=0,"NM",$D7/Q37)</f>
        <v>11.013134824161433</v>
      </c>
      <c r="J7" s="131">
        <f>IF(R37&lt;=0,"NM",$D7/R37)</f>
        <v>10.166908492560147</v>
      </c>
      <c r="K7" s="132">
        <f>I37/H37-1</f>
        <v>9.0481744601137892E-2</v>
      </c>
      <c r="L7" s="132">
        <f>J37/I37-1</f>
        <v>8.3233397076459381E-2</v>
      </c>
      <c r="M7" s="133">
        <f>K37</f>
        <v>0.66178329497941857</v>
      </c>
      <c r="N7" s="133">
        <f>L37</f>
        <v>0.66178329497941857</v>
      </c>
      <c r="O7" s="133">
        <f>M37</f>
        <v>0.21155322548294053</v>
      </c>
      <c r="P7" s="133">
        <f>N37</f>
        <v>0.21155322548294053</v>
      </c>
      <c r="Q7" s="120"/>
      <c r="R7" s="120"/>
      <c r="S7" s="120"/>
    </row>
    <row r="8" spans="1:19" x14ac:dyDescent="0.45">
      <c r="A8" s="120" t="str">
        <f>A38</f>
        <v>PubMatic (Model case)</v>
      </c>
      <c r="B8" s="120" t="str">
        <f>B38</f>
        <v>PUBM (Model)</v>
      </c>
      <c r="C8" s="130">
        <f>+DCF!B51</f>
        <v>512.32050213995149</v>
      </c>
      <c r="D8" s="130">
        <f>+DCF!B49</f>
        <v>374.81350213995154</v>
      </c>
      <c r="E8" s="131">
        <f>$D8/I38</f>
        <v>1.1341692822570146</v>
      </c>
      <c r="F8" s="131">
        <f>$D8/J38</f>
        <v>0.87857146296336319</v>
      </c>
      <c r="G8" s="131">
        <f>$D8/O38</f>
        <v>1.7907153098510105</v>
      </c>
      <c r="H8" s="131">
        <f>$D8/P38</f>
        <v>1.3607113846277881</v>
      </c>
      <c r="I8" s="131">
        <f>IF(Q38&lt;=0,"NM",$D8/Q38)</f>
        <v>4.3544558171049674</v>
      </c>
      <c r="J8" s="131">
        <f>IF(R38&lt;=0,"NM",$D8/R38)</f>
        <v>2.2960973685628514</v>
      </c>
      <c r="K8" s="132">
        <f>I38/H38-1</f>
        <v>0.16805821203247606</v>
      </c>
      <c r="L8" s="132">
        <f>J38/I38-1</f>
        <v>0.29092433577518784</v>
      </c>
      <c r="M8" s="133">
        <f>K38</f>
        <v>0.6333610239538181</v>
      </c>
      <c r="N8" s="133">
        <f>L38</f>
        <v>0.64567069320412107</v>
      </c>
      <c r="O8" s="133">
        <f>M38</f>
        <v>0.26046177292735972</v>
      </c>
      <c r="P8" s="133">
        <f>N38</f>
        <v>0.38263684937423592</v>
      </c>
      <c r="Q8" s="120"/>
      <c r="R8" s="120"/>
      <c r="S8" s="120"/>
    </row>
    <row r="9" spans="1:19" x14ac:dyDescent="0.45">
      <c r="A9" s="120"/>
      <c r="B9" s="120"/>
      <c r="C9" s="120"/>
      <c r="D9" s="120"/>
      <c r="E9" s="120"/>
      <c r="F9" s="120"/>
      <c r="G9" s="120"/>
      <c r="H9" s="120"/>
      <c r="I9" s="120"/>
      <c r="J9" s="120"/>
      <c r="K9" s="120"/>
      <c r="L9" s="120"/>
      <c r="M9" s="120"/>
      <c r="N9" s="120"/>
      <c r="O9" s="120"/>
      <c r="P9" s="120"/>
      <c r="Q9" s="120"/>
      <c r="R9" s="120"/>
      <c r="S9" s="120"/>
    </row>
    <row r="10" spans="1:19" x14ac:dyDescent="0.45">
      <c r="A10" s="128" t="s">
        <v>662</v>
      </c>
      <c r="B10" s="128"/>
      <c r="C10" s="128"/>
      <c r="D10" s="128"/>
      <c r="E10" s="128"/>
      <c r="F10" s="128"/>
      <c r="G10" s="128"/>
      <c r="H10" s="128"/>
      <c r="I10" s="128"/>
      <c r="J10" s="128"/>
      <c r="K10" s="128"/>
      <c r="L10" s="128"/>
      <c r="M10" s="128"/>
      <c r="N10" s="128"/>
      <c r="O10" s="128"/>
      <c r="P10" s="128"/>
      <c r="Q10" s="120"/>
      <c r="R10" s="120"/>
      <c r="S10" s="120"/>
    </row>
    <row r="11" spans="1:19" x14ac:dyDescent="0.45">
      <c r="A11" s="120" t="str">
        <f>A39</f>
        <v>Magnite</v>
      </c>
      <c r="B11" s="120" t="str">
        <f>B39</f>
        <v>MGNI</v>
      </c>
      <c r="C11" s="130">
        <f>C39</f>
        <v>3556.8159999999998</v>
      </c>
      <c r="D11" s="130">
        <f>G39</f>
        <v>3574.6009999999997</v>
      </c>
      <c r="E11" s="131">
        <f>$D11/I39</f>
        <v>4.6945274742592975</v>
      </c>
      <c r="F11" s="131">
        <f>$D11/J39</f>
        <v>4.2742535662613141</v>
      </c>
      <c r="G11" s="131">
        <f>$D11/O39</f>
        <v>7.2468778546762849</v>
      </c>
      <c r="H11" s="131">
        <f>$D11/P39</f>
        <v>6.5981067710115999</v>
      </c>
      <c r="I11" s="131">
        <f>IF(Q39&lt;=0,"NM",$D11/Q39)</f>
        <v>13.146374834627423</v>
      </c>
      <c r="J11" s="131">
        <f>IF(R39&lt;=0,"NM",$D11/R39)</f>
        <v>11.969455888460866</v>
      </c>
      <c r="K11" s="132">
        <f>I39/H39-1</f>
        <v>6.6517263113663461E-2</v>
      </c>
      <c r="L11" s="132">
        <f>J39/I39-1</f>
        <v>9.8326854381172391E-2</v>
      </c>
      <c r="M11" s="133">
        <f>K39</f>
        <v>0.64780000000000004</v>
      </c>
      <c r="N11" s="133">
        <f>L39</f>
        <v>0.64780000000000004</v>
      </c>
      <c r="O11" s="133">
        <f>M39</f>
        <v>0.35709673071955605</v>
      </c>
      <c r="P11" s="133">
        <f>N39</f>
        <v>0.35709673071955605</v>
      </c>
      <c r="Q11" s="120"/>
      <c r="R11" s="120"/>
      <c r="S11" s="120"/>
    </row>
    <row r="12" spans="1:19" x14ac:dyDescent="0.45">
      <c r="A12" s="120" t="str">
        <f>A40</f>
        <v>The Trade Desk</v>
      </c>
      <c r="B12" s="120" t="str">
        <f>B40</f>
        <v>TTD</v>
      </c>
      <c r="C12" s="130">
        <f>C40</f>
        <v>5697.2400000000007</v>
      </c>
      <c r="D12" s="130">
        <f>G40</f>
        <v>4211.9070000000011</v>
      </c>
      <c r="E12" s="131">
        <f>$D12/I40</f>
        <v>1.5316025454545459</v>
      </c>
      <c r="F12" s="131">
        <f>$D12/J40</f>
        <v>1.6075980916030539</v>
      </c>
      <c r="G12" s="131">
        <f>$D12/O40</f>
        <v>2.0909249767297555</v>
      </c>
      <c r="H12" s="131">
        <f>$D12/P40</f>
        <v>2.1946731625980256</v>
      </c>
      <c r="I12" s="131">
        <f>IF(Q40&lt;=0,"NM",$D12/Q40)</f>
        <v>3.930522202934835</v>
      </c>
      <c r="J12" s="131">
        <f>IF(R40&lt;=0,"NM",$D12/R40)</f>
        <v>4.1255481137674792</v>
      </c>
      <c r="K12" s="132">
        <f>I40/H40-1</f>
        <v>-5.0507477857834382E-2</v>
      </c>
      <c r="L12" s="132">
        <f>J40/I40-1</f>
        <v>-4.7272727272727244E-2</v>
      </c>
      <c r="M12" s="133">
        <f>K40</f>
        <v>0.73250000000000004</v>
      </c>
      <c r="N12" s="133">
        <f>L40</f>
        <v>0.73250000000000004</v>
      </c>
      <c r="O12" s="133">
        <f>M40</f>
        <v>0.38966897179996379</v>
      </c>
      <c r="P12" s="133">
        <f>N40</f>
        <v>0.38966897179996379</v>
      </c>
      <c r="Q12" s="120"/>
      <c r="R12" s="120"/>
      <c r="S12" s="120"/>
    </row>
    <row r="13" spans="1:19" x14ac:dyDescent="0.45">
      <c r="A13" s="120" t="str">
        <f>A41</f>
        <v>Criteo</v>
      </c>
      <c r="B13" s="120" t="str">
        <f>B41</f>
        <v>CRTO</v>
      </c>
      <c r="C13" s="130">
        <f>C41</f>
        <v>767.09</v>
      </c>
      <c r="D13" s="130">
        <f>G41</f>
        <v>510.27499999999998</v>
      </c>
      <c r="E13" s="131">
        <f>$D13/I41</f>
        <v>0.48597619047619045</v>
      </c>
      <c r="F13" s="131">
        <f>$D13/J41</f>
        <v>0.47247685185185184</v>
      </c>
      <c r="G13" s="131">
        <f>$D13/O41</f>
        <v>0.54690555668550767</v>
      </c>
      <c r="H13" s="131">
        <f>$D13/P41</f>
        <v>0.53171373566646574</v>
      </c>
      <c r="I13" s="131">
        <f>IF(Q41&lt;=0,"NM",$D13/Q41)</f>
        <v>1.5032535379784737</v>
      </c>
      <c r="J13" s="131">
        <f>IF(R41&lt;=0,"NM",$D13/R41)</f>
        <v>1.4614964952568494</v>
      </c>
      <c r="K13" s="132">
        <f>I41/H41-1</f>
        <v>-0.1060786650774731</v>
      </c>
      <c r="L13" s="132">
        <f>J41/I41-1</f>
        <v>2.857142857142847E-2</v>
      </c>
      <c r="M13" s="133">
        <f>K41</f>
        <v>0.88859252669039157</v>
      </c>
      <c r="N13" s="133">
        <f>L41</f>
        <v>0.88859252669039157</v>
      </c>
      <c r="O13" s="133">
        <f>M41</f>
        <v>0.32328291814946625</v>
      </c>
      <c r="P13" s="133">
        <f>N41</f>
        <v>0.32328291814946625</v>
      </c>
      <c r="Q13" s="120"/>
      <c r="R13" s="120"/>
      <c r="S13" s="120"/>
    </row>
    <row r="14" spans="1:19" x14ac:dyDescent="0.45">
      <c r="A14" s="120" t="str">
        <f>A42</f>
        <v>Viant Technology</v>
      </c>
      <c r="B14" s="120" t="str">
        <f>B42</f>
        <v>DSP</v>
      </c>
      <c r="C14" s="130">
        <f>C42</f>
        <v>789.72</v>
      </c>
      <c r="D14" s="130">
        <f>G42</f>
        <v>618.80999999999995</v>
      </c>
      <c r="E14" s="131">
        <f>$D14/I42</f>
        <v>1.3981563071917575</v>
      </c>
      <c r="F14" s="131">
        <f>$D14/J42</f>
        <v>1.1609290283848939</v>
      </c>
      <c r="G14" s="131">
        <f>$D14/O42</f>
        <v>3.1383979959410944</v>
      </c>
      <c r="H14" s="131">
        <f>$D14/P42</f>
        <v>2.60590129828259</v>
      </c>
      <c r="I14" s="131">
        <f>IF(Q42&lt;=0,"NM",$D14/Q42)</f>
        <v>10.280561082292335</v>
      </c>
      <c r="J14" s="131">
        <f>IF(R42&lt;=0,"NM",$D14/R42)</f>
        <v>8.5362428557712775</v>
      </c>
      <c r="K14" s="132">
        <f>I42/H42-1</f>
        <v>0.285851249273678</v>
      </c>
      <c r="L14" s="132">
        <f>J42/I42-1</f>
        <v>0.20434261958019828</v>
      </c>
      <c r="M14" s="133">
        <f>K42</f>
        <v>0.44550000000000001</v>
      </c>
      <c r="N14" s="133">
        <f>L42</f>
        <v>0.44550000000000001</v>
      </c>
      <c r="O14" s="133">
        <f>M42</f>
        <v>0.13600000000000001</v>
      </c>
      <c r="P14" s="133">
        <f>N42</f>
        <v>0.13600000000000001</v>
      </c>
      <c r="Q14" s="120"/>
      <c r="R14" s="120"/>
      <c r="S14" s="120"/>
    </row>
    <row r="15" spans="1:19" x14ac:dyDescent="0.45">
      <c r="A15" s="129" t="s">
        <v>666</v>
      </c>
      <c r="B15" s="129"/>
      <c r="C15" s="134"/>
      <c r="D15" s="134"/>
      <c r="E15" s="135">
        <f>MEDIAN(E11:E14)</f>
        <v>1.4648794263231517</v>
      </c>
      <c r="F15" s="135">
        <f>MEDIAN(F11:F14)</f>
        <v>1.3842635599939739</v>
      </c>
      <c r="G15" s="135">
        <f>MEDIAN(G11:G14)</f>
        <v>2.6146614863354252</v>
      </c>
      <c r="H15" s="135">
        <f>MEDIAN(H11:H14)</f>
        <v>2.4002872304403078</v>
      </c>
      <c r="I15" s="135">
        <f>MEDIAN(I11:I14)</f>
        <v>7.1055416426135851</v>
      </c>
      <c r="J15" s="135">
        <f>MEDIAN(J11:J14)</f>
        <v>6.3308954847693784</v>
      </c>
      <c r="K15" s="136">
        <f>MEDIAN(K11:K14)</f>
        <v>8.0048926279145394E-3</v>
      </c>
      <c r="L15" s="136">
        <f>MEDIAN(L11:L14)</f>
        <v>6.344914147630043E-2</v>
      </c>
      <c r="M15" s="137">
        <f>MEDIAN(M11:M14)</f>
        <v>0.69015000000000004</v>
      </c>
      <c r="N15" s="137">
        <f>MEDIAN(N11:N14)</f>
        <v>0.69015000000000004</v>
      </c>
      <c r="O15" s="137">
        <f>MEDIAN(O11:O14)</f>
        <v>0.34018982443451118</v>
      </c>
      <c r="P15" s="137">
        <f>MEDIAN(P11:P14)</f>
        <v>0.34018982443451118</v>
      </c>
      <c r="Q15" s="120"/>
      <c r="R15" s="120"/>
      <c r="S15" s="120"/>
    </row>
    <row r="16" spans="1:19" x14ac:dyDescent="0.45">
      <c r="A16" s="129" t="s">
        <v>667</v>
      </c>
      <c r="B16" s="129"/>
      <c r="C16" s="134"/>
      <c r="D16" s="134"/>
      <c r="E16" s="135">
        <f>AVERAGE(E11:E14)</f>
        <v>2.0275656293454478</v>
      </c>
      <c r="F16" s="135">
        <f>AVERAGE(F11:F14)</f>
        <v>1.8788143845252785</v>
      </c>
      <c r="G16" s="135">
        <f>AVERAGE(G11:G14)</f>
        <v>3.2557765960081606</v>
      </c>
      <c r="H16" s="135">
        <f>AVERAGE(H11:H14)</f>
        <v>2.9825987418896709</v>
      </c>
      <c r="I16" s="135">
        <f>AVERAGE(I11:I14)</f>
        <v>7.2151779144582662</v>
      </c>
      <c r="J16" s="135">
        <f>AVERAGE(J11:J14)</f>
        <v>6.5231858383141175</v>
      </c>
      <c r="K16" s="136">
        <f>AVERAGE(K11:K14)</f>
        <v>4.8945592363008494E-2</v>
      </c>
      <c r="L16" s="136">
        <f>AVERAGE(L11:L14)</f>
        <v>7.0992043815017974E-2</v>
      </c>
      <c r="M16" s="137">
        <f>AVERAGE(M11:M14)</f>
        <v>0.67859813167259797</v>
      </c>
      <c r="N16" s="137">
        <f>AVERAGE(N11:N14)</f>
        <v>0.67859813167259797</v>
      </c>
      <c r="O16" s="137">
        <f>AVERAGE(O11:O14)</f>
        <v>0.3015121551672465</v>
      </c>
      <c r="P16" s="137">
        <f>AVERAGE(P11:P14)</f>
        <v>0.3015121551672465</v>
      </c>
      <c r="Q16" s="120"/>
      <c r="R16" s="120"/>
      <c r="S16" s="120"/>
    </row>
    <row r="17" spans="1:19" x14ac:dyDescent="0.45">
      <c r="A17" s="120"/>
      <c r="B17" s="120"/>
      <c r="C17" s="120"/>
      <c r="D17" s="120"/>
      <c r="E17" s="120"/>
      <c r="F17" s="120"/>
      <c r="G17" s="120"/>
      <c r="H17" s="120"/>
      <c r="I17" s="120"/>
      <c r="J17" s="120"/>
      <c r="K17" s="120"/>
      <c r="L17" s="120"/>
      <c r="M17" s="120"/>
      <c r="N17" s="120"/>
      <c r="O17" s="120"/>
      <c r="P17" s="120"/>
      <c r="Q17" s="120"/>
      <c r="R17" s="120"/>
      <c r="S17" s="120"/>
    </row>
    <row r="18" spans="1:19" x14ac:dyDescent="0.45">
      <c r="A18" s="128" t="s">
        <v>663</v>
      </c>
      <c r="B18" s="128"/>
      <c r="C18" s="128"/>
      <c r="D18" s="128"/>
      <c r="E18" s="128"/>
      <c r="F18" s="128"/>
      <c r="G18" s="128"/>
      <c r="H18" s="128"/>
      <c r="I18" s="128"/>
      <c r="J18" s="128"/>
      <c r="K18" s="128"/>
      <c r="L18" s="128"/>
      <c r="M18" s="128"/>
      <c r="N18" s="128"/>
      <c r="O18" s="128"/>
      <c r="P18" s="128"/>
      <c r="Q18" s="120"/>
      <c r="R18" s="120"/>
      <c r="S18" s="120"/>
    </row>
    <row r="19" spans="1:19" x14ac:dyDescent="0.45">
      <c r="A19" s="120" t="str">
        <f>A43</f>
        <v>AppLovin</v>
      </c>
      <c r="B19" s="120" t="str">
        <f>B43</f>
        <v>APP</v>
      </c>
      <c r="C19" s="130">
        <f>C43</f>
        <v>102289.11900000001</v>
      </c>
      <c r="D19" s="130">
        <f>G43</f>
        <v>102750.88500000001</v>
      </c>
      <c r="E19" s="131">
        <f>$D19/I43</f>
        <v>12.685294444444446</v>
      </c>
      <c r="F19" s="131">
        <f>$D19/J43</f>
        <v>10.024476585365855</v>
      </c>
      <c r="G19" s="131">
        <f>$D19/O43</f>
        <v>14.374271325149513</v>
      </c>
      <c r="H19" s="131">
        <f>$D19/P43</f>
        <v>11.359180266703518</v>
      </c>
      <c r="I19" s="131">
        <f>IF(Q43&lt;=0,"NM",$D19/Q43)</f>
        <v>15.126298981176641</v>
      </c>
      <c r="J19" s="131">
        <f>IF(R43&lt;=0,"NM",$D19/R43)</f>
        <v>11.953465536344469</v>
      </c>
      <c r="K19" s="132">
        <f>I43/H43-1</f>
        <v>0.47790882105388777</v>
      </c>
      <c r="L19" s="132">
        <f>J43/I43-1</f>
        <v>0.26543209876543217</v>
      </c>
      <c r="M19" s="133">
        <f>K43</f>
        <v>0.88249999999999995</v>
      </c>
      <c r="N19" s="133">
        <f>L43</f>
        <v>0.88249999999999995</v>
      </c>
      <c r="O19" s="133">
        <f>M43</f>
        <v>0.83862512966523983</v>
      </c>
      <c r="P19" s="133">
        <f>N43</f>
        <v>0.83862512966523983</v>
      </c>
      <c r="Q19" s="120"/>
      <c r="R19" s="120"/>
      <c r="S19" s="120"/>
    </row>
    <row r="20" spans="1:19" x14ac:dyDescent="0.45">
      <c r="A20" s="120" t="str">
        <f>A44</f>
        <v>Digital Turbine</v>
      </c>
      <c r="B20" s="120" t="str">
        <f>B44</f>
        <v>APPS</v>
      </c>
      <c r="C20" s="130">
        <f>C44</f>
        <v>1410</v>
      </c>
      <c r="D20" s="130">
        <f>G44</f>
        <v>1723.1599999999999</v>
      </c>
      <c r="E20" s="131">
        <f>$D20/I44</f>
        <v>2.5955504676979619</v>
      </c>
      <c r="F20" s="131">
        <f>$D20/J44</f>
        <v>2.3372804340454389</v>
      </c>
      <c r="G20" s="131">
        <f>$D20/O44</f>
        <v>5.2382451416709621</v>
      </c>
      <c r="H20" s="131">
        <f>$D20/P44</f>
        <v>4.7170139940372131</v>
      </c>
      <c r="I20" s="131">
        <f>IF(Q44&lt;=0,"NM",$D20/Q44)</f>
        <v>11.487733333333333</v>
      </c>
      <c r="J20" s="131">
        <f>IF(R44&lt;=0,"NM",$D20/R44)</f>
        <v>10.34464738238951</v>
      </c>
      <c r="K20" s="132">
        <f>I44/H44-1</f>
        <v>0.17450685537372834</v>
      </c>
      <c r="L20" s="132">
        <f>J44/I44-1</f>
        <v>0.11050023347241256</v>
      </c>
      <c r="M20" s="133">
        <f>K44</f>
        <v>0.4955</v>
      </c>
      <c r="N20" s="133">
        <f>L44</f>
        <v>0.4955</v>
      </c>
      <c r="O20" s="133">
        <f>M44</f>
        <v>0.22594104445013483</v>
      </c>
      <c r="P20" s="133">
        <f>N44</f>
        <v>0.22594104445013483</v>
      </c>
      <c r="Q20" s="120"/>
      <c r="R20" s="120"/>
      <c r="S20" s="120"/>
    </row>
    <row r="21" spans="1:19" x14ac:dyDescent="0.45">
      <c r="A21" s="120" t="str">
        <f>A45</f>
        <v>Perion Network</v>
      </c>
      <c r="B21" s="120" t="str">
        <f>B45</f>
        <v>PERI</v>
      </c>
      <c r="C21" s="130">
        <f>C45</f>
        <v>337.85</v>
      </c>
      <c r="D21" s="130">
        <f>G45</f>
        <v>92.120000000000061</v>
      </c>
      <c r="E21" s="131">
        <f>$D21/I45</f>
        <v>0.19801809935298051</v>
      </c>
      <c r="F21" s="131">
        <f>$D21/J45</f>
        <v>0.17948368241597673</v>
      </c>
      <c r="G21" s="131">
        <f>$D21/O45</f>
        <v>0.58257752089726544</v>
      </c>
      <c r="H21" s="131">
        <f>$D21/P45</f>
        <v>0.52804849195638948</v>
      </c>
      <c r="I21" s="131">
        <f>IF(Q45&lt;=0,"NM",$D21/Q45)</f>
        <v>1.7715384615384626</v>
      </c>
      <c r="J21" s="131">
        <f>IF(R45&lt;=0,"NM",$D21/R45)</f>
        <v>1.6057231518603181</v>
      </c>
      <c r="K21" s="132">
        <f>I45/H45-1</f>
        <v>5.7463687404814445E-2</v>
      </c>
      <c r="L21" s="132">
        <f>J45/I45-1</f>
        <v>0.10326519206379925</v>
      </c>
      <c r="M21" s="133">
        <f>K45</f>
        <v>0.33989999999999998</v>
      </c>
      <c r="N21" s="133">
        <f>L45</f>
        <v>0.33989999999999998</v>
      </c>
      <c r="O21" s="133">
        <f>M45</f>
        <v>0.11177747683841706</v>
      </c>
      <c r="P21" s="133">
        <f>N45</f>
        <v>0.11177747683841706</v>
      </c>
      <c r="Q21" s="120"/>
      <c r="R21" s="120"/>
      <c r="S21" s="120"/>
    </row>
    <row r="22" spans="1:19" x14ac:dyDescent="0.45">
      <c r="A22" s="129" t="s">
        <v>666</v>
      </c>
      <c r="B22" s="129"/>
      <c r="C22" s="134"/>
      <c r="D22" s="134"/>
      <c r="E22" s="135">
        <f>MEDIAN(E19:E21)</f>
        <v>2.5955504676979619</v>
      </c>
      <c r="F22" s="135">
        <f>MEDIAN(F19:F21)</f>
        <v>2.3372804340454389</v>
      </c>
      <c r="G22" s="135">
        <f>MEDIAN(G19:G21)</f>
        <v>5.2382451416709621</v>
      </c>
      <c r="H22" s="135">
        <f>MEDIAN(H19:H21)</f>
        <v>4.7170139940372131</v>
      </c>
      <c r="I22" s="135">
        <f>MEDIAN(I19:I21)</f>
        <v>11.487733333333333</v>
      </c>
      <c r="J22" s="135">
        <f>MEDIAN(J19:J21)</f>
        <v>10.34464738238951</v>
      </c>
      <c r="K22" s="136">
        <f>MEDIAN(K19:K21)</f>
        <v>0.17450685537372834</v>
      </c>
      <c r="L22" s="136">
        <f>MEDIAN(L19:L21)</f>
        <v>0.11050023347241256</v>
      </c>
      <c r="M22" s="137">
        <f>MEDIAN(M19:M21)</f>
        <v>0.4955</v>
      </c>
      <c r="N22" s="137">
        <f>MEDIAN(N19:N21)</f>
        <v>0.4955</v>
      </c>
      <c r="O22" s="137">
        <f>MEDIAN(O19:O21)</f>
        <v>0.22594104445013483</v>
      </c>
      <c r="P22" s="137">
        <f>MEDIAN(P19:P21)</f>
        <v>0.22594104445013483</v>
      </c>
      <c r="Q22" s="120"/>
      <c r="R22" s="120"/>
      <c r="S22" s="120"/>
    </row>
    <row r="23" spans="1:19" x14ac:dyDescent="0.45">
      <c r="A23" s="129" t="s">
        <v>667</v>
      </c>
      <c r="B23" s="129"/>
      <c r="C23" s="134"/>
      <c r="D23" s="134"/>
      <c r="E23" s="135">
        <f>AVERAGE(E19:E21)</f>
        <v>5.1596210038317958</v>
      </c>
      <c r="F23" s="135">
        <f>AVERAGE(F19:F21)</f>
        <v>4.1804135672757576</v>
      </c>
      <c r="G23" s="135">
        <f>AVERAGE(G19:G21)</f>
        <v>6.7316979959059138</v>
      </c>
      <c r="H23" s="135">
        <f>AVERAGE(H19:H21)</f>
        <v>5.5347475842323739</v>
      </c>
      <c r="I23" s="135">
        <f>AVERAGE(I19:I21)</f>
        <v>9.461856925349478</v>
      </c>
      <c r="J23" s="135">
        <f>AVERAGE(J19:J21)</f>
        <v>7.9679453568647647</v>
      </c>
      <c r="K23" s="136">
        <f>AVERAGE(K19:K21)</f>
        <v>0.23662645461081019</v>
      </c>
      <c r="L23" s="136">
        <f>AVERAGE(L19:L21)</f>
        <v>0.15973250810054798</v>
      </c>
      <c r="M23" s="137">
        <f>AVERAGE(M19:M21)</f>
        <v>0.57263333333333322</v>
      </c>
      <c r="N23" s="137">
        <f>AVERAGE(N19:N21)</f>
        <v>0.57263333333333322</v>
      </c>
      <c r="O23" s="137">
        <f>AVERAGE(O19:O21)</f>
        <v>0.39211455031793058</v>
      </c>
      <c r="P23" s="137">
        <f>AVERAGE(P19:P21)</f>
        <v>0.39211455031793058</v>
      </c>
      <c r="Q23" s="120"/>
      <c r="R23" s="120"/>
      <c r="S23" s="120"/>
    </row>
    <row r="24" spans="1:19" x14ac:dyDescent="0.45">
      <c r="A24" s="120"/>
      <c r="B24" s="120"/>
      <c r="C24" s="120"/>
      <c r="D24" s="120"/>
      <c r="E24" s="120"/>
      <c r="F24" s="120"/>
      <c r="G24" s="120"/>
      <c r="H24" s="120"/>
      <c r="I24" s="120"/>
      <c r="J24" s="120"/>
      <c r="K24" s="120"/>
      <c r="L24" s="120"/>
      <c r="M24" s="120"/>
      <c r="N24" s="120"/>
      <c r="O24" s="120"/>
      <c r="P24" s="120"/>
      <c r="Q24" s="120"/>
      <c r="R24" s="120"/>
      <c r="S24" s="120"/>
    </row>
    <row r="25" spans="1:19" x14ac:dyDescent="0.45">
      <c r="A25" s="128" t="s">
        <v>664</v>
      </c>
      <c r="B25" s="128"/>
      <c r="C25" s="128"/>
      <c r="D25" s="128"/>
      <c r="E25" s="128"/>
      <c r="F25" s="128"/>
      <c r="G25" s="128"/>
      <c r="H25" s="128"/>
      <c r="I25" s="128"/>
      <c r="J25" s="128"/>
      <c r="K25" s="128"/>
      <c r="L25" s="128"/>
      <c r="M25" s="128"/>
      <c r="N25" s="128"/>
      <c r="O25" s="128"/>
      <c r="P25" s="128"/>
      <c r="Q25" s="120"/>
      <c r="R25" s="120"/>
      <c r="S25" s="120"/>
    </row>
    <row r="26" spans="1:19" x14ac:dyDescent="0.45">
      <c r="A26" s="129" t="s">
        <v>666</v>
      </c>
      <c r="B26" s="129"/>
      <c r="C26" s="134"/>
      <c r="D26" s="134"/>
      <c r="E26" s="135">
        <f>MEDIAN(E11:E14,E19:E21)</f>
        <v>1.5316025454545459</v>
      </c>
      <c r="F26" s="135">
        <f>MEDIAN(F11:F14,F19:F21)</f>
        <v>1.6075980916030539</v>
      </c>
      <c r="G26" s="135">
        <f>MEDIAN(G11:G14,G19:G21)</f>
        <v>3.1383979959410944</v>
      </c>
      <c r="H26" s="135">
        <f>MEDIAN(H11:H14,H19:H21)</f>
        <v>2.60590129828259</v>
      </c>
      <c r="I26" s="135">
        <f>MEDIAN(I11:I14,I19:I21)</f>
        <v>10.280561082292335</v>
      </c>
      <c r="J26" s="135">
        <f>MEDIAN(J11:J14,J19:J21)</f>
        <v>8.5362428557712775</v>
      </c>
      <c r="K26" s="136">
        <f>MEDIAN(K11:K14,K19:K21)</f>
        <v>6.6517263113663461E-2</v>
      </c>
      <c r="L26" s="136">
        <f>MEDIAN(L11:L14,L19:L21)</f>
        <v>0.10326519206379925</v>
      </c>
      <c r="M26" s="137">
        <f>MEDIAN(M11:M14,M19:M21)</f>
        <v>0.64780000000000004</v>
      </c>
      <c r="N26" s="137">
        <f>MEDIAN(N11:N14,N19:N21)</f>
        <v>0.64780000000000004</v>
      </c>
      <c r="O26" s="137">
        <f>MEDIAN(O11:O14,O19:O21)</f>
        <v>0.32328291814946625</v>
      </c>
      <c r="P26" s="137">
        <f>MEDIAN(P11:P14,P19:P21)</f>
        <v>0.32328291814946625</v>
      </c>
      <c r="Q26" s="120"/>
      <c r="R26" s="120"/>
      <c r="S26" s="120"/>
    </row>
    <row r="27" spans="1:19" x14ac:dyDescent="0.45">
      <c r="A27" s="129" t="s">
        <v>667</v>
      </c>
      <c r="B27" s="129"/>
      <c r="C27" s="134"/>
      <c r="D27" s="134"/>
      <c r="E27" s="135">
        <f>AVERAGE(E11:E14,E19:E21)</f>
        <v>3.3698750755538827</v>
      </c>
      <c r="F27" s="135">
        <f>AVERAGE(F11:F14,F19:F21)</f>
        <v>2.8652140342754842</v>
      </c>
      <c r="G27" s="135">
        <f>AVERAGE(G11:G14,G19:G21)</f>
        <v>4.7454571959643408</v>
      </c>
      <c r="H27" s="135">
        <f>AVERAGE(H11:H14,H19:H21)</f>
        <v>4.0763768171794004</v>
      </c>
      <c r="I27" s="135">
        <f>AVERAGE(I11:I14,I19:I21)</f>
        <v>8.1780403476973564</v>
      </c>
      <c r="J27" s="135">
        <f>AVERAGE(J11:J14,J19:J21)</f>
        <v>7.1423684891215382</v>
      </c>
      <c r="K27" s="136">
        <f>AVERAGE(K11:K14,K19:K21)</f>
        <v>0.12938024761206637</v>
      </c>
      <c r="L27" s="136">
        <f>AVERAGE(L11:L14,L19:L21)</f>
        <v>0.1090236713659594</v>
      </c>
      <c r="M27" s="137">
        <f>AVERAGE(M11:M14,M19:M21)</f>
        <v>0.63318464667005603</v>
      </c>
      <c r="N27" s="137">
        <f>AVERAGE(N11:N14,N19:N21)</f>
        <v>0.63318464667005603</v>
      </c>
      <c r="O27" s="137">
        <f>AVERAGE(O11:O14,O19:O21)</f>
        <v>0.34034175308896825</v>
      </c>
      <c r="P27" s="137">
        <f>AVERAGE(P11:P14,P19:P21)</f>
        <v>0.34034175308896825</v>
      </c>
      <c r="Q27" s="120"/>
      <c r="R27" s="120"/>
      <c r="S27" s="120"/>
    </row>
    <row r="28" spans="1:19" x14ac:dyDescent="0.45">
      <c r="A28" s="120"/>
      <c r="B28" s="120"/>
      <c r="C28" s="120"/>
      <c r="D28" s="120"/>
      <c r="E28" s="120"/>
      <c r="F28" s="120"/>
      <c r="G28" s="120"/>
      <c r="H28" s="120"/>
      <c r="I28" s="120"/>
      <c r="J28" s="120"/>
      <c r="K28" s="120"/>
      <c r="L28" s="120"/>
      <c r="M28" s="120"/>
      <c r="N28" s="120"/>
      <c r="O28" s="120"/>
      <c r="P28" s="120"/>
      <c r="Q28" s="120"/>
      <c r="R28" s="120"/>
      <c r="S28" s="120"/>
    </row>
    <row r="29" spans="1:19" x14ac:dyDescent="0.45">
      <c r="A29" s="128" t="s">
        <v>665</v>
      </c>
      <c r="B29" s="128"/>
      <c r="C29" s="128"/>
      <c r="D29" s="128"/>
      <c r="E29" s="128"/>
      <c r="F29" s="128"/>
      <c r="G29" s="128"/>
      <c r="H29" s="128"/>
      <c r="I29" s="128"/>
      <c r="J29" s="128"/>
      <c r="K29" s="128"/>
      <c r="L29" s="128"/>
      <c r="M29" s="128"/>
      <c r="N29" s="128"/>
      <c r="O29" s="128"/>
      <c r="P29" s="128"/>
      <c r="Q29" s="120"/>
      <c r="R29" s="120"/>
      <c r="S29" s="120"/>
    </row>
    <row r="30" spans="1:19" x14ac:dyDescent="0.45">
      <c r="A30" s="121" t="str">
        <f>A46</f>
        <v>DoubleVerify (memo)</v>
      </c>
      <c r="B30" s="121" t="str">
        <f>B46</f>
        <v>DV</v>
      </c>
      <c r="C30" s="138">
        <f>C46</f>
        <v>2090</v>
      </c>
      <c r="D30" s="138">
        <f>G46</f>
        <v>1991.6599999999999</v>
      </c>
      <c r="E30" s="139">
        <f>$D30/I46</f>
        <v>2.4694489907255863</v>
      </c>
      <c r="F30" s="139">
        <f>$D30/J46</f>
        <v>2.2794131111518037</v>
      </c>
      <c r="G30" s="139">
        <f>$D30/O46</f>
        <v>3.0082214529486979</v>
      </c>
      <c r="H30" s="139">
        <f>$D30/P46</f>
        <v>2.7767244623605842</v>
      </c>
      <c r="I30" s="139">
        <f>IF(Q46&lt;=0,"NM",$D30/Q46)</f>
        <v>7.2630852668399584</v>
      </c>
      <c r="J30" s="139">
        <f>IF(R46&lt;=0,"NM",$D30/R46)</f>
        <v>6.7041562092700095</v>
      </c>
      <c r="K30" s="140">
        <f>I46/H46-1</f>
        <v>7.7817423726095569E-2</v>
      </c>
      <c r="L30" s="140">
        <f>J46/I46-1</f>
        <v>8.3370530179040836E-2</v>
      </c>
      <c r="M30" s="141">
        <f>K46</f>
        <v>0.82089999999999996</v>
      </c>
      <c r="N30" s="141">
        <f>L46</f>
        <v>0.82089999999999996</v>
      </c>
      <c r="O30" s="141">
        <f>M46</f>
        <v>0.34</v>
      </c>
      <c r="P30" s="141">
        <f>N46</f>
        <v>0.34</v>
      </c>
      <c r="Q30" s="120"/>
      <c r="R30" s="120"/>
      <c r="S30" s="120"/>
    </row>
    <row r="31" spans="1:19" x14ac:dyDescent="0.45">
      <c r="A31" s="120"/>
      <c r="B31" s="120"/>
      <c r="C31" s="120"/>
      <c r="D31" s="120"/>
      <c r="E31" s="120"/>
      <c r="F31" s="120"/>
      <c r="G31" s="120"/>
      <c r="H31" s="120"/>
      <c r="I31" s="120"/>
      <c r="J31" s="120"/>
      <c r="K31" s="120"/>
      <c r="L31" s="120"/>
      <c r="M31" s="120"/>
      <c r="N31" s="120"/>
      <c r="O31" s="120"/>
      <c r="P31" s="120"/>
      <c r="Q31" s="120"/>
      <c r="R31" s="120"/>
      <c r="S31" s="120"/>
    </row>
    <row r="32" spans="1:19" x14ac:dyDescent="0.45">
      <c r="A32" s="52" t="s">
        <v>668</v>
      </c>
      <c r="B32" s="120"/>
      <c r="C32" s="120"/>
      <c r="D32" s="120"/>
      <c r="E32" s="120"/>
      <c r="F32" s="120"/>
      <c r="G32" s="120"/>
      <c r="H32" s="120"/>
      <c r="I32" s="120"/>
      <c r="J32" s="120"/>
      <c r="K32" s="120"/>
      <c r="L32" s="120"/>
      <c r="M32" s="120"/>
      <c r="N32" s="120"/>
      <c r="O32" s="120"/>
      <c r="P32" s="120"/>
      <c r="Q32" s="120"/>
      <c r="R32" s="120"/>
      <c r="S32" s="120"/>
    </row>
    <row r="33" spans="1:19" x14ac:dyDescent="0.45">
      <c r="A33" s="52" t="s">
        <v>669</v>
      </c>
      <c r="B33" s="120"/>
      <c r="C33" s="120"/>
      <c r="D33" s="120"/>
      <c r="E33" s="120"/>
      <c r="F33" s="120"/>
      <c r="G33" s="120"/>
      <c r="H33" s="120"/>
      <c r="I33" s="120"/>
      <c r="J33" s="120"/>
      <c r="K33" s="120"/>
      <c r="L33" s="120"/>
      <c r="M33" s="120"/>
      <c r="N33" s="120"/>
      <c r="O33" s="120"/>
      <c r="P33" s="120"/>
      <c r="Q33" s="120"/>
      <c r="R33" s="120"/>
      <c r="S33" s="120"/>
    </row>
    <row r="34" spans="1:19" x14ac:dyDescent="0.45">
      <c r="A34" s="120"/>
      <c r="B34" s="120"/>
      <c r="C34" s="120"/>
      <c r="D34" s="120"/>
      <c r="E34" s="120"/>
      <c r="F34" s="120"/>
      <c r="G34" s="120"/>
      <c r="H34" s="120"/>
      <c r="I34" s="120"/>
      <c r="J34" s="120"/>
      <c r="K34" s="120"/>
      <c r="L34" s="120"/>
      <c r="M34" s="120"/>
      <c r="N34" s="120"/>
      <c r="O34" s="120"/>
      <c r="P34" s="120"/>
      <c r="Q34" s="120"/>
      <c r="R34" s="120"/>
      <c r="S34" s="120"/>
    </row>
    <row r="35" spans="1:19" x14ac:dyDescent="0.45">
      <c r="A35" s="128" t="s">
        <v>624</v>
      </c>
      <c r="B35" s="128"/>
      <c r="C35" s="128"/>
      <c r="D35" s="128"/>
      <c r="E35" s="128"/>
      <c r="F35" s="128"/>
      <c r="G35" s="128"/>
      <c r="H35" s="128"/>
      <c r="I35" s="128"/>
      <c r="J35" s="128"/>
      <c r="K35" s="128"/>
      <c r="L35" s="128"/>
      <c r="M35" s="128"/>
      <c r="N35" s="128"/>
      <c r="O35" s="128"/>
      <c r="P35" s="128"/>
      <c r="Q35" s="128"/>
      <c r="R35" s="128"/>
      <c r="S35" s="128"/>
    </row>
    <row r="36" spans="1:19" ht="40.049999999999997" customHeight="1" x14ac:dyDescent="0.45">
      <c r="A36" s="127" t="s">
        <v>612</v>
      </c>
      <c r="B36" s="127" t="s">
        <v>613</v>
      </c>
      <c r="C36" s="127" t="s">
        <v>625</v>
      </c>
      <c r="D36" s="127" t="s">
        <v>548</v>
      </c>
      <c r="E36" s="127" t="s">
        <v>626</v>
      </c>
      <c r="F36" s="127" t="s">
        <v>627</v>
      </c>
      <c r="G36" s="127" t="s">
        <v>442</v>
      </c>
      <c r="H36" s="127" t="s">
        <v>628</v>
      </c>
      <c r="I36" s="127" t="s">
        <v>629</v>
      </c>
      <c r="J36" s="127" t="s">
        <v>630</v>
      </c>
      <c r="K36" s="127" t="s">
        <v>631</v>
      </c>
      <c r="L36" s="127" t="s">
        <v>632</v>
      </c>
      <c r="M36" s="127" t="s">
        <v>633</v>
      </c>
      <c r="N36" s="127" t="s">
        <v>634</v>
      </c>
      <c r="O36" s="127" t="s">
        <v>635</v>
      </c>
      <c r="P36" s="127" t="s">
        <v>636</v>
      </c>
      <c r="Q36" s="127" t="s">
        <v>637</v>
      </c>
      <c r="R36" s="127" t="s">
        <v>638</v>
      </c>
      <c r="S36" s="127" t="s">
        <v>639</v>
      </c>
    </row>
    <row r="37" spans="1:19" x14ac:dyDescent="0.45">
      <c r="A37" s="120" t="s">
        <v>640</v>
      </c>
      <c r="B37" s="120" t="s">
        <v>359</v>
      </c>
      <c r="C37" s="142">
        <f>Comps!B58</f>
        <v>856.34</v>
      </c>
      <c r="D37" s="142">
        <f>Comps!B59</f>
        <v>0</v>
      </c>
      <c r="E37" s="142">
        <f>Comps!B60</f>
        <v>0</v>
      </c>
      <c r="F37" s="142">
        <f>Comps!B61</f>
        <v>137.50700000000001</v>
      </c>
      <c r="G37" s="143">
        <f>C37+D37+E37-F37</f>
        <v>718.83300000000008</v>
      </c>
      <c r="H37" s="86">
        <v>282.93</v>
      </c>
      <c r="I37" s="86">
        <v>308.52999999999997</v>
      </c>
      <c r="J37" s="86">
        <v>334.21</v>
      </c>
      <c r="K37" s="144">
        <f>204.18/I37</f>
        <v>0.66178329497941857</v>
      </c>
      <c r="L37" s="145">
        <f>K37</f>
        <v>0.66178329497941857</v>
      </c>
      <c r="M37" s="146">
        <f>Comps!B73</f>
        <v>0.21155322548294053</v>
      </c>
      <c r="N37" s="145">
        <f>M37</f>
        <v>0.21155322548294053</v>
      </c>
      <c r="O37" s="143">
        <f>I37*K37</f>
        <v>204.18</v>
      </c>
      <c r="P37" s="143">
        <f>J37*L37</f>
        <v>221.17459501507147</v>
      </c>
      <c r="Q37" s="143">
        <f>I37*M37</f>
        <v>65.270516658251637</v>
      </c>
      <c r="R37" s="143">
        <f>J37*N37</f>
        <v>70.703203488653557</v>
      </c>
      <c r="S37" s="52" t="s">
        <v>641</v>
      </c>
    </row>
    <row r="38" spans="1:19" x14ac:dyDescent="0.45">
      <c r="A38" s="120" t="s">
        <v>642</v>
      </c>
      <c r="B38" s="120" t="s">
        <v>643</v>
      </c>
      <c r="C38" s="143">
        <f>C37</f>
        <v>856.34</v>
      </c>
      <c r="D38" s="143">
        <f>D37</f>
        <v>0</v>
      </c>
      <c r="E38" s="143">
        <f>E37</f>
        <v>0</v>
      </c>
      <c r="F38" s="143">
        <f>F37</f>
        <v>137.50700000000001</v>
      </c>
      <c r="G38" s="143">
        <f>C38+D38+E38-F38</f>
        <v>718.83300000000008</v>
      </c>
      <c r="H38" s="142">
        <f>'Income Statement'!AD9/1000</f>
        <v>282.92599999999999</v>
      </c>
      <c r="I38" s="142">
        <f>'Income Statement'!AE9/1000</f>
        <v>330.47403769750031</v>
      </c>
      <c r="J38" s="142">
        <f>'Income Statement'!AF9/1000</f>
        <v>426.61697760558997</v>
      </c>
      <c r="K38" s="146">
        <f>'Income Statement'!AE11/'Income Statement'!AE9</f>
        <v>0.6333610239538181</v>
      </c>
      <c r="L38" s="146">
        <f>'Income Statement'!AF11/'Income Statement'!AF9</f>
        <v>0.64567069320412107</v>
      </c>
      <c r="M38" s="146">
        <f>'Income Statement'!AE51/'Income Statement'!AE9</f>
        <v>0.26046177292735972</v>
      </c>
      <c r="N38" s="146">
        <f>'Income Statement'!AF51/'Income Statement'!AF9</f>
        <v>0.38263684937423592</v>
      </c>
      <c r="O38" s="143">
        <f>I38*K38</f>
        <v>209.30937490624149</v>
      </c>
      <c r="P38" s="143">
        <f>J38*L38</f>
        <v>275.45407966324825</v>
      </c>
      <c r="Q38" s="143">
        <f>I38*M38</f>
        <v>86.075853765154037</v>
      </c>
      <c r="R38" s="143">
        <f>J38*N38</f>
        <v>163.23937620056191</v>
      </c>
      <c r="S38" s="52" t="s">
        <v>644</v>
      </c>
    </row>
    <row r="39" spans="1:19" x14ac:dyDescent="0.45">
      <c r="A39" s="120" t="s">
        <v>409</v>
      </c>
      <c r="B39" s="120" t="s">
        <v>360</v>
      </c>
      <c r="C39" s="142">
        <f>Comps!C58</f>
        <v>3556.8159999999998</v>
      </c>
      <c r="D39" s="142">
        <f>Comps!C59</f>
        <v>350.4</v>
      </c>
      <c r="E39" s="142">
        <f>Comps!C60</f>
        <v>0</v>
      </c>
      <c r="F39" s="142">
        <f>Comps!C61</f>
        <v>332.61500000000001</v>
      </c>
      <c r="G39" s="143">
        <f>C39+D39+E39-F39</f>
        <v>3574.6009999999997</v>
      </c>
      <c r="H39" s="86">
        <v>713.95</v>
      </c>
      <c r="I39" s="86">
        <v>761.44</v>
      </c>
      <c r="J39" s="86">
        <v>836.31</v>
      </c>
      <c r="K39" s="144">
        <v>0.64780000000000004</v>
      </c>
      <c r="L39" s="145">
        <f>K39</f>
        <v>0.64780000000000004</v>
      </c>
      <c r="M39" s="146">
        <f>Comps!C73</f>
        <v>0.35709673071955605</v>
      </c>
      <c r="N39" s="145">
        <f>M39</f>
        <v>0.35709673071955605</v>
      </c>
      <c r="O39" s="143">
        <f>I39*K39</f>
        <v>493.26083200000005</v>
      </c>
      <c r="P39" s="143">
        <f>J39*L39</f>
        <v>541.761618</v>
      </c>
      <c r="Q39" s="143">
        <f>I39*M39</f>
        <v>271.90773463909881</v>
      </c>
      <c r="R39" s="143">
        <f>J39*N39</f>
        <v>298.6435668680719</v>
      </c>
      <c r="S39" s="52" t="s">
        <v>645</v>
      </c>
    </row>
    <row r="40" spans="1:19" x14ac:dyDescent="0.45">
      <c r="A40" s="120" t="s">
        <v>412</v>
      </c>
      <c r="B40" s="120" t="s">
        <v>361</v>
      </c>
      <c r="C40" s="142">
        <f>Comps!D58</f>
        <v>5697.2400000000007</v>
      </c>
      <c r="D40" s="142">
        <f>Comps!D59</f>
        <v>0</v>
      </c>
      <c r="E40" s="142">
        <f>Comps!D60</f>
        <v>0</v>
      </c>
      <c r="F40" s="142">
        <f>Comps!D61</f>
        <v>1485.3330000000001</v>
      </c>
      <c r="G40" s="143">
        <f>C40+D40+E40-F40</f>
        <v>4211.9070000000011</v>
      </c>
      <c r="H40" s="142">
        <f>Comps!D65</f>
        <v>2896.2840000000001</v>
      </c>
      <c r="I40" s="86">
        <v>2750</v>
      </c>
      <c r="J40" s="86">
        <v>2620</v>
      </c>
      <c r="K40" s="144">
        <v>0.73250000000000004</v>
      </c>
      <c r="L40" s="145">
        <f>K40</f>
        <v>0.73250000000000004</v>
      </c>
      <c r="M40" s="146">
        <f>Comps!D73</f>
        <v>0.38966897179996379</v>
      </c>
      <c r="N40" s="145">
        <f>M40</f>
        <v>0.38966897179996379</v>
      </c>
      <c r="O40" s="143">
        <f>I40*K40</f>
        <v>2014.375</v>
      </c>
      <c r="P40" s="143">
        <f>J40*L40</f>
        <v>1919.15</v>
      </c>
      <c r="Q40" s="143">
        <f>I40*M40</f>
        <v>1071.5896724499005</v>
      </c>
      <c r="R40" s="143">
        <f>J40*N40</f>
        <v>1020.9327061159051</v>
      </c>
      <c r="S40" s="52" t="s">
        <v>646</v>
      </c>
    </row>
    <row r="41" spans="1:19" x14ac:dyDescent="0.45">
      <c r="A41" s="120" t="s">
        <v>415</v>
      </c>
      <c r="B41" s="120" t="s">
        <v>362</v>
      </c>
      <c r="C41" s="142">
        <f>Comps!E58</f>
        <v>767.09</v>
      </c>
      <c r="D41" s="142">
        <f>Comps!E59</f>
        <v>9.6449999999999996</v>
      </c>
      <c r="E41" s="142">
        <f>Comps!E60</f>
        <v>36.616</v>
      </c>
      <c r="F41" s="142">
        <f>Comps!E61</f>
        <v>303.07600000000002</v>
      </c>
      <c r="G41" s="143">
        <f>C41+D41+E41-F41</f>
        <v>510.27499999999998</v>
      </c>
      <c r="H41" s="142">
        <f>Comps!E65</f>
        <v>1174.5999999999999</v>
      </c>
      <c r="I41" s="86">
        <v>1050</v>
      </c>
      <c r="J41" s="86">
        <v>1080</v>
      </c>
      <c r="K41" s="146">
        <f>Comps!E84</f>
        <v>0.88859252669039157</v>
      </c>
      <c r="L41" s="145">
        <f>K41</f>
        <v>0.88859252669039157</v>
      </c>
      <c r="M41" s="146">
        <f>Comps!E73</f>
        <v>0.32328291814946625</v>
      </c>
      <c r="N41" s="145">
        <f>M41</f>
        <v>0.32328291814946625</v>
      </c>
      <c r="O41" s="143">
        <f>I41*K41</f>
        <v>933.02215302491118</v>
      </c>
      <c r="P41" s="143">
        <f>J41*L41</f>
        <v>959.67992882562294</v>
      </c>
      <c r="Q41" s="143">
        <f>I41*M41</f>
        <v>339.44706405693955</v>
      </c>
      <c r="R41" s="143">
        <f>J41*N41</f>
        <v>349.14555160142356</v>
      </c>
      <c r="S41" s="52" t="s">
        <v>647</v>
      </c>
    </row>
    <row r="42" spans="1:19" x14ac:dyDescent="0.45">
      <c r="A42" s="120" t="s">
        <v>648</v>
      </c>
      <c r="B42" s="120" t="s">
        <v>649</v>
      </c>
      <c r="C42" s="86">
        <v>789.72</v>
      </c>
      <c r="D42" s="86">
        <v>22.14</v>
      </c>
      <c r="E42" s="86">
        <v>0</v>
      </c>
      <c r="F42" s="86">
        <v>193.05</v>
      </c>
      <c r="G42" s="143">
        <f>C42+D42+E42-F42</f>
        <v>618.80999999999995</v>
      </c>
      <c r="H42" s="86">
        <v>344.2</v>
      </c>
      <c r="I42" s="86">
        <v>442.59</v>
      </c>
      <c r="J42" s="86">
        <v>533.03</v>
      </c>
      <c r="K42" s="144">
        <v>0.44550000000000001</v>
      </c>
      <c r="L42" s="145">
        <f>K42</f>
        <v>0.44550000000000001</v>
      </c>
      <c r="M42" s="144">
        <v>0.13600000000000001</v>
      </c>
      <c r="N42" s="145">
        <f>M42</f>
        <v>0.13600000000000001</v>
      </c>
      <c r="O42" s="143">
        <f>I42*K42</f>
        <v>197.173845</v>
      </c>
      <c r="P42" s="143">
        <f>J42*L42</f>
        <v>237.464865</v>
      </c>
      <c r="Q42" s="143">
        <f>I42*M42</f>
        <v>60.192239999999998</v>
      </c>
      <c r="R42" s="143">
        <f>J42*N42</f>
        <v>72.492080000000001</v>
      </c>
      <c r="S42" s="52" t="s">
        <v>650</v>
      </c>
    </row>
    <row r="43" spans="1:19" x14ac:dyDescent="0.45">
      <c r="A43" s="120" t="s">
        <v>418</v>
      </c>
      <c r="B43" s="120" t="s">
        <v>363</v>
      </c>
      <c r="C43" s="142">
        <f>Comps!F58</f>
        <v>102289.11900000001</v>
      </c>
      <c r="D43" s="142">
        <f>Comps!F59</f>
        <v>3515.0720000000001</v>
      </c>
      <c r="E43" s="142">
        <f>Comps!F60</f>
        <v>0</v>
      </c>
      <c r="F43" s="142">
        <f>Comps!F61</f>
        <v>3053.306</v>
      </c>
      <c r="G43" s="143">
        <f>C43+D43+E43-F43</f>
        <v>102750.88500000001</v>
      </c>
      <c r="H43" s="142">
        <f>Comps!F65</f>
        <v>5480.7169999999996</v>
      </c>
      <c r="I43" s="86">
        <v>8100</v>
      </c>
      <c r="J43" s="86">
        <v>10250</v>
      </c>
      <c r="K43" s="144">
        <v>0.88249999999999995</v>
      </c>
      <c r="L43" s="145">
        <f>K43</f>
        <v>0.88249999999999995</v>
      </c>
      <c r="M43" s="146">
        <f>Comps!F73</f>
        <v>0.83862512966523983</v>
      </c>
      <c r="N43" s="145">
        <f>M43</f>
        <v>0.83862512966523983</v>
      </c>
      <c r="O43" s="143">
        <f>I43*K43</f>
        <v>7148.25</v>
      </c>
      <c r="P43" s="143">
        <f>J43*L43</f>
        <v>9045.625</v>
      </c>
      <c r="Q43" s="143">
        <f>I43*M43</f>
        <v>6792.8635502884426</v>
      </c>
      <c r="R43" s="143">
        <f>J43*N43</f>
        <v>8595.9075790687075</v>
      </c>
      <c r="S43" s="52" t="s">
        <v>651</v>
      </c>
    </row>
    <row r="44" spans="1:19" x14ac:dyDescent="0.45">
      <c r="A44" s="120" t="s">
        <v>652</v>
      </c>
      <c r="B44" s="120" t="s">
        <v>653</v>
      </c>
      <c r="C44" s="86">
        <v>1410</v>
      </c>
      <c r="D44" s="86">
        <v>356.09</v>
      </c>
      <c r="E44" s="86">
        <v>0</v>
      </c>
      <c r="F44" s="86">
        <v>42.93</v>
      </c>
      <c r="G44" s="143">
        <f>C44+D44+E44-F44</f>
        <v>1723.1599999999999</v>
      </c>
      <c r="H44" s="86">
        <v>565.25</v>
      </c>
      <c r="I44" s="86">
        <v>663.89</v>
      </c>
      <c r="J44" s="86">
        <v>737.25</v>
      </c>
      <c r="K44" s="144">
        <v>0.4955</v>
      </c>
      <c r="L44" s="145">
        <f>K44</f>
        <v>0.4955</v>
      </c>
      <c r="M44" s="144">
        <f>150/I44</f>
        <v>0.22594104445013483</v>
      </c>
      <c r="N44" s="145">
        <f>M44</f>
        <v>0.22594104445013483</v>
      </c>
      <c r="O44" s="143">
        <f>I44*K44</f>
        <v>328.95749499999999</v>
      </c>
      <c r="P44" s="143">
        <f>J44*L44</f>
        <v>365.30737499999998</v>
      </c>
      <c r="Q44" s="143">
        <f>I44*M44</f>
        <v>150</v>
      </c>
      <c r="R44" s="143">
        <f>J44*N44</f>
        <v>166.57503502086189</v>
      </c>
      <c r="S44" s="52" t="s">
        <v>654</v>
      </c>
    </row>
    <row r="45" spans="1:19" x14ac:dyDescent="0.45">
      <c r="A45" s="120" t="s">
        <v>655</v>
      </c>
      <c r="B45" s="120" t="s">
        <v>656</v>
      </c>
      <c r="C45" s="86">
        <v>337.85</v>
      </c>
      <c r="D45" s="86">
        <v>22.1</v>
      </c>
      <c r="E45" s="86">
        <v>0</v>
      </c>
      <c r="F45" s="86">
        <v>267.83</v>
      </c>
      <c r="G45" s="143">
        <f>C45+D45+E45-F45</f>
        <v>92.120000000000061</v>
      </c>
      <c r="H45" s="86">
        <v>439.93</v>
      </c>
      <c r="I45" s="86">
        <v>465.21</v>
      </c>
      <c r="J45" s="86">
        <v>513.25</v>
      </c>
      <c r="K45" s="144">
        <v>0.33989999999999998</v>
      </c>
      <c r="L45" s="145">
        <f>K45</f>
        <v>0.33989999999999998</v>
      </c>
      <c r="M45" s="144">
        <f>52/I45</f>
        <v>0.11177747683841706</v>
      </c>
      <c r="N45" s="145">
        <f>M45</f>
        <v>0.11177747683841706</v>
      </c>
      <c r="O45" s="143">
        <f>I45*K45</f>
        <v>158.12487899999999</v>
      </c>
      <c r="P45" s="143">
        <f>J45*L45</f>
        <v>174.45367499999998</v>
      </c>
      <c r="Q45" s="143">
        <f>I45*M45</f>
        <v>52</v>
      </c>
      <c r="R45" s="143">
        <f>J45*N45</f>
        <v>57.369789987317553</v>
      </c>
      <c r="S45" s="52" t="s">
        <v>657</v>
      </c>
    </row>
    <row r="46" spans="1:19" x14ac:dyDescent="0.45">
      <c r="A46" s="121" t="s">
        <v>658</v>
      </c>
      <c r="B46" s="121" t="s">
        <v>659</v>
      </c>
      <c r="C46" s="147">
        <v>2090</v>
      </c>
      <c r="D46" s="147">
        <v>111.83</v>
      </c>
      <c r="E46" s="147">
        <v>0</v>
      </c>
      <c r="F46" s="147">
        <v>210.17</v>
      </c>
      <c r="G46" s="148">
        <f>C46+D46+E46-F46</f>
        <v>1991.6599999999999</v>
      </c>
      <c r="H46" s="147">
        <v>748.29</v>
      </c>
      <c r="I46" s="147">
        <v>806.52</v>
      </c>
      <c r="J46" s="147">
        <v>873.76</v>
      </c>
      <c r="K46" s="149">
        <v>0.82089999999999996</v>
      </c>
      <c r="L46" s="150">
        <f>K46</f>
        <v>0.82089999999999996</v>
      </c>
      <c r="M46" s="149">
        <v>0.34</v>
      </c>
      <c r="N46" s="150">
        <f>M46</f>
        <v>0.34</v>
      </c>
      <c r="O46" s="148">
        <f>I46*K46</f>
        <v>662.07226800000001</v>
      </c>
      <c r="P46" s="148">
        <f>J46*L46</f>
        <v>717.26958400000001</v>
      </c>
      <c r="Q46" s="148">
        <f>I46*M46</f>
        <v>274.21680000000003</v>
      </c>
      <c r="R46" s="148">
        <f>J46*N46</f>
        <v>297.07840000000004</v>
      </c>
      <c r="S46" s="52" t="s">
        <v>660</v>
      </c>
    </row>
  </sheetData>
  <mergeCells count="6">
    <mergeCell ref="E4:F4"/>
    <mergeCell ref="G4:H4"/>
    <mergeCell ref="I4:J4"/>
    <mergeCell ref="K4:L4"/>
    <mergeCell ref="M4:N4"/>
    <mergeCell ref="O4:P4"/>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0"/>
  <sheetViews>
    <sheetView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8.6640625" defaultRowHeight="14.25" x14ac:dyDescent="0.45"/>
  <cols>
    <col min="1" max="1" width="46" customWidth="1"/>
    <col min="2" max="5" width="13" customWidth="1"/>
    <col min="6" max="6" width="14" customWidth="1"/>
    <col min="7" max="7" width="95" customWidth="1"/>
  </cols>
  <sheetData>
    <row r="1" spans="1:7" ht="17.25" customHeight="1" x14ac:dyDescent="0.5">
      <c r="A1" s="81" t="s">
        <v>489</v>
      </c>
    </row>
    <row r="2" spans="1:7" ht="15" customHeight="1" x14ac:dyDescent="0.45">
      <c r="A2" s="80" t="s">
        <v>490</v>
      </c>
    </row>
    <row r="4" spans="1:7" ht="15" customHeight="1" x14ac:dyDescent="0.45">
      <c r="A4" s="82" t="s">
        <v>491</v>
      </c>
      <c r="B4" s="22" t="s">
        <v>318</v>
      </c>
      <c r="C4" s="22" t="s">
        <v>319</v>
      </c>
      <c r="D4" s="22" t="s">
        <v>320</v>
      </c>
      <c r="E4" s="22" t="s">
        <v>303</v>
      </c>
      <c r="F4" s="22" t="s">
        <v>492</v>
      </c>
      <c r="G4" s="22" t="s">
        <v>364</v>
      </c>
    </row>
    <row r="5" spans="1:7" ht="15" customHeight="1" x14ac:dyDescent="0.45">
      <c r="A5" s="69" t="s">
        <v>493</v>
      </c>
      <c r="B5" s="83">
        <f>'Income Statement'!AB9/1000</f>
        <v>267.01400000000001</v>
      </c>
      <c r="C5" s="83">
        <f>'Income Statement'!AC9/1000</f>
        <v>291.25599999999997</v>
      </c>
      <c r="D5" s="83">
        <f>'Income Statement'!AD9/1000</f>
        <v>282.92599999999999</v>
      </c>
      <c r="E5" s="83">
        <f>Comps!B25</f>
        <v>141.16</v>
      </c>
      <c r="F5" s="84">
        <f>IFERROR(D5/C5-1,"n.a.")</f>
        <v>-2.8600269179003934E-2</v>
      </c>
      <c r="G5" s="85" t="s">
        <v>494</v>
      </c>
    </row>
    <row r="6" spans="1:7" ht="15" customHeight="1" x14ac:dyDescent="0.45">
      <c r="A6" s="69" t="s">
        <v>372</v>
      </c>
      <c r="B6" s="83">
        <f>'Income Statement'!AB10/1000</f>
        <v>99.228999999999999</v>
      </c>
      <c r="C6" s="83">
        <f>'Income Statement'!AC10/1000</f>
        <v>101.027</v>
      </c>
      <c r="D6" s="83">
        <f>'Income Statement'!AD10/1000</f>
        <v>103.08499999999999</v>
      </c>
      <c r="E6" s="83">
        <f>Comps!B26</f>
        <v>51.970999999999997</v>
      </c>
      <c r="F6" s="84">
        <f>IFERROR(D6/C6-1,"n.a.")</f>
        <v>2.0370791966503932E-2</v>
      </c>
    </row>
    <row r="7" spans="1:7" ht="15" customHeight="1" x14ac:dyDescent="0.45">
      <c r="A7" s="69" t="s">
        <v>374</v>
      </c>
      <c r="B7" s="84">
        <f>IFERROR(B6/B5,"n.a.")</f>
        <v>0.37162470881676612</v>
      </c>
      <c r="C7" s="84">
        <f>IFERROR(C6/C5,"n.a.")</f>
        <v>0.34686667399126547</v>
      </c>
      <c r="D7" s="84">
        <f>IFERROR(D6/D5,"n.a.")</f>
        <v>0.36435322310427459</v>
      </c>
      <c r="E7" s="84">
        <f>IFERROR(E6/E5,"n.a.")</f>
        <v>0.36817086993482573</v>
      </c>
    </row>
    <row r="8" spans="1:7" ht="15" customHeight="1" x14ac:dyDescent="0.45">
      <c r="A8" s="69" t="s">
        <v>96</v>
      </c>
      <c r="B8" s="83">
        <f>'Income Statement'!AB47/1000</f>
        <v>44.77</v>
      </c>
      <c r="C8" s="83">
        <f>'Income Statement'!AC47/1000</f>
        <v>45.351999999999997</v>
      </c>
      <c r="D8" s="83">
        <f>'Income Statement'!AD47/1000</f>
        <v>43.768999999999998</v>
      </c>
      <c r="E8" s="83">
        <f>Comps!B28</f>
        <v>19.995000000000001</v>
      </c>
      <c r="F8" s="84">
        <f>IFERROR(D8/C8-1,"n.a.")</f>
        <v>-3.490474510495678E-2</v>
      </c>
    </row>
    <row r="9" spans="1:7" ht="15" customHeight="1" x14ac:dyDescent="0.45">
      <c r="A9" s="69" t="s">
        <v>374</v>
      </c>
      <c r="B9" s="84">
        <f>IFERROR(B8/B5,"n.a.")</f>
        <v>0.16766911098294471</v>
      </c>
      <c r="C9" s="84">
        <f>IFERROR(C8/C5,"n.a.")</f>
        <v>0.15571181366220782</v>
      </c>
      <c r="D9" s="84">
        <f>IFERROR(D8/D5,"n.a.")</f>
        <v>0.15470122929670657</v>
      </c>
      <c r="E9" s="84">
        <f>IFERROR(E8/E5,"n.a.")</f>
        <v>0.14164777557381694</v>
      </c>
    </row>
    <row r="10" spans="1:7" ht="15" customHeight="1" x14ac:dyDescent="0.45">
      <c r="A10" s="69" t="s">
        <v>495</v>
      </c>
      <c r="B10" s="83">
        <f>-('Cash Flow'!AA26+'Cash Flow'!AA27)/1000</f>
        <v>28.288</v>
      </c>
      <c r="C10" s="83">
        <f>-('Cash Flow'!AB26+'Cash Flow'!AB27)/1000</f>
        <v>38.527999999999999</v>
      </c>
      <c r="D10" s="83">
        <f>-('Cash Flow'!AC26+'Cash Flow'!AC27)/1000</f>
        <v>34.856000000000002</v>
      </c>
      <c r="E10" s="83">
        <f>Comps!B30</f>
        <v>13.137</v>
      </c>
      <c r="F10" s="84">
        <f>IFERROR(D10/C10-1,"n.a.")</f>
        <v>-9.5307308970099647E-2</v>
      </c>
    </row>
    <row r="11" spans="1:7" ht="15" customHeight="1" x14ac:dyDescent="0.45">
      <c r="A11" s="69" t="s">
        <v>374</v>
      </c>
      <c r="B11" s="84">
        <f>IFERROR(B10/B5,"n.a.")</f>
        <v>0.10594201053128301</v>
      </c>
      <c r="C11" s="84">
        <f>IFERROR(C10/C5,"n.a.")</f>
        <v>0.13228225341280525</v>
      </c>
      <c r="D11" s="84">
        <f>IFERROR(D10/D5,"n.a.")</f>
        <v>0.12319829213292523</v>
      </c>
      <c r="E11" s="84">
        <f>IFERROR(E10/E5,"n.a.")</f>
        <v>9.3064607537546057E-2</v>
      </c>
    </row>
    <row r="12" spans="1:7" ht="15" customHeight="1" x14ac:dyDescent="0.45">
      <c r="A12" s="69" t="s">
        <v>496</v>
      </c>
      <c r="B12" s="83">
        <f>-'Cash Flow'!AA39/1000</f>
        <v>0.126</v>
      </c>
      <c r="C12" s="83">
        <f>-'Cash Flow'!AB39/1000</f>
        <v>0.13100000000000001</v>
      </c>
      <c r="D12" s="83">
        <f>-'Cash Flow'!AC39/1000</f>
        <v>0.14000000000000001</v>
      </c>
      <c r="E12" s="83">
        <f>-('Cash Flow'!N39+'Cash Flow'!O39)/1000</f>
        <v>7.4999999999999997E-2</v>
      </c>
      <c r="F12" s="84">
        <f>IFERROR(D12/C12-1,"n.a.")</f>
        <v>6.8702290076335881E-2</v>
      </c>
    </row>
    <row r="13" spans="1:7" ht="15" customHeight="1" x14ac:dyDescent="0.45">
      <c r="A13" s="69" t="s">
        <v>47</v>
      </c>
      <c r="B13" s="83">
        <f>'Income Statement'!AB51/1000</f>
        <v>75.308999999999997</v>
      </c>
      <c r="C13" s="83">
        <f>'Income Statement'!AC51/1000</f>
        <v>92.325000000000003</v>
      </c>
      <c r="D13" s="83">
        <f>'Income Statement'!AD51/1000</f>
        <v>61.64</v>
      </c>
      <c r="E13" s="83">
        <f>Comps!B32</f>
        <v>22.204000000000001</v>
      </c>
      <c r="F13" s="84">
        <f>IFERROR(D13/C13-1,"n.a.")</f>
        <v>-0.33235851611156242</v>
      </c>
    </row>
    <row r="14" spans="1:7" ht="15" customHeight="1" x14ac:dyDescent="0.45">
      <c r="A14" s="69" t="s">
        <v>374</v>
      </c>
      <c r="B14" s="84">
        <f>IFERROR(B13/B5,"n.a.")</f>
        <v>0.28204139108810772</v>
      </c>
      <c r="C14" s="84">
        <f>IFERROR(C13/C5,"n.a.")</f>
        <v>0.31698917790534792</v>
      </c>
      <c r="D14" s="84">
        <f>IFERROR(D13/D5,"n.a.")</f>
        <v>0.21786615581459465</v>
      </c>
      <c r="E14" s="84">
        <f>IFERROR(E13/E5,"n.a.")</f>
        <v>0.1572966846132049</v>
      </c>
    </row>
    <row r="15" spans="1:7" ht="15" customHeight="1" x14ac:dyDescent="0.45">
      <c r="A15" s="67" t="s">
        <v>497</v>
      </c>
      <c r="B15" s="83">
        <f>IFERROR(B13-B10-B12,"n.a.")</f>
        <v>46.895000000000003</v>
      </c>
      <c r="C15" s="83">
        <f>IFERROR(C13-C10-C12,"n.a.")</f>
        <v>53.666000000000004</v>
      </c>
      <c r="D15" s="83">
        <f>IFERROR(D13-D10-D12,"n.a.")</f>
        <v>26.643999999999998</v>
      </c>
      <c r="E15" s="83">
        <f>IFERROR(E13-E10-E12,"n.a.")</f>
        <v>8.9920000000000009</v>
      </c>
    </row>
    <row r="16" spans="1:7" ht="15" customHeight="1" x14ac:dyDescent="0.45">
      <c r="A16" s="69" t="s">
        <v>374</v>
      </c>
      <c r="B16" s="84">
        <f>IFERROR(B15/B5,"n.a.")</f>
        <v>0.17562749518751827</v>
      </c>
      <c r="C16" s="84">
        <f>IFERROR(C15/C5,"n.a.")</f>
        <v>0.18425714835059195</v>
      </c>
      <c r="D16" s="84">
        <f>IFERROR(D15/D5,"n.a.")</f>
        <v>9.4173034645101544E-2</v>
      </c>
      <c r="E16" s="84">
        <f>IFERROR(E15/E5,"n.a.")</f>
        <v>6.3700765089260425E-2</v>
      </c>
    </row>
    <row r="18" spans="1:7" ht="15" customHeight="1" x14ac:dyDescent="0.45">
      <c r="A18" s="82" t="s">
        <v>498</v>
      </c>
      <c r="B18" s="22" t="s">
        <v>318</v>
      </c>
      <c r="C18" s="22" t="s">
        <v>319</v>
      </c>
      <c r="D18" s="22" t="s">
        <v>320</v>
      </c>
      <c r="E18" s="22" t="s">
        <v>303</v>
      </c>
      <c r="F18" s="22" t="s">
        <v>492</v>
      </c>
      <c r="G18" s="22" t="s">
        <v>364</v>
      </c>
    </row>
    <row r="19" spans="1:7" ht="15" customHeight="1" x14ac:dyDescent="0.45">
      <c r="A19" s="69" t="s">
        <v>493</v>
      </c>
      <c r="B19" s="86" t="s">
        <v>396</v>
      </c>
      <c r="C19" s="86">
        <v>606.94200000000001</v>
      </c>
      <c r="D19" s="86">
        <v>669.63300000000004</v>
      </c>
      <c r="E19" s="83">
        <f>Comps!C25</f>
        <v>350.49900000000002</v>
      </c>
      <c r="F19" s="84">
        <f>IFERROR(D19/C19-1,"n.a.")</f>
        <v>0.1032899354468797</v>
      </c>
      <c r="G19" s="85" t="s">
        <v>499</v>
      </c>
    </row>
    <row r="20" spans="1:7" ht="15" customHeight="1" x14ac:dyDescent="0.45">
      <c r="A20" s="69" t="s">
        <v>372</v>
      </c>
      <c r="B20" s="86" t="s">
        <v>396</v>
      </c>
      <c r="C20" s="86">
        <v>197.61</v>
      </c>
      <c r="D20" s="86">
        <v>222.29900000000001</v>
      </c>
      <c r="E20" s="83">
        <f>Comps!C26</f>
        <v>115.751</v>
      </c>
      <c r="F20" s="84">
        <f>IFERROR(D20/C20-1,"n.a.")</f>
        <v>0.12493800921006026</v>
      </c>
    </row>
    <row r="21" spans="1:7" ht="15" customHeight="1" x14ac:dyDescent="0.45">
      <c r="A21" s="69" t="s">
        <v>374</v>
      </c>
      <c r="B21" s="84" t="str">
        <f>IFERROR(B20/B19,"n.a.")</f>
        <v>n.a.</v>
      </c>
      <c r="C21" s="84">
        <f>IFERROR(C20/C19,"n.a.")</f>
        <v>0.32558300463635736</v>
      </c>
      <c r="D21" s="84">
        <f>IFERROR(D20/D19,"n.a.")</f>
        <v>0.33197139328557584</v>
      </c>
      <c r="E21" s="84">
        <f>IFERROR(E20/E19,"n.a.")</f>
        <v>0.33024630598090149</v>
      </c>
    </row>
    <row r="22" spans="1:7" ht="15" customHeight="1" x14ac:dyDescent="0.45">
      <c r="A22" s="69" t="s">
        <v>96</v>
      </c>
      <c r="B22" s="86" t="s">
        <v>396</v>
      </c>
      <c r="C22" s="86">
        <v>58.51</v>
      </c>
      <c r="D22" s="86">
        <v>53.673999999999999</v>
      </c>
      <c r="E22" s="83">
        <f>Comps!C28</f>
        <v>28.922000000000001</v>
      </c>
      <c r="F22" s="84">
        <f>IFERROR(D22/C22-1,"n.a.")</f>
        <v>-8.2652538027687572E-2</v>
      </c>
    </row>
    <row r="23" spans="1:7" ht="15" customHeight="1" x14ac:dyDescent="0.45">
      <c r="A23" s="69" t="s">
        <v>374</v>
      </c>
      <c r="B23" s="84" t="str">
        <f>IFERROR(B22/B19,"n.a.")</f>
        <v>n.a.</v>
      </c>
      <c r="C23" s="84">
        <f>IFERROR(C22/C19,"n.a.")</f>
        <v>9.6401303584197504E-2</v>
      </c>
      <c r="D23" s="84">
        <f>IFERROR(D22/D19,"n.a.")</f>
        <v>8.0154353205412518E-2</v>
      </c>
      <c r="E23" s="84">
        <f>IFERROR(E22/E19,"n.a.")</f>
        <v>8.2516640561028698E-2</v>
      </c>
    </row>
    <row r="24" spans="1:7" ht="15" customHeight="1" x14ac:dyDescent="0.45">
      <c r="A24" s="69" t="s">
        <v>495</v>
      </c>
      <c r="B24" s="86" t="s">
        <v>396</v>
      </c>
      <c r="C24" s="83">
        <f>32.81+14.26</f>
        <v>47.07</v>
      </c>
      <c r="D24" s="83">
        <f>70.535+13.768</f>
        <v>84.302999999999997</v>
      </c>
      <c r="E24" s="83">
        <f>Comps!C30</f>
        <v>29.594999999999999</v>
      </c>
      <c r="F24" s="84">
        <f>IFERROR(D24/C24-1,"n.a.")</f>
        <v>0.7910133843212237</v>
      </c>
    </row>
    <row r="25" spans="1:7" ht="15" customHeight="1" x14ac:dyDescent="0.45">
      <c r="A25" s="69" t="s">
        <v>374</v>
      </c>
      <c r="B25" s="84" t="str">
        <f>IFERROR(B24/B19,"n.a.")</f>
        <v>n.a.</v>
      </c>
      <c r="C25" s="84">
        <f>IFERROR(C24/C19,"n.a.")</f>
        <v>7.7552715086449772E-2</v>
      </c>
      <c r="D25" s="84">
        <f>IFERROR(D24/D19,"n.a.")</f>
        <v>0.12589433316458418</v>
      </c>
      <c r="E25" s="84">
        <f>IFERROR(E24/E19,"n.a.")</f>
        <v>8.4436760161940544E-2</v>
      </c>
    </row>
    <row r="26" spans="1:7" ht="15" customHeight="1" x14ac:dyDescent="0.45">
      <c r="A26" s="69" t="s">
        <v>496</v>
      </c>
      <c r="B26" s="86" t="s">
        <v>396</v>
      </c>
      <c r="C26" s="86">
        <v>0</v>
      </c>
      <c r="D26" s="86">
        <v>0</v>
      </c>
      <c r="E26" s="86">
        <v>0</v>
      </c>
      <c r="F26" s="84" t="str">
        <f>IFERROR(D26/C26-1,"n.a.")</f>
        <v>n.a.</v>
      </c>
    </row>
    <row r="27" spans="1:7" ht="15" customHeight="1" x14ac:dyDescent="0.45">
      <c r="A27" s="69" t="s">
        <v>47</v>
      </c>
      <c r="B27" s="86" t="s">
        <v>396</v>
      </c>
      <c r="C27" s="86">
        <v>196.85</v>
      </c>
      <c r="D27" s="86">
        <v>232.131</v>
      </c>
      <c r="E27" s="83">
        <f>Comps!C32</f>
        <v>113.461</v>
      </c>
      <c r="F27" s="84">
        <f>IFERROR(D27/C27-1,"n.a.")</f>
        <v>0.17922783845567691</v>
      </c>
    </row>
    <row r="28" spans="1:7" ht="15" customHeight="1" x14ac:dyDescent="0.45">
      <c r="A28" s="69" t="s">
        <v>374</v>
      </c>
      <c r="B28" s="84" t="str">
        <f>IFERROR(B27/B19,"n.a.")</f>
        <v>n.a.</v>
      </c>
      <c r="C28" s="84">
        <f>IFERROR(C27/C19,"n.a.")</f>
        <v>0.32433082568021326</v>
      </c>
      <c r="D28" s="84">
        <f>IFERROR(D27/D19,"n.a.")</f>
        <v>0.34665406274780364</v>
      </c>
      <c r="E28" s="84">
        <f>IFERROR(E27/E19,"n.a.")</f>
        <v>0.32371276380246444</v>
      </c>
    </row>
    <row r="29" spans="1:7" ht="15" customHeight="1" x14ac:dyDescent="0.45">
      <c r="A29" s="67" t="s">
        <v>497</v>
      </c>
      <c r="B29" s="83" t="str">
        <f>IFERROR(B27-B24-B26,"n.a.")</f>
        <v>n.a.</v>
      </c>
      <c r="C29" s="83">
        <f>IFERROR(C27-C24-C26,"n.a.")</f>
        <v>149.78</v>
      </c>
      <c r="D29" s="83">
        <f>IFERROR(D27-D24-D26,"n.a.")</f>
        <v>147.828</v>
      </c>
      <c r="E29" s="83">
        <f>IFERROR(E27-E24-E26,"n.a.")</f>
        <v>83.866</v>
      </c>
    </row>
    <row r="30" spans="1:7" ht="15" customHeight="1" x14ac:dyDescent="0.45">
      <c r="A30" s="69" t="s">
        <v>374</v>
      </c>
      <c r="B30" s="84" t="str">
        <f>IFERROR(B29/B19,"n.a.")</f>
        <v>n.a.</v>
      </c>
      <c r="C30" s="84">
        <f>IFERROR(C29/C19,"n.a.")</f>
        <v>0.24677811059376348</v>
      </c>
      <c r="D30" s="84">
        <f>IFERROR(D29/D19,"n.a.")</f>
        <v>0.22075972958321946</v>
      </c>
      <c r="E30" s="84">
        <f>IFERROR(E29/E19,"n.a.")</f>
        <v>0.23927600364052393</v>
      </c>
    </row>
    <row r="32" spans="1:7" ht="15" customHeight="1" x14ac:dyDescent="0.45">
      <c r="A32" s="82" t="s">
        <v>500</v>
      </c>
      <c r="B32" s="22" t="s">
        <v>318</v>
      </c>
      <c r="C32" s="22" t="s">
        <v>319</v>
      </c>
      <c r="D32" s="22" t="s">
        <v>320</v>
      </c>
      <c r="E32" s="22" t="s">
        <v>303</v>
      </c>
      <c r="F32" s="22" t="s">
        <v>492</v>
      </c>
      <c r="G32" s="22" t="s">
        <v>364</v>
      </c>
    </row>
    <row r="33" spans="1:7" ht="15" customHeight="1" x14ac:dyDescent="0.45">
      <c r="A33" s="69" t="s">
        <v>493</v>
      </c>
      <c r="B33" s="86" t="s">
        <v>396</v>
      </c>
      <c r="C33" s="86">
        <v>2444.8310000000001</v>
      </c>
      <c r="D33" s="86">
        <v>2896.2840000000001</v>
      </c>
      <c r="E33" s="83">
        <f>Comps!D25</f>
        <v>1403.914</v>
      </c>
      <c r="F33" s="84">
        <f>IFERROR(D33/C33-1,"n.a.")</f>
        <v>0.18465611733489951</v>
      </c>
      <c r="G33" s="85" t="s">
        <v>501</v>
      </c>
    </row>
    <row r="34" spans="1:7" ht="15" customHeight="1" x14ac:dyDescent="0.45">
      <c r="A34" s="69" t="s">
        <v>372</v>
      </c>
      <c r="B34" s="86" t="s">
        <v>396</v>
      </c>
      <c r="C34" s="86">
        <v>472.012</v>
      </c>
      <c r="D34" s="86">
        <v>619.06700000000001</v>
      </c>
      <c r="E34" s="83">
        <f>Comps!D26</f>
        <v>366.303</v>
      </c>
      <c r="F34" s="84">
        <f>IFERROR(D34/C34-1,"n.a.")</f>
        <v>0.31154928264535653</v>
      </c>
    </row>
    <row r="35" spans="1:7" ht="15" customHeight="1" x14ac:dyDescent="0.45">
      <c r="A35" s="69" t="s">
        <v>374</v>
      </c>
      <c r="B35" s="84" t="str">
        <f>IFERROR(B34/B33,"n.a.")</f>
        <v>n.a.</v>
      </c>
      <c r="C35" s="84">
        <f>IFERROR(C34/C33,"n.a.")</f>
        <v>0.1930652875393023</v>
      </c>
      <c r="D35" s="84">
        <f>IFERROR(D34/D33,"n.a.")</f>
        <v>0.21374526807453964</v>
      </c>
      <c r="E35" s="84">
        <f>IFERROR(E34/E33,"n.a.")</f>
        <v>0.26091555465648181</v>
      </c>
    </row>
    <row r="36" spans="1:7" ht="15" customHeight="1" x14ac:dyDescent="0.45">
      <c r="A36" s="69" t="s">
        <v>96</v>
      </c>
      <c r="B36" s="86" t="s">
        <v>396</v>
      </c>
      <c r="C36" s="86">
        <v>87.49</v>
      </c>
      <c r="D36" s="86">
        <v>115.78400000000001</v>
      </c>
      <c r="E36" s="83">
        <f>Comps!D28</f>
        <v>61.570999999999998</v>
      </c>
      <c r="F36" s="84">
        <f>IFERROR(D36/C36-1,"n.a.")</f>
        <v>0.3233969596525319</v>
      </c>
    </row>
    <row r="37" spans="1:7" ht="15" customHeight="1" x14ac:dyDescent="0.45">
      <c r="A37" s="69" t="s">
        <v>374</v>
      </c>
      <c r="B37" s="84" t="str">
        <f>IFERROR(B36/B33,"n.a.")</f>
        <v>n.a.</v>
      </c>
      <c r="C37" s="84">
        <f>IFERROR(C36/C33,"n.a.")</f>
        <v>3.5785704615165628E-2</v>
      </c>
      <c r="D37" s="84">
        <f>IFERROR(D36/D33,"n.a.")</f>
        <v>3.9976742612257636E-2</v>
      </c>
      <c r="E37" s="84">
        <f>IFERROR(E36/E33,"n.a.")</f>
        <v>4.3856674981515964E-2</v>
      </c>
    </row>
    <row r="38" spans="1:7" ht="15" customHeight="1" x14ac:dyDescent="0.45">
      <c r="A38" s="69" t="s">
        <v>495</v>
      </c>
      <c r="B38" s="86" t="s">
        <v>396</v>
      </c>
      <c r="C38" s="83">
        <f>98.238+8.824</f>
        <v>107.062</v>
      </c>
      <c r="D38" s="83">
        <f>197.011+12.752</f>
        <v>209.76300000000001</v>
      </c>
      <c r="E38" s="83">
        <f>Comps!D30</f>
        <v>133.36500000000001</v>
      </c>
      <c r="F38" s="84">
        <f>IFERROR(D38/C38-1,"n.a.")</f>
        <v>0.95926659318899343</v>
      </c>
    </row>
    <row r="39" spans="1:7" ht="15" customHeight="1" x14ac:dyDescent="0.45">
      <c r="A39" s="69" t="s">
        <v>374</v>
      </c>
      <c r="B39" s="84" t="str">
        <f>IFERROR(B38/B33,"n.a.")</f>
        <v>n.a.</v>
      </c>
      <c r="C39" s="84">
        <f>IFERROR(C38/C33,"n.a.")</f>
        <v>4.3791165933350806E-2</v>
      </c>
      <c r="D39" s="84">
        <f>IFERROR(D38/D33,"n.a.")</f>
        <v>7.2424872698948026E-2</v>
      </c>
      <c r="E39" s="84">
        <f>IFERROR(E38/E33,"n.a.")</f>
        <v>9.4995135029638578E-2</v>
      </c>
    </row>
    <row r="40" spans="1:7" ht="15" customHeight="1" x14ac:dyDescent="0.45">
      <c r="A40" s="69" t="s">
        <v>496</v>
      </c>
      <c r="B40" s="86" t="s">
        <v>396</v>
      </c>
      <c r="C40" s="86">
        <v>0</v>
      </c>
      <c r="D40" s="86">
        <v>0</v>
      </c>
      <c r="E40" s="86">
        <v>0</v>
      </c>
      <c r="F40" s="84" t="str">
        <f>IFERROR(D40/C40-1,"n.a.")</f>
        <v>n.a.</v>
      </c>
    </row>
    <row r="41" spans="1:7" ht="15" customHeight="1" x14ac:dyDescent="0.45">
      <c r="A41" s="69" t="s">
        <v>47</v>
      </c>
      <c r="B41" s="86" t="s">
        <v>396</v>
      </c>
      <c r="C41" s="86">
        <v>1010.649</v>
      </c>
      <c r="D41" s="86">
        <v>1196.4490000000001</v>
      </c>
      <c r="E41" s="83">
        <f>Comps!D32</f>
        <v>447.34500000000003</v>
      </c>
      <c r="F41" s="84">
        <f>IFERROR(D41/C41-1,"n.a.")</f>
        <v>0.18384226373350199</v>
      </c>
    </row>
    <row r="42" spans="1:7" ht="15" customHeight="1" x14ac:dyDescent="0.45">
      <c r="A42" s="69" t="s">
        <v>374</v>
      </c>
      <c r="B42" s="84" t="str">
        <f>IFERROR(B41/B33,"n.a.")</f>
        <v>n.a.</v>
      </c>
      <c r="C42" s="84">
        <f>IFERROR(C41/C33,"n.a.")</f>
        <v>0.41338194746385332</v>
      </c>
      <c r="D42" s="84">
        <f>IFERROR(D41/D33,"n.a.")</f>
        <v>0.41309795586344433</v>
      </c>
      <c r="E42" s="84">
        <f>IFERROR(E41/E33,"n.a.")</f>
        <v>0.31864131278696561</v>
      </c>
    </row>
    <row r="43" spans="1:7" ht="15" customHeight="1" x14ac:dyDescent="0.45">
      <c r="A43" s="67" t="s">
        <v>497</v>
      </c>
      <c r="B43" s="83" t="str">
        <f>IFERROR(B41-B38-B40,"n.a.")</f>
        <v>n.a.</v>
      </c>
      <c r="C43" s="83">
        <f>IFERROR(C41-C38-C40,"n.a.")</f>
        <v>903.58699999999999</v>
      </c>
      <c r="D43" s="83">
        <f>IFERROR(D41-D38-D40,"n.a.")</f>
        <v>986.68600000000004</v>
      </c>
      <c r="E43" s="83">
        <f>IFERROR(E41-E38-E40,"n.a.")</f>
        <v>313.98</v>
      </c>
    </row>
    <row r="44" spans="1:7" ht="15" customHeight="1" x14ac:dyDescent="0.45">
      <c r="A44" s="69" t="s">
        <v>374</v>
      </c>
      <c r="B44" s="84" t="str">
        <f>IFERROR(B43/B33,"n.a.")</f>
        <v>n.a.</v>
      </c>
      <c r="C44" s="84">
        <f>IFERROR(C43/C33,"n.a.")</f>
        <v>0.36959078153050251</v>
      </c>
      <c r="D44" s="84">
        <f>IFERROR(D43/D33,"n.a.")</f>
        <v>0.34067308316449629</v>
      </c>
      <c r="E44" s="84">
        <f>IFERROR(E43/E33,"n.a.")</f>
        <v>0.22364617775732704</v>
      </c>
    </row>
    <row r="46" spans="1:7" ht="15" customHeight="1" x14ac:dyDescent="0.45">
      <c r="A46" s="82" t="s">
        <v>502</v>
      </c>
      <c r="B46" s="22" t="s">
        <v>318</v>
      </c>
      <c r="C46" s="22" t="s">
        <v>319</v>
      </c>
      <c r="D46" s="22" t="s">
        <v>320</v>
      </c>
      <c r="E46" s="22" t="s">
        <v>303</v>
      </c>
      <c r="F46" s="22" t="s">
        <v>492</v>
      </c>
      <c r="G46" s="22" t="s">
        <v>364</v>
      </c>
    </row>
    <row r="47" spans="1:7" ht="15" customHeight="1" x14ac:dyDescent="0.45">
      <c r="A47" s="69" t="s">
        <v>493</v>
      </c>
      <c r="B47" s="86" t="s">
        <v>396</v>
      </c>
      <c r="C47" s="86">
        <v>1121.4829999999999</v>
      </c>
      <c r="D47" s="86">
        <v>1174.617</v>
      </c>
      <c r="E47" s="83">
        <f>Comps!E25</f>
        <v>505.84100000000001</v>
      </c>
      <c r="F47" s="84">
        <f>IFERROR(D47/C47-1,"n.a.")</f>
        <v>4.7378337433559015E-2</v>
      </c>
      <c r="G47" s="85" t="s">
        <v>503</v>
      </c>
    </row>
    <row r="48" spans="1:7" ht="15" customHeight="1" x14ac:dyDescent="0.45">
      <c r="A48" s="69" t="s">
        <v>372</v>
      </c>
      <c r="B48" s="86" t="s">
        <v>396</v>
      </c>
      <c r="C48" s="86">
        <v>138.512</v>
      </c>
      <c r="D48" s="86">
        <v>125.23699999999999</v>
      </c>
      <c r="E48" s="83">
        <f>Comps!E26</f>
        <v>60.884999999999998</v>
      </c>
      <c r="F48" s="84">
        <f>IFERROR(D48/C48-1,"n.a.")</f>
        <v>-9.5840071618343625E-2</v>
      </c>
    </row>
    <row r="49" spans="1:7" ht="15" customHeight="1" x14ac:dyDescent="0.45">
      <c r="A49" s="69" t="s">
        <v>374</v>
      </c>
      <c r="B49" s="84" t="str">
        <f>IFERROR(B48/B47,"n.a.")</f>
        <v>n.a.</v>
      </c>
      <c r="C49" s="84">
        <f>IFERROR(C48/C47,"n.a.")</f>
        <v>0.12350789089090071</v>
      </c>
      <c r="D49" s="84">
        <f>IFERROR(D48/D47,"n.a.")</f>
        <v>0.10661943424963201</v>
      </c>
      <c r="E49" s="84">
        <f>IFERROR(E48/E47,"n.a.")</f>
        <v>0.1203639088171975</v>
      </c>
    </row>
    <row r="50" spans="1:7" ht="15" customHeight="1" x14ac:dyDescent="0.45">
      <c r="A50" s="69" t="s">
        <v>96</v>
      </c>
      <c r="B50" s="86" t="s">
        <v>396</v>
      </c>
      <c r="C50" s="86">
        <v>101.193</v>
      </c>
      <c r="D50" s="86">
        <v>122.32</v>
      </c>
      <c r="E50" s="83">
        <f>Comps!E28</f>
        <v>59.948</v>
      </c>
      <c r="F50" s="84">
        <f>IFERROR(D50/C50-1,"n.a.")</f>
        <v>0.20877926338778363</v>
      </c>
    </row>
    <row r="51" spans="1:7" ht="15" customHeight="1" x14ac:dyDescent="0.45">
      <c r="A51" s="69" t="s">
        <v>374</v>
      </c>
      <c r="B51" s="84" t="str">
        <f>IFERROR(B50/B47,"n.a.")</f>
        <v>n.a.</v>
      </c>
      <c r="C51" s="84">
        <f>IFERROR(C50/C47,"n.a.")</f>
        <v>9.0231416793656261E-2</v>
      </c>
      <c r="D51" s="84">
        <f>IFERROR(D50/D47,"n.a.")</f>
        <v>0.10413607158758982</v>
      </c>
      <c r="E51" s="84">
        <f>IFERROR(E50/E47,"n.a.")</f>
        <v>0.11851154809515242</v>
      </c>
    </row>
    <row r="52" spans="1:7" ht="15" customHeight="1" x14ac:dyDescent="0.45">
      <c r="A52" s="69" t="s">
        <v>495</v>
      </c>
      <c r="B52" s="86" t="s">
        <v>396</v>
      </c>
      <c r="C52" s="86">
        <v>78.111999999999995</v>
      </c>
      <c r="D52" s="86">
        <v>102.739</v>
      </c>
      <c r="E52" s="83">
        <f>Comps!E30</f>
        <v>91.087999999999994</v>
      </c>
      <c r="F52" s="84">
        <f>IFERROR(D52/C52-1,"n.a.")</f>
        <v>0.3152780622695619</v>
      </c>
    </row>
    <row r="53" spans="1:7" ht="15" customHeight="1" x14ac:dyDescent="0.45">
      <c r="A53" s="69" t="s">
        <v>374</v>
      </c>
      <c r="B53" s="84" t="str">
        <f>IFERROR(B52/B47,"n.a.")</f>
        <v>n.a.</v>
      </c>
      <c r="C53" s="84">
        <f>IFERROR(C52/C47,"n.a.")</f>
        <v>6.9650632243199409E-2</v>
      </c>
      <c r="D53" s="84">
        <f>IFERROR(D52/D47,"n.a.")</f>
        <v>8.7465956988533294E-2</v>
      </c>
      <c r="E53" s="84">
        <f>IFERROR(E52/E47,"n.a.")</f>
        <v>0.18007239428990532</v>
      </c>
    </row>
    <row r="54" spans="1:7" ht="15" customHeight="1" x14ac:dyDescent="0.45">
      <c r="A54" s="69" t="s">
        <v>496</v>
      </c>
      <c r="B54" s="86" t="s">
        <v>396</v>
      </c>
      <c r="C54" s="86">
        <v>0</v>
      </c>
      <c r="D54" s="86">
        <v>0</v>
      </c>
      <c r="E54" s="86">
        <v>0</v>
      </c>
      <c r="F54" s="84" t="str">
        <f>IFERROR(D54/C54-1,"n.a.")</f>
        <v>n.a.</v>
      </c>
    </row>
    <row r="55" spans="1:7" ht="15" customHeight="1" x14ac:dyDescent="0.45">
      <c r="A55" s="69" t="s">
        <v>47</v>
      </c>
      <c r="B55" s="86" t="s">
        <v>396</v>
      </c>
      <c r="C55" s="86">
        <v>390.11799999999999</v>
      </c>
      <c r="D55" s="86">
        <v>406.69600000000003</v>
      </c>
      <c r="E55" s="83">
        <f>Comps!E32</f>
        <v>138.19800000000001</v>
      </c>
      <c r="F55" s="84">
        <f>IFERROR(D55/C55-1,"n.a.")</f>
        <v>4.2494834896108502E-2</v>
      </c>
    </row>
    <row r="56" spans="1:7" ht="15" customHeight="1" x14ac:dyDescent="0.45">
      <c r="A56" s="69" t="s">
        <v>374</v>
      </c>
      <c r="B56" s="84" t="str">
        <f>IFERROR(B55/B47,"n.a.")</f>
        <v>n.a.</v>
      </c>
      <c r="C56" s="84">
        <f>IFERROR(C55/C47,"n.a.")</f>
        <v>0.34785904021728375</v>
      </c>
      <c r="D56" s="84">
        <f>IFERROR(D55/D47,"n.a.")</f>
        <v>0.34623711388478118</v>
      </c>
      <c r="E56" s="84">
        <f>IFERROR(E55/E47,"n.a.")</f>
        <v>0.27320442589667504</v>
      </c>
    </row>
    <row r="57" spans="1:7" ht="15" customHeight="1" x14ac:dyDescent="0.45">
      <c r="A57" s="67" t="s">
        <v>497</v>
      </c>
      <c r="B57" s="83" t="str">
        <f>IFERROR(B55-B52-B54,"n.a.")</f>
        <v>n.a.</v>
      </c>
      <c r="C57" s="83">
        <f>IFERROR(C55-C52-C54,"n.a.")</f>
        <v>312.00599999999997</v>
      </c>
      <c r="D57" s="83">
        <f>IFERROR(D55-D52-D54,"n.a.")</f>
        <v>303.95699999999999</v>
      </c>
      <c r="E57" s="83">
        <f>IFERROR(E55-E52-E54,"n.a.")</f>
        <v>47.110000000000014</v>
      </c>
    </row>
    <row r="58" spans="1:7" ht="15" customHeight="1" x14ac:dyDescent="0.45">
      <c r="A58" s="69" t="s">
        <v>374</v>
      </c>
      <c r="B58" s="84" t="str">
        <f>IFERROR(B57/B47,"n.a.")</f>
        <v>n.a.</v>
      </c>
      <c r="C58" s="84">
        <f>IFERROR(C57/C47,"n.a.")</f>
        <v>0.2782084079740843</v>
      </c>
      <c r="D58" s="84">
        <f>IFERROR(D57/D47,"n.a.")</f>
        <v>0.25877115689624791</v>
      </c>
      <c r="E58" s="84">
        <f>IFERROR(E57/E47,"n.a.")</f>
        <v>9.3132031606769736E-2</v>
      </c>
    </row>
    <row r="60" spans="1:7" ht="15" customHeight="1" x14ac:dyDescent="0.45">
      <c r="A60" s="82" t="s">
        <v>504</v>
      </c>
      <c r="B60" s="22" t="s">
        <v>318</v>
      </c>
      <c r="C60" s="22" t="s">
        <v>319</v>
      </c>
      <c r="D60" s="22" t="s">
        <v>320</v>
      </c>
      <c r="E60" s="22" t="s">
        <v>303</v>
      </c>
      <c r="F60" s="22" t="s">
        <v>492</v>
      </c>
      <c r="G60" s="22" t="s">
        <v>364</v>
      </c>
    </row>
    <row r="61" spans="1:7" ht="15" customHeight="1" x14ac:dyDescent="0.45">
      <c r="A61" s="69" t="s">
        <v>493</v>
      </c>
      <c r="B61" s="86" t="s">
        <v>396</v>
      </c>
      <c r="C61" s="86">
        <v>3224.058</v>
      </c>
      <c r="D61" s="86">
        <v>5480.7169999999996</v>
      </c>
      <c r="E61" s="83">
        <f>Comps!F25</f>
        <v>3766.1350000000002</v>
      </c>
      <c r="F61" s="84">
        <f>IFERROR(D61/C61-1,"n.a.")</f>
        <v>0.69994367346989406</v>
      </c>
      <c r="G61" s="85" t="s">
        <v>505</v>
      </c>
    </row>
    <row r="62" spans="1:7" ht="15" customHeight="1" x14ac:dyDescent="0.45">
      <c r="A62" s="69" t="s">
        <v>372</v>
      </c>
      <c r="B62" s="86" t="s">
        <v>396</v>
      </c>
      <c r="C62" s="86">
        <v>520.61300000000006</v>
      </c>
      <c r="D62" s="86">
        <v>665.14</v>
      </c>
      <c r="E62" s="83">
        <f>Comps!F26</f>
        <v>429.43299999999999</v>
      </c>
      <c r="F62" s="84">
        <f>IFERROR(D62/C62-1,"n.a.")</f>
        <v>0.27760927982973893</v>
      </c>
    </row>
    <row r="63" spans="1:7" ht="15" customHeight="1" x14ac:dyDescent="0.45">
      <c r="A63" s="69" t="s">
        <v>374</v>
      </c>
      <c r="B63" s="84" t="str">
        <f>IFERROR(B62/B61,"n.a.")</f>
        <v>n.a.</v>
      </c>
      <c r="C63" s="84">
        <f>IFERROR(C62/C61,"n.a.")</f>
        <v>0.1614775540638537</v>
      </c>
      <c r="D63" s="84">
        <f>IFERROR(D62/D61,"n.a.")</f>
        <v>0.12136003373281271</v>
      </c>
      <c r="E63" s="84">
        <f>IFERROR(E62/E61,"n.a.")</f>
        <v>0.11402485572078536</v>
      </c>
    </row>
    <row r="64" spans="1:7" ht="15" customHeight="1" x14ac:dyDescent="0.45">
      <c r="A64" s="69" t="s">
        <v>96</v>
      </c>
      <c r="B64" s="86" t="s">
        <v>396</v>
      </c>
      <c r="C64" s="86">
        <v>128.791</v>
      </c>
      <c r="D64" s="86">
        <v>130.72399999999999</v>
      </c>
      <c r="E64" s="83">
        <f>Comps!F28</f>
        <v>66.227999999999994</v>
      </c>
      <c r="F64" s="84">
        <f>IFERROR(D64/C64-1,"n.a.")</f>
        <v>1.5008812727597354E-2</v>
      </c>
    </row>
    <row r="65" spans="1:7" ht="15" customHeight="1" x14ac:dyDescent="0.45">
      <c r="A65" s="69" t="s">
        <v>374</v>
      </c>
      <c r="B65" s="84" t="str">
        <f>IFERROR(B64/B61,"n.a.")</f>
        <v>n.a.</v>
      </c>
      <c r="C65" s="84">
        <f>IFERROR(C64/C61,"n.a.")</f>
        <v>3.994686199814023E-2</v>
      </c>
      <c r="D65" s="84">
        <f>IFERROR(D64/D61,"n.a.")</f>
        <v>2.3851623793018323E-2</v>
      </c>
      <c r="E65" s="84">
        <f>IFERROR(E64/E61,"n.a.")</f>
        <v>1.7585137017127637E-2</v>
      </c>
    </row>
    <row r="66" spans="1:7" ht="15" customHeight="1" x14ac:dyDescent="0.45">
      <c r="A66" s="69" t="s">
        <v>495</v>
      </c>
      <c r="B66" s="86" t="s">
        <v>396</v>
      </c>
      <c r="C66" s="83">
        <f>4.776</f>
        <v>4.7759999999999998</v>
      </c>
      <c r="D66" s="83">
        <f>0.473</f>
        <v>0.47299999999999998</v>
      </c>
      <c r="E66" s="83" t="str">
        <f>Comps!F30</f>
        <v>n.a.</v>
      </c>
      <c r="F66" s="84">
        <f>IFERROR(D66/C66-1,"n.a.")</f>
        <v>-0.90096314907872699</v>
      </c>
    </row>
    <row r="67" spans="1:7" ht="15" customHeight="1" x14ac:dyDescent="0.45">
      <c r="A67" s="69" t="s">
        <v>374</v>
      </c>
      <c r="B67" s="84" t="str">
        <f>IFERROR(B66/B61,"n.a.")</f>
        <v>n.a.</v>
      </c>
      <c r="C67" s="84">
        <f>IFERROR(C66/C61,"n.a.")</f>
        <v>1.4813629283344158E-3</v>
      </c>
      <c r="D67" s="84">
        <f>IFERROR(D66/D61,"n.a.")</f>
        <v>8.6302576834381342E-5</v>
      </c>
      <c r="E67" s="84" t="str">
        <f>IFERROR(E66/E61,"n.a.")</f>
        <v>n.a.</v>
      </c>
    </row>
    <row r="68" spans="1:7" ht="15" customHeight="1" x14ac:dyDescent="0.45">
      <c r="A68" s="69" t="s">
        <v>496</v>
      </c>
      <c r="B68" s="86" t="s">
        <v>396</v>
      </c>
      <c r="C68" s="86">
        <v>20.875</v>
      </c>
      <c r="D68" s="86">
        <v>18.669</v>
      </c>
      <c r="E68" s="86" t="s">
        <v>396</v>
      </c>
      <c r="F68" s="84">
        <f>IFERROR(D68/C68-1,"n.a.")</f>
        <v>-0.10567664670658683</v>
      </c>
    </row>
    <row r="69" spans="1:7" ht="15" customHeight="1" x14ac:dyDescent="0.45">
      <c r="A69" s="69" t="s">
        <v>47</v>
      </c>
      <c r="B69" s="86" t="s">
        <v>396</v>
      </c>
      <c r="C69" s="86">
        <v>2411.7640000000001</v>
      </c>
      <c r="D69" s="86">
        <v>4512.4520000000002</v>
      </c>
      <c r="E69" s="83">
        <f>Comps!F32</f>
        <v>3170.7420000000002</v>
      </c>
      <c r="F69" s="84">
        <f>IFERROR(D69/C69-1,"n.a.")</f>
        <v>0.87101723054162838</v>
      </c>
    </row>
    <row r="70" spans="1:7" ht="15" customHeight="1" x14ac:dyDescent="0.45">
      <c r="A70" s="69" t="s">
        <v>374</v>
      </c>
      <c r="B70" s="84" t="str">
        <f>IFERROR(B69/B61,"n.a.")</f>
        <v>n.a.</v>
      </c>
      <c r="C70" s="84">
        <f>IFERROR(C69/C61,"n.a.")</f>
        <v>0.74805229930727057</v>
      </c>
      <c r="D70" s="84">
        <f>IFERROR(D69/D61,"n.a.")</f>
        <v>0.82333242165213061</v>
      </c>
      <c r="E70" s="84">
        <f>IFERROR(E69/E61,"n.a.")</f>
        <v>0.84190874729663168</v>
      </c>
    </row>
    <row r="71" spans="1:7" ht="15" customHeight="1" x14ac:dyDescent="0.45">
      <c r="A71" s="67" t="s">
        <v>497</v>
      </c>
      <c r="B71" s="83" t="str">
        <f>IFERROR(B69-B66-B68,"n.a.")</f>
        <v>n.a.</v>
      </c>
      <c r="C71" s="83">
        <f>IFERROR(C69-C66-C68,"n.a.")</f>
        <v>2386.1130000000003</v>
      </c>
      <c r="D71" s="83">
        <f>IFERROR(D69-D66-D68,"n.a.")</f>
        <v>4493.3100000000004</v>
      </c>
      <c r="E71" s="83" t="str">
        <f>IFERROR(E69-E66-E68,"n.a.")</f>
        <v>n.a.</v>
      </c>
    </row>
    <row r="72" spans="1:7" ht="15" customHeight="1" x14ac:dyDescent="0.45">
      <c r="A72" s="69" t="s">
        <v>374</v>
      </c>
      <c r="B72" s="84" t="str">
        <f>IFERROR(B71/B61,"n.a.")</f>
        <v>n.a.</v>
      </c>
      <c r="C72" s="84">
        <f>IFERROR(C71/C61,"n.a.")</f>
        <v>0.74009617692981955</v>
      </c>
      <c r="D72" s="84">
        <f>IFERROR(D71/D61,"n.a.")</f>
        <v>0.81983981292958585</v>
      </c>
      <c r="E72" s="84" t="str">
        <f>IFERROR(E71/E61,"n.a.")</f>
        <v>n.a.</v>
      </c>
    </row>
    <row r="74" spans="1:7" ht="15" customHeight="1" x14ac:dyDescent="0.45">
      <c r="A74" s="82" t="s">
        <v>506</v>
      </c>
      <c r="B74" s="22" t="s">
        <v>318</v>
      </c>
      <c r="C74" s="22" t="s">
        <v>319</v>
      </c>
      <c r="D74" s="22" t="s">
        <v>320</v>
      </c>
      <c r="E74" s="22" t="s">
        <v>303</v>
      </c>
      <c r="F74" s="22" t="s">
        <v>507</v>
      </c>
      <c r="G74" s="22" t="s">
        <v>364</v>
      </c>
    </row>
    <row r="75" spans="1:7" ht="15" customHeight="1" x14ac:dyDescent="0.45">
      <c r="A75" s="67" t="s">
        <v>372</v>
      </c>
    </row>
    <row r="76" spans="1:7" ht="15" customHeight="1" x14ac:dyDescent="0.45">
      <c r="A76" s="69" t="s">
        <v>508</v>
      </c>
      <c r="B76" s="84">
        <f>B7</f>
        <v>0.37162470881676612</v>
      </c>
      <c r="C76" s="84">
        <f>C7</f>
        <v>0.34686667399126547</v>
      </c>
      <c r="D76" s="84">
        <f>D7</f>
        <v>0.36435322310427459</v>
      </c>
      <c r="E76" s="84">
        <f>E7</f>
        <v>0.36817086993482573</v>
      </c>
      <c r="F76" s="84">
        <f>IFERROR(D7-C7,"n.a.")</f>
        <v>1.748654911300912E-2</v>
      </c>
    </row>
    <row r="77" spans="1:7" ht="15" customHeight="1" x14ac:dyDescent="0.45">
      <c r="A77" s="69" t="s">
        <v>509</v>
      </c>
      <c r="B77" s="84" t="str">
        <f>B21</f>
        <v>n.a.</v>
      </c>
      <c r="C77" s="84">
        <f>C21</f>
        <v>0.32558300463635736</v>
      </c>
      <c r="D77" s="84">
        <f>D21</f>
        <v>0.33197139328557584</v>
      </c>
      <c r="E77" s="84">
        <f>E21</f>
        <v>0.33024630598090149</v>
      </c>
      <c r="F77" s="84">
        <f>IFERROR(D21-C21,"n.a.")</f>
        <v>6.3883886492184794E-3</v>
      </c>
    </row>
    <row r="78" spans="1:7" ht="15" customHeight="1" x14ac:dyDescent="0.45">
      <c r="A78" s="69" t="s">
        <v>510</v>
      </c>
      <c r="B78" s="84" t="str">
        <f>B35</f>
        <v>n.a.</v>
      </c>
      <c r="C78" s="84">
        <f>C35</f>
        <v>0.1930652875393023</v>
      </c>
      <c r="D78" s="84">
        <f>D35</f>
        <v>0.21374526807453964</v>
      </c>
      <c r="E78" s="84">
        <f>E35</f>
        <v>0.26091555465648181</v>
      </c>
      <c r="F78" s="84">
        <f>IFERROR(D35-C35,"n.a.")</f>
        <v>2.0679980535237341E-2</v>
      </c>
    </row>
    <row r="79" spans="1:7" ht="15" customHeight="1" x14ac:dyDescent="0.45">
      <c r="A79" s="69" t="s">
        <v>511</v>
      </c>
      <c r="B79" s="84" t="str">
        <f>B49</f>
        <v>n.a.</v>
      </c>
      <c r="C79" s="84">
        <f>C49</f>
        <v>0.12350789089090071</v>
      </c>
      <c r="D79" s="84">
        <f>D49</f>
        <v>0.10661943424963201</v>
      </c>
      <c r="E79" s="84">
        <f>E49</f>
        <v>0.1203639088171975</v>
      </c>
      <c r="F79" s="84">
        <f>IFERROR(D49-C49,"n.a.")</f>
        <v>-1.6888456641268701E-2</v>
      </c>
    </row>
    <row r="80" spans="1:7" ht="15" customHeight="1" x14ac:dyDescent="0.45">
      <c r="A80" s="69" t="s">
        <v>512</v>
      </c>
      <c r="B80" s="84" t="str">
        <f>B63</f>
        <v>n.a.</v>
      </c>
      <c r="C80" s="84">
        <f>C63</f>
        <v>0.1614775540638537</v>
      </c>
      <c r="D80" s="84">
        <f>D63</f>
        <v>0.12136003373281271</v>
      </c>
      <c r="E80" s="84">
        <f>E63</f>
        <v>0.11402485572078536</v>
      </c>
      <c r="F80" s="84">
        <f>IFERROR(D63-C63,"n.a.")</f>
        <v>-4.011752033104099E-2</v>
      </c>
    </row>
    <row r="81" spans="1:6" ht="15" customHeight="1" x14ac:dyDescent="0.45">
      <c r="A81" s="67" t="s">
        <v>513</v>
      </c>
    </row>
    <row r="82" spans="1:6" ht="15" customHeight="1" x14ac:dyDescent="0.45">
      <c r="A82" s="69" t="s">
        <v>508</v>
      </c>
      <c r="B82" s="84">
        <f>B9</f>
        <v>0.16766911098294471</v>
      </c>
      <c r="C82" s="84">
        <f>C9</f>
        <v>0.15571181366220782</v>
      </c>
      <c r="D82" s="84">
        <f>D9</f>
        <v>0.15470122929670657</v>
      </c>
      <c r="E82" s="84">
        <f>E9</f>
        <v>0.14164777557381694</v>
      </c>
      <c r="F82" s="84">
        <f>IFERROR(D9-C9,"n.a.")</f>
        <v>-1.0105843655012492E-3</v>
      </c>
    </row>
    <row r="83" spans="1:6" ht="15" customHeight="1" x14ac:dyDescent="0.45">
      <c r="A83" s="69" t="s">
        <v>509</v>
      </c>
      <c r="B83" s="84" t="str">
        <f>B23</f>
        <v>n.a.</v>
      </c>
      <c r="C83" s="84">
        <f>C23</f>
        <v>9.6401303584197504E-2</v>
      </c>
      <c r="D83" s="84">
        <f>D23</f>
        <v>8.0154353205412518E-2</v>
      </c>
      <c r="E83" s="84">
        <f>E23</f>
        <v>8.2516640561028698E-2</v>
      </c>
      <c r="F83" s="84">
        <f>IFERROR(D23-C23,"n.a.")</f>
        <v>-1.6246950378784986E-2</v>
      </c>
    </row>
    <row r="84" spans="1:6" ht="15" customHeight="1" x14ac:dyDescent="0.45">
      <c r="A84" s="69" t="s">
        <v>510</v>
      </c>
      <c r="B84" s="84" t="str">
        <f>B37</f>
        <v>n.a.</v>
      </c>
      <c r="C84" s="84">
        <f>C37</f>
        <v>3.5785704615165628E-2</v>
      </c>
      <c r="D84" s="84">
        <f>D37</f>
        <v>3.9976742612257636E-2</v>
      </c>
      <c r="E84" s="84">
        <f>E37</f>
        <v>4.3856674981515964E-2</v>
      </c>
      <c r="F84" s="84">
        <f>IFERROR(D37-C37,"n.a.")</f>
        <v>4.1910379970920078E-3</v>
      </c>
    </row>
    <row r="85" spans="1:6" ht="15" customHeight="1" x14ac:dyDescent="0.45">
      <c r="A85" s="69" t="s">
        <v>511</v>
      </c>
      <c r="B85" s="84" t="str">
        <f>B51</f>
        <v>n.a.</v>
      </c>
      <c r="C85" s="84">
        <f>C51</f>
        <v>9.0231416793656261E-2</v>
      </c>
      <c r="D85" s="84">
        <f>D51</f>
        <v>0.10413607158758982</v>
      </c>
      <c r="E85" s="84">
        <f>E51</f>
        <v>0.11851154809515242</v>
      </c>
      <c r="F85" s="84">
        <f>IFERROR(D51-C51,"n.a.")</f>
        <v>1.390465479393356E-2</v>
      </c>
    </row>
    <row r="86" spans="1:6" ht="15" customHeight="1" x14ac:dyDescent="0.45">
      <c r="A86" s="69" t="s">
        <v>512</v>
      </c>
      <c r="B86" s="84" t="str">
        <f>B65</f>
        <v>n.a.</v>
      </c>
      <c r="C86" s="84">
        <f>C65</f>
        <v>3.994686199814023E-2</v>
      </c>
      <c r="D86" s="84">
        <f>D65</f>
        <v>2.3851623793018323E-2</v>
      </c>
      <c r="E86" s="84">
        <f>E65</f>
        <v>1.7585137017127637E-2</v>
      </c>
      <c r="F86" s="84">
        <f>IFERROR(D65-C65,"n.a.")</f>
        <v>-1.6095238205121907E-2</v>
      </c>
    </row>
    <row r="87" spans="1:6" ht="15" customHeight="1" x14ac:dyDescent="0.45">
      <c r="A87" s="67" t="s">
        <v>495</v>
      </c>
    </row>
    <row r="88" spans="1:6" ht="15" customHeight="1" x14ac:dyDescent="0.45">
      <c r="A88" s="69" t="s">
        <v>508</v>
      </c>
      <c r="B88" s="84">
        <f>B11</f>
        <v>0.10594201053128301</v>
      </c>
      <c r="C88" s="84">
        <f>C11</f>
        <v>0.13228225341280525</v>
      </c>
      <c r="D88" s="84">
        <f>D11</f>
        <v>0.12319829213292523</v>
      </c>
      <c r="E88" s="84">
        <f>E11</f>
        <v>9.3064607537546057E-2</v>
      </c>
      <c r="F88" s="84">
        <f>IFERROR(D11-C11,"n.a.")</f>
        <v>-9.0839612798800234E-3</v>
      </c>
    </row>
    <row r="89" spans="1:6" ht="15" customHeight="1" x14ac:dyDescent="0.45">
      <c r="A89" s="69" t="s">
        <v>509</v>
      </c>
      <c r="B89" s="84" t="str">
        <f>B25</f>
        <v>n.a.</v>
      </c>
      <c r="C89" s="84">
        <f>C25</f>
        <v>7.7552715086449772E-2</v>
      </c>
      <c r="D89" s="84">
        <f>D25</f>
        <v>0.12589433316458418</v>
      </c>
      <c r="E89" s="84">
        <f>E25</f>
        <v>8.4436760161940544E-2</v>
      </c>
      <c r="F89" s="84">
        <f>IFERROR(D25-C25,"n.a.")</f>
        <v>4.8341618078134405E-2</v>
      </c>
    </row>
    <row r="90" spans="1:6" ht="15" customHeight="1" x14ac:dyDescent="0.45">
      <c r="A90" s="69" t="s">
        <v>510</v>
      </c>
      <c r="B90" s="84" t="str">
        <f>B39</f>
        <v>n.a.</v>
      </c>
      <c r="C90" s="84">
        <f>C39</f>
        <v>4.3791165933350806E-2</v>
      </c>
      <c r="D90" s="84">
        <f>D39</f>
        <v>7.2424872698948026E-2</v>
      </c>
      <c r="E90" s="84">
        <f>E39</f>
        <v>9.4995135029638578E-2</v>
      </c>
      <c r="F90" s="84">
        <f>IFERROR(D39-C39,"n.a.")</f>
        <v>2.8633706765597219E-2</v>
      </c>
    </row>
    <row r="91" spans="1:6" ht="15" customHeight="1" x14ac:dyDescent="0.45">
      <c r="A91" s="69" t="s">
        <v>511</v>
      </c>
      <c r="B91" s="84" t="str">
        <f>B53</f>
        <v>n.a.</v>
      </c>
      <c r="C91" s="84">
        <f>C53</f>
        <v>6.9650632243199409E-2</v>
      </c>
      <c r="D91" s="84">
        <f>D53</f>
        <v>8.7465956988533294E-2</v>
      </c>
      <c r="E91" s="84">
        <f>E53</f>
        <v>0.18007239428990532</v>
      </c>
      <c r="F91" s="84">
        <f>IFERROR(D53-C53,"n.a.")</f>
        <v>1.7815324745333885E-2</v>
      </c>
    </row>
    <row r="92" spans="1:6" ht="15" customHeight="1" x14ac:dyDescent="0.45">
      <c r="A92" s="69" t="s">
        <v>512</v>
      </c>
      <c r="B92" s="84" t="str">
        <f>B67</f>
        <v>n.a.</v>
      </c>
      <c r="C92" s="84">
        <f>C67</f>
        <v>1.4813629283344158E-3</v>
      </c>
      <c r="D92" s="84">
        <f>D67</f>
        <v>8.6302576834381342E-5</v>
      </c>
      <c r="E92" s="84" t="str">
        <f>E67</f>
        <v>n.a.</v>
      </c>
      <c r="F92" s="84">
        <f>IFERROR(D67-C67,"n.a.")</f>
        <v>-1.3950603515000344E-3</v>
      </c>
    </row>
    <row r="93" spans="1:6" ht="15" customHeight="1" x14ac:dyDescent="0.45">
      <c r="A93" s="67" t="s">
        <v>514</v>
      </c>
    </row>
    <row r="94" spans="1:6" ht="15" customHeight="1" x14ac:dyDescent="0.45">
      <c r="A94" s="69" t="s">
        <v>508</v>
      </c>
      <c r="B94" s="84">
        <f>B14</f>
        <v>0.28204139108810772</v>
      </c>
      <c r="C94" s="84">
        <f>C14</f>
        <v>0.31698917790534792</v>
      </c>
      <c r="D94" s="84">
        <f>D14</f>
        <v>0.21786615581459465</v>
      </c>
      <c r="E94" s="84">
        <f>E14</f>
        <v>0.1572966846132049</v>
      </c>
      <c r="F94" s="84">
        <f>IFERROR(D14-C14,"n.a.")</f>
        <v>-9.9123022090753271E-2</v>
      </c>
    </row>
    <row r="95" spans="1:6" ht="15" customHeight="1" x14ac:dyDescent="0.45">
      <c r="A95" s="69" t="s">
        <v>509</v>
      </c>
      <c r="B95" s="84" t="str">
        <f>B28</f>
        <v>n.a.</v>
      </c>
      <c r="C95" s="84">
        <f>C28</f>
        <v>0.32433082568021326</v>
      </c>
      <c r="D95" s="84">
        <f>D28</f>
        <v>0.34665406274780364</v>
      </c>
      <c r="E95" s="84">
        <f>E28</f>
        <v>0.32371276380246444</v>
      </c>
      <c r="F95" s="84">
        <f>IFERROR(D28-C28,"n.a.")</f>
        <v>2.2323237067590374E-2</v>
      </c>
    </row>
    <row r="96" spans="1:6" ht="15" customHeight="1" x14ac:dyDescent="0.45">
      <c r="A96" s="69" t="s">
        <v>510</v>
      </c>
      <c r="B96" s="84" t="str">
        <f>B42</f>
        <v>n.a.</v>
      </c>
      <c r="C96" s="84">
        <f>C42</f>
        <v>0.41338194746385332</v>
      </c>
      <c r="D96" s="84">
        <f>D42</f>
        <v>0.41309795586344433</v>
      </c>
      <c r="E96" s="84">
        <f>E42</f>
        <v>0.31864131278696561</v>
      </c>
      <c r="F96" s="84">
        <f>IFERROR(D42-C42,"n.a.")</f>
        <v>-2.8399160040898375E-4</v>
      </c>
    </row>
    <row r="97" spans="1:6" ht="15" customHeight="1" x14ac:dyDescent="0.45">
      <c r="A97" s="69" t="s">
        <v>511</v>
      </c>
      <c r="B97" s="84" t="str">
        <f>B56</f>
        <v>n.a.</v>
      </c>
      <c r="C97" s="84">
        <f>C56</f>
        <v>0.34785904021728375</v>
      </c>
      <c r="D97" s="84">
        <f>D56</f>
        <v>0.34623711388478118</v>
      </c>
      <c r="E97" s="84">
        <f>E56</f>
        <v>0.27320442589667504</v>
      </c>
      <c r="F97" s="84">
        <f>IFERROR(D56-C56,"n.a.")</f>
        <v>-1.6219263325025768E-3</v>
      </c>
    </row>
    <row r="98" spans="1:6" ht="15" customHeight="1" x14ac:dyDescent="0.45">
      <c r="A98" s="69" t="s">
        <v>512</v>
      </c>
      <c r="B98" s="84" t="str">
        <f>B70</f>
        <v>n.a.</v>
      </c>
      <c r="C98" s="84">
        <f>C70</f>
        <v>0.74805229930727057</v>
      </c>
      <c r="D98" s="84">
        <f>D70</f>
        <v>0.82333242165213061</v>
      </c>
      <c r="E98" s="84">
        <f>E70</f>
        <v>0.84190874729663168</v>
      </c>
      <c r="F98" s="84">
        <f>IFERROR(D70-C70,"n.a.")</f>
        <v>7.5280122344860034E-2</v>
      </c>
    </row>
    <row r="99" spans="1:6" ht="15" customHeight="1" x14ac:dyDescent="0.45">
      <c r="A99" s="67" t="s">
        <v>515</v>
      </c>
    </row>
    <row r="100" spans="1:6" ht="15" customHeight="1" x14ac:dyDescent="0.45">
      <c r="A100" s="69" t="s">
        <v>508</v>
      </c>
      <c r="B100" s="84">
        <f>B16</f>
        <v>0.17562749518751827</v>
      </c>
      <c r="C100" s="84">
        <f>C16</f>
        <v>0.18425714835059195</v>
      </c>
      <c r="D100" s="84">
        <f>D16</f>
        <v>9.4173034645101544E-2</v>
      </c>
      <c r="E100" s="84">
        <f>E16</f>
        <v>6.3700765089260425E-2</v>
      </c>
      <c r="F100" s="84">
        <f>IFERROR(D16-C16,"n.a.")</f>
        <v>-9.008411370549041E-2</v>
      </c>
    </row>
    <row r="101" spans="1:6" ht="15" customHeight="1" x14ac:dyDescent="0.45">
      <c r="A101" s="69" t="s">
        <v>509</v>
      </c>
      <c r="B101" s="84" t="str">
        <f>B30</f>
        <v>n.a.</v>
      </c>
      <c r="C101" s="84">
        <f>C30</f>
        <v>0.24677811059376348</v>
      </c>
      <c r="D101" s="84">
        <f>D30</f>
        <v>0.22075972958321946</v>
      </c>
      <c r="E101" s="84">
        <f>E30</f>
        <v>0.23927600364052393</v>
      </c>
      <c r="F101" s="84">
        <f>IFERROR(D30-C30,"n.a.")</f>
        <v>-2.6018381010544017E-2</v>
      </c>
    </row>
    <row r="102" spans="1:6" ht="15" customHeight="1" x14ac:dyDescent="0.45">
      <c r="A102" s="69" t="s">
        <v>510</v>
      </c>
      <c r="B102" s="84" t="str">
        <f>B44</f>
        <v>n.a.</v>
      </c>
      <c r="C102" s="84">
        <f>C44</f>
        <v>0.36959078153050251</v>
      </c>
      <c r="D102" s="84">
        <f>D44</f>
        <v>0.34067308316449629</v>
      </c>
      <c r="E102" s="84">
        <f>E44</f>
        <v>0.22364617775732704</v>
      </c>
      <c r="F102" s="84">
        <f>IFERROR(D44-C44,"n.a.")</f>
        <v>-2.8917698366006217E-2</v>
      </c>
    </row>
    <row r="103" spans="1:6" ht="15" customHeight="1" x14ac:dyDescent="0.45">
      <c r="A103" s="69" t="s">
        <v>511</v>
      </c>
      <c r="B103" s="84" t="str">
        <f>B58</f>
        <v>n.a.</v>
      </c>
      <c r="C103" s="84">
        <f>C58</f>
        <v>0.2782084079740843</v>
      </c>
      <c r="D103" s="84">
        <f>D58</f>
        <v>0.25877115689624791</v>
      </c>
      <c r="E103" s="84">
        <f>E58</f>
        <v>9.3132031606769736E-2</v>
      </c>
      <c r="F103" s="84">
        <f>IFERROR(D58-C58,"n.a.")</f>
        <v>-1.9437251077836393E-2</v>
      </c>
    </row>
    <row r="104" spans="1:6" ht="15" customHeight="1" x14ac:dyDescent="0.45">
      <c r="A104" s="69" t="s">
        <v>512</v>
      </c>
      <c r="B104" s="84" t="str">
        <f>B72</f>
        <v>n.a.</v>
      </c>
      <c r="C104" s="84">
        <f>C72</f>
        <v>0.74009617692981955</v>
      </c>
      <c r="D104" s="84">
        <f>D72</f>
        <v>0.81983981292958585</v>
      </c>
      <c r="E104" s="84" t="str">
        <f>E72</f>
        <v>n.a.</v>
      </c>
      <c r="F104" s="84">
        <f>IFERROR(D72-C72,"n.a.")</f>
        <v>7.9743635999766305E-2</v>
      </c>
    </row>
    <row r="106" spans="1:6" ht="15" customHeight="1" x14ac:dyDescent="0.45">
      <c r="A106" s="67" t="s">
        <v>516</v>
      </c>
    </row>
    <row r="107" spans="1:6" ht="15" customHeight="1" x14ac:dyDescent="0.45">
      <c r="A107" s="85" t="s">
        <v>517</v>
      </c>
    </row>
    <row r="108" spans="1:6" ht="15" customHeight="1" x14ac:dyDescent="0.45">
      <c r="A108" s="85" t="s">
        <v>518</v>
      </c>
    </row>
    <row r="109" spans="1:6" ht="15" customHeight="1" x14ac:dyDescent="0.45">
      <c r="A109" s="85" t="s">
        <v>519</v>
      </c>
    </row>
    <row r="110" spans="1:6" ht="15" customHeight="1" x14ac:dyDescent="0.45">
      <c r="A110" s="85" t="s">
        <v>520</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7"/>
  <sheetViews>
    <sheetView zoomScaleNormal="100" workbookViewId="0">
      <pane xSplit="1" ySplit="3" topLeftCell="B4" activePane="bottomRight" state="frozen"/>
      <selection pane="topRight" activeCell="B1" sqref="B1"/>
      <selection pane="bottomLeft" activeCell="A4" sqref="A4"/>
      <selection pane="bottomRight" activeCell="B4" sqref="B4"/>
    </sheetView>
  </sheetViews>
  <sheetFormatPr defaultColWidth="8.6640625" defaultRowHeight="14.25" x14ac:dyDescent="0.45"/>
  <cols>
    <col min="1" max="1" width="44" customWidth="1"/>
    <col min="2" max="7" width="13" customWidth="1"/>
    <col min="8" max="8" width="90" customWidth="1"/>
  </cols>
  <sheetData>
    <row r="1" spans="1:8" ht="17.649999999999999" x14ac:dyDescent="0.5">
      <c r="A1" s="81" t="s">
        <v>521</v>
      </c>
    </row>
    <row r="2" spans="1:8" x14ac:dyDescent="0.45">
      <c r="A2" s="80" t="s">
        <v>522</v>
      </c>
    </row>
    <row r="4" spans="1:8" x14ac:dyDescent="0.45">
      <c r="A4" s="5" t="s">
        <v>523</v>
      </c>
      <c r="B4" s="22" t="s">
        <v>524</v>
      </c>
      <c r="C4" s="6"/>
      <c r="D4" s="6"/>
      <c r="E4" s="6"/>
      <c r="F4" s="6"/>
      <c r="G4" s="6"/>
      <c r="H4" s="6"/>
    </row>
    <row r="5" spans="1:8" x14ac:dyDescent="0.45">
      <c r="A5" s="69" t="s">
        <v>525</v>
      </c>
      <c r="B5" s="87">
        <v>46295</v>
      </c>
      <c r="H5" s="85" t="s">
        <v>526</v>
      </c>
    </row>
    <row r="6" spans="1:8" x14ac:dyDescent="0.45">
      <c r="A6" s="69" t="s">
        <v>527</v>
      </c>
      <c r="B6" s="88">
        <v>0.11</v>
      </c>
      <c r="H6" s="85" t="s">
        <v>528</v>
      </c>
    </row>
    <row r="7" spans="1:8" x14ac:dyDescent="0.45">
      <c r="A7" s="69" t="s">
        <v>529</v>
      </c>
      <c r="B7" s="88">
        <v>0.03</v>
      </c>
      <c r="H7" s="85" t="s">
        <v>530</v>
      </c>
    </row>
    <row r="8" spans="1:8" x14ac:dyDescent="0.45">
      <c r="A8" s="69" t="s">
        <v>531</v>
      </c>
      <c r="B8" s="89">
        <v>1</v>
      </c>
    </row>
    <row r="9" spans="1:8" x14ac:dyDescent="0.45">
      <c r="A9" s="69" t="s">
        <v>532</v>
      </c>
      <c r="B9" s="90">
        <v>10</v>
      </c>
      <c r="H9" s="85" t="s">
        <v>533</v>
      </c>
    </row>
    <row r="10" spans="1:8" x14ac:dyDescent="0.45">
      <c r="A10" s="69" t="s">
        <v>534</v>
      </c>
      <c r="B10" s="88">
        <v>0.25</v>
      </c>
      <c r="H10" s="85" t="s">
        <v>535</v>
      </c>
    </row>
    <row r="11" spans="1:8" x14ac:dyDescent="0.45">
      <c r="A11" s="69" t="s">
        <v>536</v>
      </c>
      <c r="B11" s="89">
        <v>1</v>
      </c>
      <c r="H11" s="85" t="s">
        <v>537</v>
      </c>
    </row>
    <row r="12" spans="1:8" x14ac:dyDescent="0.45">
      <c r="A12" s="69" t="s">
        <v>538</v>
      </c>
      <c r="B12" s="89">
        <v>1</v>
      </c>
    </row>
    <row r="14" spans="1:8" x14ac:dyDescent="0.45">
      <c r="A14" s="5" t="s">
        <v>539</v>
      </c>
      <c r="B14" s="22" t="s">
        <v>540</v>
      </c>
      <c r="C14" s="6"/>
      <c r="D14" s="6"/>
      <c r="E14" s="6"/>
      <c r="F14" s="6"/>
      <c r="G14" s="6"/>
      <c r="H14" s="6"/>
    </row>
    <row r="15" spans="1:8" x14ac:dyDescent="0.45">
      <c r="A15" s="69" t="s">
        <v>541</v>
      </c>
      <c r="B15" s="83">
        <f>Comps!B57</f>
        <v>45.55</v>
      </c>
      <c r="H15" s="85" t="s">
        <v>542</v>
      </c>
    </row>
    <row r="16" spans="1:8" x14ac:dyDescent="0.45">
      <c r="A16" s="69" t="s">
        <v>543</v>
      </c>
      <c r="B16" s="91">
        <v>7.3</v>
      </c>
      <c r="H16" s="85" t="s">
        <v>544</v>
      </c>
    </row>
    <row r="17" spans="1:8" x14ac:dyDescent="0.45">
      <c r="A17" s="69" t="s">
        <v>545</v>
      </c>
      <c r="B17" s="92">
        <v>12.58</v>
      </c>
    </row>
    <row r="18" spans="1:8" x14ac:dyDescent="0.45">
      <c r="A18" s="69" t="s">
        <v>546</v>
      </c>
      <c r="B18" s="91">
        <v>5.6</v>
      </c>
    </row>
    <row r="19" spans="1:8" x14ac:dyDescent="0.45">
      <c r="A19" s="69" t="s">
        <v>102</v>
      </c>
      <c r="B19" s="83">
        <f>Comps!B61</f>
        <v>137.50700000000001</v>
      </c>
      <c r="H19" s="85" t="s">
        <v>547</v>
      </c>
    </row>
    <row r="20" spans="1:8" x14ac:dyDescent="0.45">
      <c r="A20" s="69" t="s">
        <v>548</v>
      </c>
      <c r="B20" s="83">
        <f>Comps!B59</f>
        <v>0</v>
      </c>
      <c r="H20" s="85" t="s">
        <v>549</v>
      </c>
    </row>
    <row r="21" spans="1:8" x14ac:dyDescent="0.45">
      <c r="A21" s="69" t="s">
        <v>550</v>
      </c>
      <c r="B21" s="93">
        <f>Comps!B56</f>
        <v>18.8</v>
      </c>
      <c r="H21" s="85" t="s">
        <v>551</v>
      </c>
    </row>
    <row r="23" spans="1:8" x14ac:dyDescent="0.45">
      <c r="A23" s="5" t="s">
        <v>552</v>
      </c>
      <c r="B23" s="22" t="s">
        <v>75</v>
      </c>
      <c r="C23" s="22" t="s">
        <v>76</v>
      </c>
      <c r="D23" s="22" t="s">
        <v>77</v>
      </c>
      <c r="E23" s="22" t="s">
        <v>78</v>
      </c>
      <c r="F23" s="22" t="s">
        <v>553</v>
      </c>
      <c r="G23" s="22" t="s">
        <v>554</v>
      </c>
      <c r="H23" s="6"/>
    </row>
    <row r="24" spans="1:8" x14ac:dyDescent="0.45">
      <c r="A24" s="69" t="s">
        <v>555</v>
      </c>
      <c r="B24" s="84">
        <f>'Income Statement'!AD9/'Income Statement'!AC9-1</f>
        <v>-2.8600269179004045E-2</v>
      </c>
      <c r="C24" s="88">
        <v>0.06</v>
      </c>
      <c r="D24" s="88">
        <v>0.1</v>
      </c>
      <c r="E24" s="88">
        <v>0.1</v>
      </c>
      <c r="F24" s="88">
        <v>0.09</v>
      </c>
      <c r="G24" s="88">
        <v>0.08</v>
      </c>
      <c r="H24" s="85" t="s">
        <v>556</v>
      </c>
    </row>
    <row r="25" spans="1:8" x14ac:dyDescent="0.45">
      <c r="A25" s="67" t="s">
        <v>493</v>
      </c>
      <c r="B25" s="94">
        <f>'Income Statement'!AD9/1000</f>
        <v>282.92599999999999</v>
      </c>
      <c r="C25" s="94">
        <f>B25*(1+C24)</f>
        <v>299.90156000000002</v>
      </c>
      <c r="D25" s="94">
        <f>C25*(1+D24)</f>
        <v>329.89171600000003</v>
      </c>
      <c r="E25" s="94">
        <f>D25*(1+E24)</f>
        <v>362.88088760000005</v>
      </c>
      <c r="F25" s="94">
        <f>E25*(1+F24)</f>
        <v>395.54016748400011</v>
      </c>
      <c r="G25" s="94">
        <f>F25*(1+G24)</f>
        <v>427.18338088272014</v>
      </c>
    </row>
    <row r="26" spans="1:8" x14ac:dyDescent="0.45">
      <c r="A26" s="69" t="s">
        <v>557</v>
      </c>
      <c r="B26" s="84">
        <f>B27/B25</f>
        <v>0.21786615581459465</v>
      </c>
      <c r="C26" s="88">
        <v>0.22</v>
      </c>
      <c r="D26" s="88">
        <v>0.24</v>
      </c>
      <c r="E26" s="88">
        <v>0.26</v>
      </c>
      <c r="F26" s="88">
        <v>0.27</v>
      </c>
      <c r="G26" s="88">
        <v>0.28000000000000003</v>
      </c>
      <c r="H26" s="85" t="s">
        <v>558</v>
      </c>
    </row>
    <row r="27" spans="1:8" x14ac:dyDescent="0.45">
      <c r="A27" s="67" t="s">
        <v>47</v>
      </c>
      <c r="B27" s="94">
        <f>'Income Statement'!AD51/1000</f>
        <v>61.64</v>
      </c>
      <c r="C27" s="94">
        <f>C25*C26</f>
        <v>65.978343199999998</v>
      </c>
      <c r="D27" s="94">
        <f>D25*D26</f>
        <v>79.174011840000006</v>
      </c>
      <c r="E27" s="94">
        <f>E25*E26</f>
        <v>94.349030776000021</v>
      </c>
      <c r="F27" s="94">
        <f>F25*F26</f>
        <v>106.79584522068004</v>
      </c>
      <c r="G27" s="94">
        <f>G25*G26</f>
        <v>119.61134664716165</v>
      </c>
    </row>
    <row r="28" spans="1:8" x14ac:dyDescent="0.45">
      <c r="A28" s="69" t="s">
        <v>559</v>
      </c>
      <c r="B28" s="84">
        <f>B29/B25</f>
        <v>0.13564677689572538</v>
      </c>
      <c r="C28" s="88">
        <v>0.12</v>
      </c>
      <c r="D28" s="88">
        <v>0.11</v>
      </c>
      <c r="E28" s="88">
        <v>0.1</v>
      </c>
      <c r="F28" s="88">
        <v>0.09</v>
      </c>
      <c r="G28" s="88">
        <v>0.08</v>
      </c>
    </row>
    <row r="29" spans="1:8" x14ac:dyDescent="0.45">
      <c r="A29" s="69" t="s">
        <v>95</v>
      </c>
      <c r="B29" s="83">
        <f>'Income Statement'!AD59/1000</f>
        <v>38.378</v>
      </c>
      <c r="C29" s="83">
        <f>C25*C28</f>
        <v>35.988187199999999</v>
      </c>
      <c r="D29" s="83">
        <f>D25*D28</f>
        <v>36.288088760000001</v>
      </c>
      <c r="E29" s="83">
        <f>E25*E28</f>
        <v>36.288088760000008</v>
      </c>
      <c r="F29" s="83">
        <f>F25*F28</f>
        <v>35.598615073560005</v>
      </c>
      <c r="G29" s="83">
        <f>G25*G28</f>
        <v>34.174670470617613</v>
      </c>
    </row>
    <row r="30" spans="1:8" x14ac:dyDescent="0.45">
      <c r="A30" s="69" t="s">
        <v>560</v>
      </c>
      <c r="B30" s="84">
        <f>B31/B25</f>
        <v>0.15470122929670657</v>
      </c>
      <c r="C30" s="88">
        <v>0.14000000000000001</v>
      </c>
      <c r="D30" s="88">
        <v>0.13</v>
      </c>
      <c r="E30" s="88">
        <v>0.12</v>
      </c>
      <c r="F30" s="88">
        <v>0.11</v>
      </c>
      <c r="G30" s="88">
        <v>0.1</v>
      </c>
    </row>
    <row r="31" spans="1:8" x14ac:dyDescent="0.45">
      <c r="A31" s="69" t="s">
        <v>96</v>
      </c>
      <c r="B31" s="83">
        <f>'Income Statement'!AD47/1000</f>
        <v>43.768999999999998</v>
      </c>
      <c r="C31" s="83">
        <f>C25*C30</f>
        <v>41.986218400000006</v>
      </c>
      <c r="D31" s="83">
        <f>D25*D30</f>
        <v>42.885923080000005</v>
      </c>
      <c r="E31" s="83">
        <f>E25*E30</f>
        <v>43.545706512000002</v>
      </c>
      <c r="F31" s="83">
        <f>F25*F30</f>
        <v>43.509418423240014</v>
      </c>
      <c r="G31" s="83">
        <f>G25*G30</f>
        <v>42.71833808827202</v>
      </c>
    </row>
    <row r="32" spans="1:8" x14ac:dyDescent="0.45">
      <c r="A32" s="69" t="s">
        <v>561</v>
      </c>
      <c r="B32" s="83">
        <f t="shared" ref="B32:G32" si="0">B27-B29-B31</f>
        <v>-20.506999999999998</v>
      </c>
      <c r="C32" s="83">
        <f t="shared" si="0"/>
        <v>-11.996062400000007</v>
      </c>
      <c r="D32" s="83">
        <f t="shared" si="0"/>
        <v>0</v>
      </c>
      <c r="E32" s="83">
        <f t="shared" si="0"/>
        <v>14.51523550400001</v>
      </c>
      <c r="F32" s="83">
        <f t="shared" si="0"/>
        <v>27.68781172388001</v>
      </c>
      <c r="G32" s="83">
        <f t="shared" si="0"/>
        <v>42.71833808827202</v>
      </c>
    </row>
    <row r="33" spans="1:8" x14ac:dyDescent="0.45">
      <c r="A33" s="69" t="s">
        <v>562</v>
      </c>
      <c r="C33" s="83">
        <f>MAX(0,C32)*$B$10</f>
        <v>0</v>
      </c>
      <c r="D33" s="83">
        <f>MAX(0,D32)*$B$10</f>
        <v>0</v>
      </c>
      <c r="E33" s="83">
        <f>MAX(0,E32)*$B$10</f>
        <v>3.6288088760000026</v>
      </c>
      <c r="F33" s="83">
        <f>MAX(0,F32)*$B$10</f>
        <v>6.9219529309700025</v>
      </c>
      <c r="G33" s="83">
        <f>MAX(0,G32)*$B$10</f>
        <v>10.679584522068005</v>
      </c>
    </row>
    <row r="34" spans="1:8" x14ac:dyDescent="0.45">
      <c r="A34" s="69" t="s">
        <v>563</v>
      </c>
      <c r="B34" s="84">
        <f>B35/B25</f>
        <v>0.12319829213292523</v>
      </c>
      <c r="C34" s="88">
        <v>0.1</v>
      </c>
      <c r="D34" s="88">
        <v>0.1</v>
      </c>
      <c r="E34" s="88">
        <v>0.09</v>
      </c>
      <c r="F34" s="88">
        <v>0.09</v>
      </c>
      <c r="G34" s="88">
        <v>0.08</v>
      </c>
    </row>
    <row r="35" spans="1:8" x14ac:dyDescent="0.45">
      <c r="A35" s="69" t="s">
        <v>495</v>
      </c>
      <c r="B35" s="83">
        <f>-('Cash Flow'!AC26+'Cash Flow'!AC27)/1000</f>
        <v>34.856000000000002</v>
      </c>
      <c r="C35" s="83">
        <f>C25*C34</f>
        <v>29.990156000000002</v>
      </c>
      <c r="D35" s="83">
        <f>D25*D34</f>
        <v>32.989171600000006</v>
      </c>
      <c r="E35" s="83">
        <f>E25*E34</f>
        <v>32.659279884</v>
      </c>
      <c r="F35" s="83">
        <f>F25*F34</f>
        <v>35.598615073560005</v>
      </c>
      <c r="G35" s="83">
        <f>G25*G34</f>
        <v>34.174670470617613</v>
      </c>
    </row>
    <row r="36" spans="1:8" x14ac:dyDescent="0.45">
      <c r="A36" s="69" t="s">
        <v>564</v>
      </c>
      <c r="C36" s="88">
        <v>0.1</v>
      </c>
      <c r="D36" s="88">
        <v>0.1</v>
      </c>
      <c r="E36" s="88">
        <v>0.1</v>
      </c>
      <c r="F36" s="88">
        <v>0.1</v>
      </c>
      <c r="G36" s="88">
        <v>0.1</v>
      </c>
      <c r="H36" s="85" t="s">
        <v>565</v>
      </c>
    </row>
    <row r="37" spans="1:8" x14ac:dyDescent="0.45">
      <c r="A37" s="69" t="s">
        <v>566</v>
      </c>
      <c r="C37" s="83">
        <f>(C25-B25)*C36</f>
        <v>1.6975560000000032</v>
      </c>
      <c r="D37" s="83">
        <f>(D25-C25)*D36</f>
        <v>2.9990156000000017</v>
      </c>
      <c r="E37" s="83">
        <f>(E25-D25)*E36</f>
        <v>3.298917160000002</v>
      </c>
      <c r="F37" s="83">
        <f>(F25-E25)*F36</f>
        <v>3.2659279884000059</v>
      </c>
      <c r="G37" s="83">
        <f>(G25-F25)*G36</f>
        <v>3.1643213398720036</v>
      </c>
    </row>
    <row r="38" spans="1:8" x14ac:dyDescent="0.45">
      <c r="A38" s="67" t="s">
        <v>567</v>
      </c>
      <c r="C38" s="94">
        <f>C27-$B$11*C29-C33-C35-C37</f>
        <v>-1.6975560000000067</v>
      </c>
      <c r="D38" s="94">
        <f>D27-$B$11*D29-D33-D35-D37</f>
        <v>6.8977358799999973</v>
      </c>
      <c r="E38" s="94">
        <f>E27-$B$11*E29-E33-E35-E37</f>
        <v>18.47393609600001</v>
      </c>
      <c r="F38" s="94">
        <f>F27-$B$11*F29-F33-F35-F37</f>
        <v>25.410734154190006</v>
      </c>
      <c r="G38" s="94">
        <f>G27-$B$11*G29-G33-G35-G37</f>
        <v>37.418099843986411</v>
      </c>
    </row>
    <row r="39" spans="1:8" x14ac:dyDescent="0.45">
      <c r="A39" s="69" t="s">
        <v>568</v>
      </c>
      <c r="C39" s="95">
        <f>MAX(0,MIN(1,(DATE(2026,12,31)-$B$5)/365))</f>
        <v>0.25205479452054796</v>
      </c>
      <c r="D39" s="95">
        <v>1</v>
      </c>
      <c r="E39" s="95">
        <v>1</v>
      </c>
      <c r="F39" s="95">
        <v>1</v>
      </c>
      <c r="G39" s="95">
        <v>1</v>
      </c>
      <c r="H39" s="85" t="s">
        <v>569</v>
      </c>
    </row>
    <row r="40" spans="1:8" x14ac:dyDescent="0.45">
      <c r="A40" s="69" t="s">
        <v>570</v>
      </c>
      <c r="C40" s="95">
        <f>C39</f>
        <v>0.25205479452054796</v>
      </c>
      <c r="D40" s="95">
        <f>C40+1</f>
        <v>1.252054794520548</v>
      </c>
      <c r="E40" s="95">
        <f>D40+1</f>
        <v>2.2520547945205482</v>
      </c>
      <c r="F40" s="95">
        <f>E40+1</f>
        <v>3.2520547945205482</v>
      </c>
      <c r="G40" s="95">
        <f>F40+1</f>
        <v>4.2520547945205482</v>
      </c>
    </row>
    <row r="41" spans="1:8" x14ac:dyDescent="0.45">
      <c r="A41" s="69" t="s">
        <v>571</v>
      </c>
      <c r="C41" s="95">
        <f>C40-$B$12*0.5*C39</f>
        <v>0.12602739726027398</v>
      </c>
      <c r="D41" s="95">
        <f>D40-$B$12*0.5*D39</f>
        <v>0.75205479452054802</v>
      </c>
      <c r="E41" s="95">
        <f>E40-$B$12*0.5*E39</f>
        <v>1.7520547945205482</v>
      </c>
      <c r="F41" s="95">
        <f>F40-$B$12*0.5*F39</f>
        <v>2.7520547945205482</v>
      </c>
      <c r="G41" s="95">
        <f>G40-$B$12*0.5*G39</f>
        <v>3.7520547945205482</v>
      </c>
    </row>
    <row r="42" spans="1:8" x14ac:dyDescent="0.45">
      <c r="A42" s="69" t="s">
        <v>572</v>
      </c>
      <c r="C42" s="96">
        <f>1/(1+$B$6)^C41</f>
        <v>0.98693389141364074</v>
      </c>
      <c r="D42" s="96">
        <f>1/(1+$B$6)^D41</f>
        <v>0.92451643616052936</v>
      </c>
      <c r="E42" s="96">
        <f>1/(1+$B$6)^E41</f>
        <v>0.83289769023471105</v>
      </c>
      <c r="F42" s="96">
        <f>1/(1+$B$6)^F41</f>
        <v>0.75035827949073064</v>
      </c>
      <c r="G42" s="96">
        <f>1/(1+$B$6)^G41</f>
        <v>0.67599844999164915</v>
      </c>
    </row>
    <row r="43" spans="1:8" x14ac:dyDescent="0.45">
      <c r="A43" s="67" t="s">
        <v>573</v>
      </c>
      <c r="C43" s="94">
        <f>C38*C39*C42</f>
        <v>-0.42228643974103414</v>
      </c>
      <c r="D43" s="94">
        <f>D38*D39*D42</f>
        <v>6.3770701933542107</v>
      </c>
      <c r="E43" s="94">
        <f>E38*E39*E42</f>
        <v>15.386898703902064</v>
      </c>
      <c r="F43" s="94">
        <f>F38*F39*F42</f>
        <v>19.067154760534361</v>
      </c>
      <c r="G43" s="94">
        <f>G38*G39*G42</f>
        <v>25.294577496167584</v>
      </c>
    </row>
    <row r="45" spans="1:8" x14ac:dyDescent="0.45">
      <c r="A45" s="5" t="s">
        <v>574</v>
      </c>
      <c r="B45" s="22" t="s">
        <v>540</v>
      </c>
      <c r="C45" s="6"/>
      <c r="D45" s="6"/>
      <c r="E45" s="6"/>
      <c r="F45" s="6"/>
      <c r="G45" s="6"/>
      <c r="H45" s="6"/>
    </row>
    <row r="46" spans="1:8" x14ac:dyDescent="0.45">
      <c r="A46" s="69" t="s">
        <v>575</v>
      </c>
      <c r="B46" s="83">
        <f>SUM(C43:G43)</f>
        <v>65.703414714217189</v>
      </c>
    </row>
    <row r="47" spans="1:8" x14ac:dyDescent="0.45">
      <c r="A47" s="69" t="s">
        <v>576</v>
      </c>
      <c r="B47" s="83">
        <f>IF($B$8=1,G38*(1+B7)/(B6-B7),B9*G27)</f>
        <v>481.75803549132502</v>
      </c>
      <c r="H47" s="85" t="s">
        <v>577</v>
      </c>
    </row>
    <row r="48" spans="1:8" x14ac:dyDescent="0.45">
      <c r="A48" s="69" t="s">
        <v>578</v>
      </c>
      <c r="B48" s="83">
        <f>B47/(1+B6)^G40</f>
        <v>309.11008742573432</v>
      </c>
      <c r="H48" s="85" t="s">
        <v>579</v>
      </c>
    </row>
    <row r="49" spans="1:8" x14ac:dyDescent="0.45">
      <c r="A49" s="67" t="s">
        <v>442</v>
      </c>
      <c r="B49" s="94">
        <f>B46+B48</f>
        <v>374.81350213995154</v>
      </c>
    </row>
    <row r="50" spans="1:8" x14ac:dyDescent="0.45">
      <c r="A50" s="69" t="s">
        <v>580</v>
      </c>
      <c r="B50" s="83">
        <f>B19-B20</f>
        <v>137.50700000000001</v>
      </c>
    </row>
    <row r="51" spans="1:8" x14ac:dyDescent="0.45">
      <c r="A51" s="67" t="s">
        <v>581</v>
      </c>
      <c r="B51" s="94">
        <f>B49+B50</f>
        <v>512.32050213995149</v>
      </c>
    </row>
    <row r="52" spans="1:8" x14ac:dyDescent="0.45">
      <c r="A52" s="67" t="s">
        <v>582</v>
      </c>
      <c r="B52" s="97">
        <f>IF((B51+B16*B17)/(B15+B18+B16)&gt;B17,(B51+B16*B17)/(B15+B18+B16),B51/(B15+B18))</f>
        <v>10.016041097555259</v>
      </c>
      <c r="H52" s="85" t="s">
        <v>583</v>
      </c>
    </row>
    <row r="53" spans="1:8" x14ac:dyDescent="0.45">
      <c r="A53" s="69" t="s">
        <v>584</v>
      </c>
      <c r="B53" s="84">
        <f>B52/B21-1</f>
        <v>-0.46723185651301813</v>
      </c>
    </row>
    <row r="54" spans="1:8" x14ac:dyDescent="0.45">
      <c r="A54" s="69" t="s">
        <v>585</v>
      </c>
      <c r="B54" s="84">
        <f>B48/B49</f>
        <v>0.82470371440972201</v>
      </c>
      <c r="H54" s="85" t="s">
        <v>586</v>
      </c>
    </row>
    <row r="55" spans="1:8" x14ac:dyDescent="0.45">
      <c r="A55" s="69" t="s">
        <v>587</v>
      </c>
      <c r="B55" s="98">
        <f>B49/Comps!B72</f>
        <v>6.127006606400621</v>
      </c>
      <c r="H55" s="85" t="s">
        <v>588</v>
      </c>
    </row>
    <row r="56" spans="1:8" x14ac:dyDescent="0.45">
      <c r="A56" s="69" t="s">
        <v>589</v>
      </c>
      <c r="B56" s="98">
        <f>B47/G27</f>
        <v>4.0276951058201051</v>
      </c>
    </row>
    <row r="57" spans="1:8" x14ac:dyDescent="0.45">
      <c r="A57" s="69" t="s">
        <v>590</v>
      </c>
      <c r="B57" s="84">
        <f>(B47*B6-G38)/(B47+G38)</f>
        <v>2.9999999999999992E-2</v>
      </c>
      <c r="H57" s="85" t="s">
        <v>591</v>
      </c>
    </row>
    <row r="59" spans="1:8" x14ac:dyDescent="0.45">
      <c r="A59" s="5" t="s">
        <v>592</v>
      </c>
      <c r="B59" s="6"/>
      <c r="C59" s="6"/>
      <c r="D59" s="6"/>
      <c r="E59" s="6"/>
      <c r="F59" s="6"/>
      <c r="G59" s="6"/>
      <c r="H59" s="6"/>
    </row>
    <row r="60" spans="1:8" x14ac:dyDescent="0.45">
      <c r="A60" s="78" t="s">
        <v>593</v>
      </c>
    </row>
    <row r="61" spans="1:8" x14ac:dyDescent="0.45">
      <c r="C61" s="99">
        <v>0.02</v>
      </c>
      <c r="D61" s="99">
        <v>2.5000000000000001E-2</v>
      </c>
      <c r="E61" s="99">
        <v>0.03</v>
      </c>
      <c r="F61" s="99">
        <v>3.5000000000000003E-2</v>
      </c>
      <c r="G61" s="99">
        <v>0.04</v>
      </c>
    </row>
    <row r="62" spans="1:8" x14ac:dyDescent="0.45">
      <c r="B62" s="99">
        <v>0.09</v>
      </c>
      <c r="C62" s="93">
        <f t="shared" ref="C62:G66" si="1">IF((((SUMPRODUCT($C$38:$G$38*$C$39:$G$39/(1+$B62)^$C$41:$G$41)+$G$38*(1+C$61)/($B62-C$61)/(1+$B62)^$G$40)+$B$19-$B$20)+$B$16*$B$17)/($B$15+$B$18+$B$16)&gt;$B$17,(((SUMPRODUCT($C$38:$G$38*$C$39:$G$39/(1+$B62)^$C$41:$G$41)+$G$38*(1+C$61)/($B62-C$61)/(1+$B62)^$G$40)+$B$19-$B$20)+$B$16*$B$17)/($B$15+$B$18+$B$16),((SUMPRODUCT($C$38:$G$38*$C$39:$G$39/(1+$B62)^$C$41:$G$41)+$G$38*(1+C$61)/($B62-C$61)/(1+$B62)^$G$40)+$B$19-$B$20)/($B$15+$B$18))</f>
        <v>11.427531191123073</v>
      </c>
      <c r="D62" s="93">
        <f t="shared" si="1"/>
        <v>12.034940826752196</v>
      </c>
      <c r="E62" s="93">
        <f t="shared" si="1"/>
        <v>12.723154718469516</v>
      </c>
      <c r="F62" s="93">
        <f t="shared" si="1"/>
        <v>13.456047183016034</v>
      </c>
      <c r="G62" s="93">
        <f t="shared" si="1"/>
        <v>14.335518140471862</v>
      </c>
    </row>
    <row r="63" spans="1:8" x14ac:dyDescent="0.45">
      <c r="B63" s="99">
        <v>0.1</v>
      </c>
      <c r="C63" s="93">
        <f t="shared" si="1"/>
        <v>10.224274958545022</v>
      </c>
      <c r="D63" s="93">
        <f t="shared" si="1"/>
        <v>10.671415002503316</v>
      </c>
      <c r="E63" s="93">
        <f t="shared" si="1"/>
        <v>11.18243219559851</v>
      </c>
      <c r="F63" s="93">
        <f t="shared" si="1"/>
        <v>11.772067418400656</v>
      </c>
      <c r="G63" s="93">
        <f t="shared" si="1"/>
        <v>12.459975178336494</v>
      </c>
    </row>
    <row r="64" spans="1:8" x14ac:dyDescent="0.45">
      <c r="B64" s="99">
        <v>0.11</v>
      </c>
      <c r="C64" s="93">
        <f t="shared" si="1"/>
        <v>9.2924207263042486</v>
      </c>
      <c r="D64" s="93">
        <f t="shared" si="1"/>
        <v>9.6329479598341372</v>
      </c>
      <c r="E64" s="93">
        <f t="shared" si="1"/>
        <v>10.016041097555259</v>
      </c>
      <c r="F64" s="93">
        <f t="shared" si="1"/>
        <v>10.450213320305865</v>
      </c>
      <c r="G64" s="93">
        <f t="shared" si="1"/>
        <v>10.94641014630656</v>
      </c>
    </row>
    <row r="65" spans="1:8" x14ac:dyDescent="0.45">
      <c r="B65" s="99">
        <v>0.12</v>
      </c>
      <c r="C65" s="93">
        <f t="shared" si="1"/>
        <v>8.5503508567172126</v>
      </c>
      <c r="D65" s="93">
        <f t="shared" si="1"/>
        <v>8.816682509307503</v>
      </c>
      <c r="E65" s="93">
        <f t="shared" si="1"/>
        <v>9.1126065677411603</v>
      </c>
      <c r="F65" s="93">
        <f t="shared" si="1"/>
        <v>9.4433452212846571</v>
      </c>
      <c r="G65" s="93">
        <f t="shared" si="1"/>
        <v>9.8154262065210958</v>
      </c>
    </row>
    <row r="66" spans="1:8" x14ac:dyDescent="0.45">
      <c r="B66" s="99">
        <v>0.13</v>
      </c>
      <c r="C66" s="93">
        <f t="shared" si="1"/>
        <v>7.9461385423538324</v>
      </c>
      <c r="D66" s="93">
        <f t="shared" si="1"/>
        <v>8.1589573986541613</v>
      </c>
      <c r="E66" s="93">
        <f t="shared" si="1"/>
        <v>8.3930581405845235</v>
      </c>
      <c r="F66" s="93">
        <f t="shared" si="1"/>
        <v>8.6518010658759756</v>
      </c>
      <c r="G66" s="93">
        <f t="shared" si="1"/>
        <v>8.9392932050887044</v>
      </c>
    </row>
    <row r="68" spans="1:8" x14ac:dyDescent="0.45">
      <c r="A68" s="5" t="s">
        <v>594</v>
      </c>
      <c r="B68" s="6"/>
      <c r="C68" s="6"/>
      <c r="D68" s="6"/>
      <c r="E68" s="6"/>
      <c r="F68" s="6"/>
      <c r="G68" s="6"/>
      <c r="H68" s="6"/>
    </row>
    <row r="69" spans="1:8" x14ac:dyDescent="0.45">
      <c r="A69" s="78" t="s">
        <v>595</v>
      </c>
    </row>
    <row r="70" spans="1:8" x14ac:dyDescent="0.45">
      <c r="C70" s="100">
        <v>8</v>
      </c>
      <c r="D70" s="100">
        <v>9</v>
      </c>
      <c r="E70" s="100">
        <v>10</v>
      </c>
      <c r="F70" s="100">
        <v>11</v>
      </c>
      <c r="G70" s="100">
        <v>12</v>
      </c>
    </row>
    <row r="71" spans="1:8" x14ac:dyDescent="0.45">
      <c r="B71" s="99">
        <v>0.09</v>
      </c>
      <c r="C71" s="93">
        <f t="shared" ref="C71:G75" si="2">IF((((SUMPRODUCT($C$38:$G$38*$C$39:$G$39/(1+$B71)^$C$41:$G$41)+C$70*$G$27/(1+$B71)^$G$40)+$B$19-$B$20)+$B$16*$B$17)/($B$15+$B$18+$B$16)&gt;$B$17,(((SUMPRODUCT($C$38:$G$38*$C$39:$G$39/(1+$B71)^$C$41:$G$41)+C$70*$G$27/(1+$B71)^$G$40)+$B$19-$B$20)+$B$16*$B$17)/($B$15+$B$18+$B$16),((SUMPRODUCT($C$38:$G$38*$C$39:$G$39/(1+$B71)^$C$41:$G$41)+C$70*$G$27/(1+$B71)^$G$40)+$B$19-$B$20)/($B$15+$B$18))</f>
        <v>16.453603945413473</v>
      </c>
      <c r="D71" s="93">
        <f t="shared" si="2"/>
        <v>17.872166018886062</v>
      </c>
      <c r="E71" s="93">
        <f t="shared" si="2"/>
        <v>19.290728092358652</v>
      </c>
      <c r="F71" s="93">
        <f t="shared" si="2"/>
        <v>20.709290165831245</v>
      </c>
      <c r="G71" s="93">
        <f t="shared" si="2"/>
        <v>22.127852239303834</v>
      </c>
    </row>
    <row r="72" spans="1:8" x14ac:dyDescent="0.45">
      <c r="B72" s="99">
        <v>0.1</v>
      </c>
      <c r="C72" s="93">
        <f t="shared" si="2"/>
        <v>15.99218646585695</v>
      </c>
      <c r="D72" s="93">
        <f t="shared" si="2"/>
        <v>17.356719013063728</v>
      </c>
      <c r="E72" s="93">
        <f t="shared" si="2"/>
        <v>18.721251560270506</v>
      </c>
      <c r="F72" s="93">
        <f t="shared" si="2"/>
        <v>20.085784107477284</v>
      </c>
      <c r="G72" s="93">
        <f t="shared" si="2"/>
        <v>21.450316654684059</v>
      </c>
    </row>
    <row r="73" spans="1:8" x14ac:dyDescent="0.45">
      <c r="B73" s="99">
        <v>0.11</v>
      </c>
      <c r="C73" s="93">
        <f t="shared" si="2"/>
        <v>15.551986384050887</v>
      </c>
      <c r="D73" s="93">
        <f t="shared" si="2"/>
        <v>16.865008602685524</v>
      </c>
      <c r="E73" s="93">
        <f t="shared" si="2"/>
        <v>18.17803082132016</v>
      </c>
      <c r="F73" s="93">
        <f t="shared" si="2"/>
        <v>19.491053039954807</v>
      </c>
      <c r="G73" s="93">
        <f t="shared" si="2"/>
        <v>20.804075258589439</v>
      </c>
    </row>
    <row r="74" spans="1:8" x14ac:dyDescent="0.45">
      <c r="B74" s="99">
        <v>0.12</v>
      </c>
      <c r="C74" s="93">
        <f t="shared" si="2"/>
        <v>15.131845618025606</v>
      </c>
      <c r="D74" s="93">
        <f t="shared" si="2"/>
        <v>16.395738113443098</v>
      </c>
      <c r="E74" s="93">
        <f t="shared" si="2"/>
        <v>17.659630608860585</v>
      </c>
      <c r="F74" s="93">
        <f t="shared" si="2"/>
        <v>18.923523104278075</v>
      </c>
      <c r="G74" s="93">
        <f t="shared" si="2"/>
        <v>20.187415599695566</v>
      </c>
    </row>
    <row r="75" spans="1:8" x14ac:dyDescent="0.45">
      <c r="B75" s="99">
        <v>0.13</v>
      </c>
      <c r="C75" s="93">
        <f t="shared" si="2"/>
        <v>14.730678961866468</v>
      </c>
      <c r="D75" s="93">
        <f t="shared" si="2"/>
        <v>15.947692513875515</v>
      </c>
      <c r="E75" s="93">
        <f t="shared" si="2"/>
        <v>17.164706065884562</v>
      </c>
      <c r="F75" s="93">
        <f t="shared" si="2"/>
        <v>18.381719617893609</v>
      </c>
      <c r="G75" s="93">
        <f t="shared" si="2"/>
        <v>19.598733169902655</v>
      </c>
    </row>
    <row r="77" spans="1:8" x14ac:dyDescent="0.45">
      <c r="A77" s="80" t="s">
        <v>596</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FD79-45B0-445E-BF3C-F91E3F12F775}">
  <dimension ref="A1:AS255"/>
  <sheetViews>
    <sheetView zoomScale="115" zoomScaleNormal="115" workbookViewId="0"/>
  </sheetViews>
  <sheetFormatPr defaultRowHeight="14.25" x14ac:dyDescent="0.45"/>
  <cols>
    <col min="1" max="1" width="1.59765625" customWidth="1"/>
    <col min="2" max="5" width="25.59765625" customWidth="1"/>
    <col min="6" max="9" width="10.59765625" customWidth="1"/>
    <col min="10" max="10" width="1.59765625" customWidth="1"/>
    <col min="11" max="14" width="10.59765625" customWidth="1"/>
    <col min="16" max="16" width="23.1328125" customWidth="1"/>
    <col min="17" max="18" width="14.19921875" customWidth="1"/>
    <col min="19" max="31" width="12.796875" customWidth="1"/>
    <col min="33" max="33" width="58.6640625" customWidth="1"/>
  </cols>
  <sheetData>
    <row r="1" spans="1:45" ht="17.649999999999999" x14ac:dyDescent="0.5">
      <c r="B1" s="81" t="s">
        <v>670</v>
      </c>
      <c r="S1" s="163" t="str">
        <f>"Daily multiples: "&amp;TEXT(MIN(S5:S255),"m/d/yy")&amp;" to "&amp;TEXT(MAX(S5:S255),"m/d/yy")</f>
        <v>Daily multiples: 10/3/25 to 10/2/26</v>
      </c>
    </row>
    <row r="2" spans="1:45" x14ac:dyDescent="0.45">
      <c r="F2" s="160" t="s">
        <v>680</v>
      </c>
      <c r="G2" s="160"/>
      <c r="H2" s="160"/>
      <c r="I2" s="160"/>
      <c r="K2" s="160" t="s">
        <v>681</v>
      </c>
      <c r="L2" s="160"/>
      <c r="M2" s="160"/>
      <c r="N2" s="160"/>
      <c r="P2" s="162" t="s">
        <v>682</v>
      </c>
      <c r="AG2" s="162" t="s">
        <v>701</v>
      </c>
    </row>
    <row r="3" spans="1:45" ht="45" customHeight="1" x14ac:dyDescent="0.45">
      <c r="A3" t="s">
        <v>597</v>
      </c>
      <c r="B3" s="22" t="s">
        <v>612</v>
      </c>
      <c r="C3" s="22" t="s">
        <v>672</v>
      </c>
      <c r="D3" s="22" t="s">
        <v>673</v>
      </c>
      <c r="E3" s="22" t="s">
        <v>674</v>
      </c>
      <c r="F3" s="22" t="s">
        <v>119</v>
      </c>
      <c r="G3" s="22" t="s">
        <v>120</v>
      </c>
      <c r="H3" s="22" t="s">
        <v>121</v>
      </c>
      <c r="I3" s="22" t="s">
        <v>122</v>
      </c>
      <c r="K3" s="22" t="s">
        <v>119</v>
      </c>
      <c r="L3" s="22" t="s">
        <v>120</v>
      </c>
      <c r="M3" s="22" t="s">
        <v>121</v>
      </c>
      <c r="N3" s="22" t="s">
        <v>122</v>
      </c>
      <c r="P3" s="161" t="s">
        <v>683</v>
      </c>
      <c r="Q3" s="161" t="s">
        <v>684</v>
      </c>
      <c r="S3" s="161" t="s">
        <v>685</v>
      </c>
      <c r="T3" s="161" t="s">
        <v>686</v>
      </c>
      <c r="U3" s="161" t="s">
        <v>687</v>
      </c>
      <c r="V3" s="161" t="s">
        <v>688</v>
      </c>
      <c r="W3" s="161" t="s">
        <v>689</v>
      </c>
      <c r="X3" s="161" t="s">
        <v>690</v>
      </c>
      <c r="Y3" s="161" t="s">
        <v>691</v>
      </c>
      <c r="Z3" s="161" t="s">
        <v>692</v>
      </c>
      <c r="AA3" s="161" t="s">
        <v>693</v>
      </c>
      <c r="AB3" s="161" t="s">
        <v>694</v>
      </c>
      <c r="AC3" s="161" t="s">
        <v>695</v>
      </c>
      <c r="AD3" s="161" t="s">
        <v>696</v>
      </c>
      <c r="AE3" s="161" t="s">
        <v>697</v>
      </c>
      <c r="AG3" t="str">
        <f>"EV / LTM Revenue: PUBM vs TTD ("&amp;TEXT(MIN($S$5:$S$255),"m/d/yy")&amp;" – "&amp;TEXT(MAX($S$5:$S$255),"m/d/yy")&amp;")"</f>
        <v>EV / LTM Revenue: PUBM vs TTD (10/3/25 – 10/2/26)</v>
      </c>
      <c r="AI3" s="161" t="s">
        <v>714</v>
      </c>
      <c r="AJ3" s="161" t="s">
        <v>715</v>
      </c>
      <c r="AK3" s="161" t="s">
        <v>716</v>
      </c>
      <c r="AL3" s="161" t="s">
        <v>717</v>
      </c>
      <c r="AM3" s="161" t="s">
        <v>718</v>
      </c>
      <c r="AN3" s="161" t="s">
        <v>719</v>
      </c>
      <c r="AP3" s="161" t="s">
        <v>709</v>
      </c>
      <c r="AQ3" s="161" t="s">
        <v>710</v>
      </c>
      <c r="AR3" s="161" t="s">
        <v>711</v>
      </c>
      <c r="AS3" s="161" t="s">
        <v>712</v>
      </c>
    </row>
    <row r="4" spans="1:45" x14ac:dyDescent="0.45">
      <c r="B4" s="87" t="s">
        <v>406</v>
      </c>
      <c r="C4" s="151">
        <v>0</v>
      </c>
      <c r="D4" s="151">
        <f>+'Balance Sheet'!P9</f>
        <v>119971</v>
      </c>
      <c r="E4" s="152">
        <v>45.55</v>
      </c>
      <c r="F4" s="151">
        <f>+'Income Statement'!M9</f>
        <v>67960</v>
      </c>
      <c r="G4" s="151">
        <f>+'Income Statement'!N9</f>
        <v>80046</v>
      </c>
      <c r="H4" s="151">
        <f>+'Income Statement'!O9</f>
        <v>62567</v>
      </c>
      <c r="I4" s="151">
        <f>+'Income Statement'!P9</f>
        <v>78593</v>
      </c>
      <c r="K4" s="151">
        <f>+'Income Statement'!M51</f>
        <v>11152</v>
      </c>
      <c r="L4" s="151">
        <f>+'Income Statement'!N51</f>
        <v>27818</v>
      </c>
      <c r="M4" s="151">
        <f>+'Income Statement'!O51</f>
        <v>2588</v>
      </c>
      <c r="N4" s="151">
        <f>+'Income Statement'!P51</f>
        <v>19616</v>
      </c>
      <c r="P4" s="164">
        <f>SUM(F4:I4)</f>
        <v>289166</v>
      </c>
      <c r="Q4" s="164">
        <f>SUM(K4:N4)</f>
        <v>61174</v>
      </c>
      <c r="AG4" t="str">
        <f>"EV / LTM Adj. EBITDA: PUBM vs TTD ("&amp;TEXT(MIN($S$5:$S$255),"m/d/yy")&amp;" – "&amp;TEXT(MAX($S$5:$S$255),"m/d/yy")&amp;")"</f>
        <v>EV / LTM Adj. EBITDA: PUBM vs TTD (10/3/25 – 10/2/26)</v>
      </c>
      <c r="AP4" t="s">
        <v>359</v>
      </c>
      <c r="AQ4" t="s">
        <v>119</v>
      </c>
      <c r="AR4" s="165">
        <v>45971</v>
      </c>
      <c r="AS4" t="s">
        <v>713</v>
      </c>
    </row>
    <row r="5" spans="1:45" x14ac:dyDescent="0.45">
      <c r="B5" s="87" t="s">
        <v>671</v>
      </c>
      <c r="C5" s="151">
        <v>0</v>
      </c>
      <c r="D5" s="151">
        <f>+Comps!D61 *1000</f>
        <v>1485333</v>
      </c>
      <c r="E5" s="151">
        <v>472.8</v>
      </c>
      <c r="F5" s="151">
        <v>694040</v>
      </c>
      <c r="G5" s="151">
        <v>739430</v>
      </c>
      <c r="H5" s="151">
        <v>688860</v>
      </c>
      <c r="I5" s="151">
        <v>715060</v>
      </c>
      <c r="K5" s="151">
        <v>161220</v>
      </c>
      <c r="L5" s="151">
        <v>256870</v>
      </c>
      <c r="M5" s="151">
        <v>66650</v>
      </c>
      <c r="N5" s="151">
        <v>101580</v>
      </c>
      <c r="P5" s="164">
        <f>SUM(F5:I5)</f>
        <v>2837390</v>
      </c>
      <c r="Q5" s="164">
        <f>SUM(K5:N5)</f>
        <v>586320</v>
      </c>
      <c r="S5" s="170">
        <f>'PubMatic Data'!A2</f>
        <v>46297</v>
      </c>
      <c r="T5" s="171">
        <f>'PubMatic Data'!B2</f>
        <v>18.420000000000002</v>
      </c>
      <c r="U5" s="171">
        <f>_xlfn.XLOOKUP(S5,'Trade Deck Data'!$A:$A,'Trade Deck Data'!$B:$B,NA())</f>
        <v>11.95</v>
      </c>
      <c r="V5" s="172">
        <f>T5*$E$4*1000</f>
        <v>839031.00000000012</v>
      </c>
      <c r="W5" s="172">
        <f>V5+$C$4-$D$4</f>
        <v>719060.00000000012</v>
      </c>
      <c r="X5" s="172">
        <f>U5*$E$5*1000</f>
        <v>5649960</v>
      </c>
      <c r="Y5" s="172">
        <f>X5+$C$5-$D$5</f>
        <v>4164627</v>
      </c>
      <c r="Z5" s="173">
        <f>W5/$P$4</f>
        <v>2.486668557160939</v>
      </c>
      <c r="AA5" s="173">
        <f>Y5/$P$5</f>
        <v>1.4677668561600625</v>
      </c>
      <c r="AB5" s="173">
        <f>W5/$Q$4</f>
        <v>11.754340079118581</v>
      </c>
      <c r="AC5" s="173">
        <f>Y5/$Q$5</f>
        <v>7.1029932460090057</v>
      </c>
      <c r="AD5" s="173">
        <f>AA5-Z5</f>
        <v>-1.0189017010008765</v>
      </c>
      <c r="AE5" s="173">
        <f>AC5-AB5</f>
        <v>-4.6513468331095753</v>
      </c>
      <c r="AG5" t="str">
        <f>"PUBM vs TTD share price, 1 year ("&amp;TEXT(MIN($S$5:$S$255),"m/d/yy")&amp;" – "&amp;TEXT(MAX($S$5:$S$255),"m/d/yy")&amp;")"</f>
        <v>PUBM vs TTD share price, 1 year (10/3/25 – 10/2/26)</v>
      </c>
      <c r="AI5" s="178" t="e">
        <f>IF(COUNTIFS($AP$4:$AP$20,"PUBM",$AR$4:$AR$20,$S5)&gt;0,Z5,NA())</f>
        <v>#N/A</v>
      </c>
      <c r="AJ5" s="178" t="e">
        <f>IF(COUNTIFS($AP$4:$AP$20,"TTD",$AR$4:$AR$20,$S5)&gt;0,AA5,NA())</f>
        <v>#N/A</v>
      </c>
      <c r="AK5" s="178" t="e">
        <f>IF(COUNTIFS($AP$4:$AP$20,"PUBM",$AR$4:$AR$20,$S5)&gt;0,AB5,NA())</f>
        <v>#N/A</v>
      </c>
      <c r="AL5" s="178" t="e">
        <f>IF(COUNTIFS($AP$4:$AP$20,"TTD",$AR$4:$AR$20,$S5)&gt;0,AC5,NA())</f>
        <v>#N/A</v>
      </c>
      <c r="AM5" s="166" t="e">
        <f>IF(COUNTIFS($AP$4:$AP$20,"PUBM",$AR$4:$AR$20,$S5)&gt;0,T5,NA())</f>
        <v>#N/A</v>
      </c>
      <c r="AN5" s="166" t="e">
        <f>IF(COUNTIFS($AP$4:$AP$20,"TTD",$AR$4:$AR$20,$S5)&gt;0,U5,NA())</f>
        <v>#N/A</v>
      </c>
      <c r="AP5" t="s">
        <v>359</v>
      </c>
      <c r="AQ5" t="s">
        <v>120</v>
      </c>
      <c r="AR5" s="165">
        <v>46079</v>
      </c>
      <c r="AS5" t="s">
        <v>713</v>
      </c>
    </row>
    <row r="6" spans="1:45" x14ac:dyDescent="0.45">
      <c r="S6" s="170">
        <f>'PubMatic Data'!A3</f>
        <v>46296</v>
      </c>
      <c r="T6" s="171">
        <f>'PubMatic Data'!B3</f>
        <v>19.18</v>
      </c>
      <c r="U6" s="171">
        <f>_xlfn.XLOOKUP(S6,'Trade Deck Data'!$A:$A,'Trade Deck Data'!$B:$B,NA())</f>
        <v>12.1</v>
      </c>
      <c r="V6" s="172">
        <f t="shared" ref="V6:V69" si="0">T6*$E$4*1000</f>
        <v>873648.99999999988</v>
      </c>
      <c r="W6" s="172">
        <f t="shared" ref="W6:W69" si="1">V6+$C$4-$D$4</f>
        <v>753677.99999999988</v>
      </c>
      <c r="X6" s="172">
        <f t="shared" ref="X6:X69" si="2">U6*$E$5*1000</f>
        <v>5720880</v>
      </c>
      <c r="Y6" s="172">
        <f t="shared" ref="Y6:Y69" si="3">X6+$C$5-$D$5</f>
        <v>4235547</v>
      </c>
      <c r="Z6" s="173">
        <f t="shared" ref="Z6:Z69" si="4">W6/$P$4</f>
        <v>2.6063852596778316</v>
      </c>
      <c r="AA6" s="173">
        <f t="shared" ref="AA6:AA69" si="5">Y6/$P$5</f>
        <v>1.4927616577206517</v>
      </c>
      <c r="AB6" s="173">
        <f t="shared" ref="AB6:AB69" si="6">W6/$Q$4</f>
        <v>12.320234086376564</v>
      </c>
      <c r="AC6" s="173">
        <f t="shared" ref="AC6:AC69" si="7">Y6/$Q$5</f>
        <v>7.2239510847318869</v>
      </c>
      <c r="AD6" s="173">
        <f t="shared" ref="AD6:AD69" si="8">AA6-Z6</f>
        <v>-1.1136236019571799</v>
      </c>
      <c r="AE6" s="173">
        <f t="shared" ref="AE6:AE69" si="9">AC6-AB6</f>
        <v>-5.096283001644677</v>
      </c>
      <c r="AG6" t="str">
        <f>"3-month window starts "&amp;TEXT(MIN($S$5:$S$69),"m/d/yy")</f>
        <v>3-month window starts 7/2/26</v>
      </c>
      <c r="AI6" s="178" t="e">
        <f t="shared" ref="AI6:AI69" si="10">IF(COUNTIFS($AP$4:$AP$20,"PUBM",$AR$4:$AR$20,$S6)&gt;0,Z6,NA())</f>
        <v>#N/A</v>
      </c>
      <c r="AJ6" s="178" t="e">
        <f t="shared" ref="AJ6:AJ69" si="11">IF(COUNTIFS($AP$4:$AP$20,"TTD",$AR$4:$AR$20,$S6)&gt;0,AA6,NA())</f>
        <v>#N/A</v>
      </c>
      <c r="AK6" s="178" t="e">
        <f t="shared" ref="AK6:AK69" si="12">IF(COUNTIFS($AP$4:$AP$20,"PUBM",$AR$4:$AR$20,$S6)&gt;0,AB6,NA())</f>
        <v>#N/A</v>
      </c>
      <c r="AL6" s="178" t="e">
        <f t="shared" ref="AL6:AL69" si="13">IF(COUNTIFS($AP$4:$AP$20,"TTD",$AR$4:$AR$20,$S6)&gt;0,AC6,NA())</f>
        <v>#N/A</v>
      </c>
      <c r="AM6" s="166" t="e">
        <f t="shared" ref="AM6:AM69" si="14">IF(COUNTIFS($AP$4:$AP$20,"PUBM",$AR$4:$AR$20,$S6)&gt;0,T6,NA())</f>
        <v>#N/A</v>
      </c>
      <c r="AN6" s="166" t="e">
        <f t="shared" ref="AN6:AN69" si="15">IF(COUNTIFS($AP$4:$AP$20,"TTD",$AR$4:$AR$20,$S6)&gt;0,U6,NA())</f>
        <v>#N/A</v>
      </c>
      <c r="AP6" t="s">
        <v>359</v>
      </c>
      <c r="AQ6" t="s">
        <v>121</v>
      </c>
      <c r="AR6" s="165">
        <v>46149</v>
      </c>
      <c r="AS6" t="s">
        <v>713</v>
      </c>
    </row>
    <row r="7" spans="1:45" ht="15.75" x14ac:dyDescent="0.5">
      <c r="P7" s="163" t="s">
        <v>698</v>
      </c>
      <c r="S7" s="170">
        <f>'PubMatic Data'!A4</f>
        <v>46295</v>
      </c>
      <c r="T7" s="171">
        <f>'PubMatic Data'!B4</f>
        <v>18.73</v>
      </c>
      <c r="U7" s="171">
        <f>_xlfn.XLOOKUP(S7,'Trade Deck Data'!$A:$A,'Trade Deck Data'!$B:$B,NA())</f>
        <v>12.17</v>
      </c>
      <c r="V7" s="172">
        <f t="shared" si="0"/>
        <v>853151.5</v>
      </c>
      <c r="W7" s="172">
        <f t="shared" si="1"/>
        <v>733180.5</v>
      </c>
      <c r="X7" s="172">
        <f t="shared" si="2"/>
        <v>5753976</v>
      </c>
      <c r="Y7" s="172">
        <f t="shared" si="3"/>
        <v>4268643</v>
      </c>
      <c r="Z7" s="173">
        <f t="shared" si="4"/>
        <v>2.5355003700296717</v>
      </c>
      <c r="AA7" s="173">
        <f t="shared" si="5"/>
        <v>1.5044258984489267</v>
      </c>
      <c r="AB7" s="173">
        <f t="shared" si="6"/>
        <v>11.9851652662896</v>
      </c>
      <c r="AC7" s="173">
        <f t="shared" si="7"/>
        <v>7.2803980761358984</v>
      </c>
      <c r="AD7" s="173">
        <f t="shared" si="8"/>
        <v>-1.0310744715807449</v>
      </c>
      <c r="AE7" s="173">
        <f t="shared" si="9"/>
        <v>-4.704767190153702</v>
      </c>
      <c r="AG7" t="str">
        <f>"EV / LTM Revenue, last 3 months ("&amp;TEXT(MIN($S$5:$S$69),"m/d/yy")&amp;" – "&amp;TEXT(MAX($S$5:$S$69),"m/d/yy")&amp;")"</f>
        <v>EV / LTM Revenue, last 3 months (7/2/26 – 10/2/26)</v>
      </c>
      <c r="AI7" s="178" t="e">
        <f t="shared" si="10"/>
        <v>#N/A</v>
      </c>
      <c r="AJ7" s="178" t="e">
        <f t="shared" si="11"/>
        <v>#N/A</v>
      </c>
      <c r="AK7" s="178" t="e">
        <f t="shared" si="12"/>
        <v>#N/A</v>
      </c>
      <c r="AL7" s="178" t="e">
        <f t="shared" si="13"/>
        <v>#N/A</v>
      </c>
      <c r="AM7" s="166" t="e">
        <f t="shared" si="14"/>
        <v>#N/A</v>
      </c>
      <c r="AN7" s="166" t="e">
        <f t="shared" si="15"/>
        <v>#N/A</v>
      </c>
      <c r="AP7" t="s">
        <v>359</v>
      </c>
      <c r="AQ7" t="s">
        <v>122</v>
      </c>
      <c r="AR7" s="165">
        <v>46240</v>
      </c>
      <c r="AS7" t="s">
        <v>713</v>
      </c>
    </row>
    <row r="8" spans="1:45" ht="28.5" x14ac:dyDescent="0.45">
      <c r="P8" s="161" t="s">
        <v>699</v>
      </c>
      <c r="Q8" s="161" t="str">
        <f>"Latest "&amp;TEXT(MAX($S$5:$S$255),"m/d/yy")</f>
        <v>Latest 10/2/26</v>
      </c>
      <c r="R8" s="161" t="str">
        <f>"Start "&amp;TEXT(MIN($S$5:$S$255),"m/d/yy")</f>
        <v>Start 10/3/25</v>
      </c>
      <c r="S8" s="170">
        <f>'PubMatic Data'!A5</f>
        <v>46294</v>
      </c>
      <c r="T8" s="171">
        <f>'PubMatic Data'!B5</f>
        <v>18.8</v>
      </c>
      <c r="U8" s="171">
        <f>_xlfn.XLOOKUP(S8,'Trade Deck Data'!$A:$A,'Trade Deck Data'!$B:$B,NA())</f>
        <v>12.05</v>
      </c>
      <c r="V8" s="172">
        <f t="shared" si="0"/>
        <v>856340</v>
      </c>
      <c r="W8" s="172">
        <f t="shared" si="1"/>
        <v>736369</v>
      </c>
      <c r="X8" s="172">
        <f t="shared" si="2"/>
        <v>5697240.0000000009</v>
      </c>
      <c r="Y8" s="172">
        <f t="shared" si="3"/>
        <v>4211907.0000000009</v>
      </c>
      <c r="Z8" s="173">
        <f t="shared" si="4"/>
        <v>2.5465269084193856</v>
      </c>
      <c r="AA8" s="173">
        <f t="shared" si="5"/>
        <v>1.4844300572004556</v>
      </c>
      <c r="AB8" s="173">
        <f t="shared" si="6"/>
        <v>12.037287082747573</v>
      </c>
      <c r="AC8" s="173">
        <f t="shared" si="7"/>
        <v>7.1836318051575949</v>
      </c>
      <c r="AD8" s="173">
        <f t="shared" si="8"/>
        <v>-1.0620968512189299</v>
      </c>
      <c r="AE8" s="173">
        <f t="shared" si="9"/>
        <v>-4.8536552775899784</v>
      </c>
      <c r="AG8" t="str">
        <f>"EV / LTM Adj. EBITDA, last 3 months ("&amp;TEXT(MIN($S$5:$S$69),"m/d/yy")&amp;" – "&amp;TEXT(MAX($S$5:$S$69),"m/d/yy")&amp;")"</f>
        <v>EV / LTM Adj. EBITDA, last 3 months (7/2/26 – 10/2/26)</v>
      </c>
      <c r="AI8" s="178" t="e">
        <f t="shared" si="10"/>
        <v>#N/A</v>
      </c>
      <c r="AJ8" s="178" t="e">
        <f t="shared" si="11"/>
        <v>#N/A</v>
      </c>
      <c r="AK8" s="178" t="e">
        <f t="shared" si="12"/>
        <v>#N/A</v>
      </c>
      <c r="AL8" s="178" t="e">
        <f t="shared" si="13"/>
        <v>#N/A</v>
      </c>
      <c r="AM8" s="166" t="e">
        <f t="shared" si="14"/>
        <v>#N/A</v>
      </c>
      <c r="AN8" s="166" t="e">
        <f t="shared" si="15"/>
        <v>#N/A</v>
      </c>
      <c r="AP8" t="s">
        <v>361</v>
      </c>
      <c r="AQ8" t="s">
        <v>119</v>
      </c>
      <c r="AR8" s="165">
        <v>45967</v>
      </c>
      <c r="AS8" t="s">
        <v>713</v>
      </c>
    </row>
    <row r="9" spans="1:45" x14ac:dyDescent="0.45">
      <c r="P9" t="s">
        <v>692</v>
      </c>
      <c r="Q9" s="167">
        <f>_xlfn.XLOOKUP(MAX($S$5:$S$255),$S$5:$S$255,$Z$5:$Z$255)</f>
        <v>2.486668557160939</v>
      </c>
      <c r="R9" s="167">
        <f>_xlfn.XLOOKUP(MIN($S$5:$S$255),$S$5:$S$255,$Z$5:$Z$255)</f>
        <v>0.91459922674173288</v>
      </c>
      <c r="S9" s="170">
        <f>'PubMatic Data'!A6</f>
        <v>46293</v>
      </c>
      <c r="T9" s="171">
        <f>'PubMatic Data'!B6</f>
        <v>18.41</v>
      </c>
      <c r="U9" s="171">
        <f>_xlfn.XLOOKUP(S9,'Trade Deck Data'!$A:$A,'Trade Deck Data'!$B:$B,NA())</f>
        <v>12.34</v>
      </c>
      <c r="V9" s="172">
        <f t="shared" si="0"/>
        <v>838575.49999999988</v>
      </c>
      <c r="W9" s="172">
        <f t="shared" si="1"/>
        <v>718604.49999999988</v>
      </c>
      <c r="X9" s="172">
        <f t="shared" si="2"/>
        <v>5834352</v>
      </c>
      <c r="Y9" s="172">
        <f t="shared" si="3"/>
        <v>4349019</v>
      </c>
      <c r="Z9" s="173">
        <f t="shared" si="4"/>
        <v>2.4850933373909792</v>
      </c>
      <c r="AA9" s="173">
        <f t="shared" si="5"/>
        <v>1.5327533402175944</v>
      </c>
      <c r="AB9" s="173">
        <f t="shared" si="6"/>
        <v>11.746894105338868</v>
      </c>
      <c r="AC9" s="173">
        <f t="shared" si="7"/>
        <v>7.4174836266884974</v>
      </c>
      <c r="AD9" s="173">
        <f t="shared" si="8"/>
        <v>-0.9523399971733848</v>
      </c>
      <c r="AE9" s="173">
        <f t="shared" si="9"/>
        <v>-4.3294104786503702</v>
      </c>
      <c r="AI9" s="178" t="e">
        <f t="shared" si="10"/>
        <v>#N/A</v>
      </c>
      <c r="AJ9" s="178" t="e">
        <f t="shared" si="11"/>
        <v>#N/A</v>
      </c>
      <c r="AK9" s="178" t="e">
        <f t="shared" si="12"/>
        <v>#N/A</v>
      </c>
      <c r="AL9" s="178" t="e">
        <f t="shared" si="13"/>
        <v>#N/A</v>
      </c>
      <c r="AM9" s="166" t="e">
        <f t="shared" si="14"/>
        <v>#N/A</v>
      </c>
      <c r="AN9" s="166" t="e">
        <f t="shared" si="15"/>
        <v>#N/A</v>
      </c>
      <c r="AP9" t="s">
        <v>361</v>
      </c>
      <c r="AQ9" t="s">
        <v>120</v>
      </c>
      <c r="AR9" s="165">
        <v>46078</v>
      </c>
      <c r="AS9" t="s">
        <v>713</v>
      </c>
    </row>
    <row r="10" spans="1:45" x14ac:dyDescent="0.45">
      <c r="P10" t="s">
        <v>693</v>
      </c>
      <c r="Q10" s="167">
        <f>_xlfn.XLOOKUP(MAX($S$5:$S$255),$S$5:$S$255,$AA$5:$AA$255)</f>
        <v>1.4677668561600625</v>
      </c>
      <c r="R10" s="167">
        <f>_xlfn.XLOOKUP(MIN($S$5:$S$255),$S$5:$S$255,$AA$5:$AA$255)</f>
        <v>8.0663944681555932</v>
      </c>
      <c r="S10" s="170">
        <f>'PubMatic Data'!A7</f>
        <v>46290</v>
      </c>
      <c r="T10" s="171">
        <f>'PubMatic Data'!B7</f>
        <v>18.600000000000001</v>
      </c>
      <c r="U10" s="171">
        <f>_xlfn.XLOOKUP(S10,'Trade Deck Data'!$A:$A,'Trade Deck Data'!$B:$B,NA())</f>
        <v>12.6</v>
      </c>
      <c r="V10" s="172">
        <f t="shared" si="0"/>
        <v>847230</v>
      </c>
      <c r="W10" s="172">
        <f t="shared" si="1"/>
        <v>727259</v>
      </c>
      <c r="X10" s="172">
        <f t="shared" si="2"/>
        <v>5957280</v>
      </c>
      <c r="Y10" s="172">
        <f t="shared" si="3"/>
        <v>4471947</v>
      </c>
      <c r="Z10" s="173">
        <f t="shared" si="4"/>
        <v>2.5150225130202029</v>
      </c>
      <c r="AA10" s="173">
        <f t="shared" si="5"/>
        <v>1.5760776629226154</v>
      </c>
      <c r="AB10" s="173">
        <f t="shared" si="6"/>
        <v>11.888367607153366</v>
      </c>
      <c r="AC10" s="173">
        <f t="shared" si="7"/>
        <v>7.6271438804748257</v>
      </c>
      <c r="AD10" s="173">
        <f t="shared" si="8"/>
        <v>-0.93894485009758744</v>
      </c>
      <c r="AE10" s="173">
        <f t="shared" si="9"/>
        <v>-4.2612237266785407</v>
      </c>
      <c r="AI10" s="178" t="e">
        <f t="shared" si="10"/>
        <v>#N/A</v>
      </c>
      <c r="AJ10" s="178" t="e">
        <f t="shared" si="11"/>
        <v>#N/A</v>
      </c>
      <c r="AK10" s="178" t="e">
        <f t="shared" si="12"/>
        <v>#N/A</v>
      </c>
      <c r="AL10" s="178" t="e">
        <f t="shared" si="13"/>
        <v>#N/A</v>
      </c>
      <c r="AM10" s="166" t="e">
        <f t="shared" si="14"/>
        <v>#N/A</v>
      </c>
      <c r="AN10" s="166" t="e">
        <f t="shared" si="15"/>
        <v>#N/A</v>
      </c>
      <c r="AP10" t="s">
        <v>361</v>
      </c>
      <c r="AQ10" t="s">
        <v>121</v>
      </c>
      <c r="AR10" s="165">
        <v>46149</v>
      </c>
      <c r="AS10" t="s">
        <v>713</v>
      </c>
    </row>
    <row r="11" spans="1:45" x14ac:dyDescent="0.45">
      <c r="P11" s="168" t="s">
        <v>700</v>
      </c>
      <c r="Q11" s="169">
        <f>Q10-Q9</f>
        <v>-1.0189017010008765</v>
      </c>
      <c r="R11" s="169">
        <f>R10-R9</f>
        <v>7.1517952414138604</v>
      </c>
      <c r="S11" s="170">
        <f>'PubMatic Data'!A8</f>
        <v>46289</v>
      </c>
      <c r="T11" s="171">
        <f>'PubMatic Data'!B8</f>
        <v>18.55</v>
      </c>
      <c r="U11" s="171">
        <f>_xlfn.XLOOKUP(S11,'Trade Deck Data'!$A:$A,'Trade Deck Data'!$B:$B,NA())</f>
        <v>12.63</v>
      </c>
      <c r="V11" s="172">
        <f t="shared" si="0"/>
        <v>844952.5</v>
      </c>
      <c r="W11" s="172">
        <f t="shared" si="1"/>
        <v>724981.5</v>
      </c>
      <c r="X11" s="172">
        <f t="shared" si="2"/>
        <v>5971464.0000000009</v>
      </c>
      <c r="Y11" s="172">
        <f t="shared" si="3"/>
        <v>4486131.0000000009</v>
      </c>
      <c r="Z11" s="173">
        <f t="shared" si="4"/>
        <v>2.5071464141704074</v>
      </c>
      <c r="AA11" s="173">
        <f t="shared" si="5"/>
        <v>1.5810766232347337</v>
      </c>
      <c r="AB11" s="173">
        <f t="shared" si="6"/>
        <v>11.851137738254813</v>
      </c>
      <c r="AC11" s="173">
        <f t="shared" si="7"/>
        <v>7.6513354482194043</v>
      </c>
      <c r="AD11" s="173">
        <f t="shared" si="8"/>
        <v>-0.92606979093567365</v>
      </c>
      <c r="AE11" s="173">
        <f t="shared" si="9"/>
        <v>-4.1998022900354091</v>
      </c>
      <c r="AI11" s="178" t="e">
        <f t="shared" si="10"/>
        <v>#N/A</v>
      </c>
      <c r="AJ11" s="178" t="e">
        <f t="shared" si="11"/>
        <v>#N/A</v>
      </c>
      <c r="AK11" s="178" t="e">
        <f t="shared" si="12"/>
        <v>#N/A</v>
      </c>
      <c r="AL11" s="178" t="e">
        <f t="shared" si="13"/>
        <v>#N/A</v>
      </c>
      <c r="AM11" s="166" t="e">
        <f t="shared" si="14"/>
        <v>#N/A</v>
      </c>
      <c r="AN11" s="166" t="e">
        <f t="shared" si="15"/>
        <v>#N/A</v>
      </c>
      <c r="AP11" t="s">
        <v>361</v>
      </c>
      <c r="AQ11" t="s">
        <v>122</v>
      </c>
      <c r="AR11" s="165">
        <v>46240</v>
      </c>
      <c r="AS11" t="s">
        <v>713</v>
      </c>
    </row>
    <row r="12" spans="1:45" x14ac:dyDescent="0.45">
      <c r="P12" t="s">
        <v>694</v>
      </c>
      <c r="Q12" s="167">
        <f>_xlfn.XLOOKUP(MAX($S$5:$S$255),$S$5:$S$255,$AB$5:$AB$255)</f>
        <v>11.754340079118581</v>
      </c>
      <c r="R12" s="167">
        <f>_xlfn.XLOOKUP(MIN($S$5:$S$255),$S$5:$S$255,$AB$5:$AB$255)</f>
        <v>4.323258246967665</v>
      </c>
      <c r="S12" s="170">
        <f>'PubMatic Data'!A9</f>
        <v>46288</v>
      </c>
      <c r="T12" s="171">
        <f>'PubMatic Data'!B9</f>
        <v>17.454999999999998</v>
      </c>
      <c r="U12" s="171">
        <f>_xlfn.XLOOKUP(S12,'Trade Deck Data'!$A:$A,'Trade Deck Data'!$B:$B,NA())</f>
        <v>12.68</v>
      </c>
      <c r="V12" s="172">
        <f t="shared" si="0"/>
        <v>795075.24999999988</v>
      </c>
      <c r="W12" s="172">
        <f t="shared" si="1"/>
        <v>675104.24999999988</v>
      </c>
      <c r="X12" s="172">
        <f t="shared" si="2"/>
        <v>5995104</v>
      </c>
      <c r="Y12" s="172">
        <f t="shared" si="3"/>
        <v>4509771</v>
      </c>
      <c r="Z12" s="173">
        <f t="shared" si="4"/>
        <v>2.3346598493598827</v>
      </c>
      <c r="AA12" s="173">
        <f t="shared" si="5"/>
        <v>1.5894082237549296</v>
      </c>
      <c r="AB12" s="173">
        <f t="shared" si="6"/>
        <v>11.035803609376531</v>
      </c>
      <c r="AC12" s="173">
        <f t="shared" si="7"/>
        <v>7.6916547277936962</v>
      </c>
      <c r="AD12" s="173">
        <f t="shared" si="8"/>
        <v>-0.74525162560495306</v>
      </c>
      <c r="AE12" s="173">
        <f t="shared" si="9"/>
        <v>-3.3441488815828349</v>
      </c>
      <c r="AI12" s="178" t="e">
        <f t="shared" si="10"/>
        <v>#N/A</v>
      </c>
      <c r="AJ12" s="178" t="e">
        <f t="shared" si="11"/>
        <v>#N/A</v>
      </c>
      <c r="AK12" s="178" t="e">
        <f t="shared" si="12"/>
        <v>#N/A</v>
      </c>
      <c r="AL12" s="178" t="e">
        <f t="shared" si="13"/>
        <v>#N/A</v>
      </c>
      <c r="AM12" s="166" t="e">
        <f t="shared" si="14"/>
        <v>#N/A</v>
      </c>
      <c r="AN12" s="166" t="e">
        <f t="shared" si="15"/>
        <v>#N/A</v>
      </c>
    </row>
    <row r="13" spans="1:45" x14ac:dyDescent="0.45">
      <c r="P13" t="s">
        <v>695</v>
      </c>
      <c r="Q13" s="167">
        <f>_xlfn.XLOOKUP(MAX($S$5:$S$255),$S$5:$S$255,$AC$5:$AC$255)</f>
        <v>7.1029932460090057</v>
      </c>
      <c r="R13" s="167">
        <f>_xlfn.XLOOKUP(MIN($S$5:$S$255),$S$5:$S$255,$AC$5:$AC$255)</f>
        <v>39.035862668849774</v>
      </c>
      <c r="S13" s="170">
        <f>'PubMatic Data'!A10</f>
        <v>46287</v>
      </c>
      <c r="T13" s="171">
        <f>'PubMatic Data'!B10</f>
        <v>17.77</v>
      </c>
      <c r="U13" s="171">
        <f>_xlfn.XLOOKUP(S13,'Trade Deck Data'!$A:$A,'Trade Deck Data'!$B:$B,NA())</f>
        <v>13.18</v>
      </c>
      <c r="V13" s="172">
        <f t="shared" si="0"/>
        <v>809423.49999999988</v>
      </c>
      <c r="W13" s="172">
        <f t="shared" si="1"/>
        <v>689452.49999999988</v>
      </c>
      <c r="X13" s="172">
        <f t="shared" si="2"/>
        <v>6231504</v>
      </c>
      <c r="Y13" s="172">
        <f t="shared" si="3"/>
        <v>4746171</v>
      </c>
      <c r="Z13" s="173">
        <f t="shared" si="4"/>
        <v>2.384279272113595</v>
      </c>
      <c r="AA13" s="173">
        <f t="shared" si="5"/>
        <v>1.6727242289568935</v>
      </c>
      <c r="AB13" s="173">
        <f t="shared" si="6"/>
        <v>11.270351783437405</v>
      </c>
      <c r="AC13" s="173">
        <f t="shared" si="7"/>
        <v>8.0948475235366359</v>
      </c>
      <c r="AD13" s="173">
        <f t="shared" si="8"/>
        <v>-0.71155504315670148</v>
      </c>
      <c r="AE13" s="173">
        <f t="shared" si="9"/>
        <v>-3.1755042599007695</v>
      </c>
      <c r="AI13" s="178" t="e">
        <f t="shared" si="10"/>
        <v>#N/A</v>
      </c>
      <c r="AJ13" s="178" t="e">
        <f t="shared" si="11"/>
        <v>#N/A</v>
      </c>
      <c r="AK13" s="178" t="e">
        <f t="shared" si="12"/>
        <v>#N/A</v>
      </c>
      <c r="AL13" s="178" t="e">
        <f t="shared" si="13"/>
        <v>#N/A</v>
      </c>
      <c r="AM13" s="166" t="e">
        <f t="shared" si="14"/>
        <v>#N/A</v>
      </c>
      <c r="AN13" s="166" t="e">
        <f t="shared" si="15"/>
        <v>#N/A</v>
      </c>
    </row>
    <row r="14" spans="1:45" x14ac:dyDescent="0.45">
      <c r="P14" s="168" t="s">
        <v>700</v>
      </c>
      <c r="Q14" s="169">
        <f>Q13-Q12</f>
        <v>-4.6513468331095753</v>
      </c>
      <c r="R14" s="169">
        <f>R13-R12</f>
        <v>34.712604421882105</v>
      </c>
      <c r="S14" s="170">
        <f>'PubMatic Data'!A11</f>
        <v>46286</v>
      </c>
      <c r="T14" s="171">
        <f>'PubMatic Data'!B11</f>
        <v>17.88</v>
      </c>
      <c r="U14" s="171">
        <f>_xlfn.XLOOKUP(S14,'Trade Deck Data'!$A:$A,'Trade Deck Data'!$B:$B,NA())</f>
        <v>13.88</v>
      </c>
      <c r="V14" s="172">
        <f t="shared" si="0"/>
        <v>814433.99999999988</v>
      </c>
      <c r="W14" s="172">
        <f t="shared" si="1"/>
        <v>694462.99999999988</v>
      </c>
      <c r="X14" s="172">
        <f t="shared" si="2"/>
        <v>6562464.0000000009</v>
      </c>
      <c r="Y14" s="172">
        <f t="shared" si="3"/>
        <v>5077131.0000000009</v>
      </c>
      <c r="Z14" s="173">
        <f t="shared" si="4"/>
        <v>2.4016066895831458</v>
      </c>
      <c r="AA14" s="173">
        <f t="shared" si="5"/>
        <v>1.7893666362396432</v>
      </c>
      <c r="AB14" s="173">
        <f t="shared" si="6"/>
        <v>11.35225749501422</v>
      </c>
      <c r="AC14" s="173">
        <f t="shared" si="7"/>
        <v>8.6593174375767514</v>
      </c>
      <c r="AD14" s="173">
        <f t="shared" si="8"/>
        <v>-0.61224005334350262</v>
      </c>
      <c r="AE14" s="173">
        <f t="shared" si="9"/>
        <v>-2.6929400574374682</v>
      </c>
      <c r="AI14" s="178" t="e">
        <f t="shared" si="10"/>
        <v>#N/A</v>
      </c>
      <c r="AJ14" s="178" t="e">
        <f t="shared" si="11"/>
        <v>#N/A</v>
      </c>
      <c r="AK14" s="178" t="e">
        <f t="shared" si="12"/>
        <v>#N/A</v>
      </c>
      <c r="AL14" s="178" t="e">
        <f t="shared" si="13"/>
        <v>#N/A</v>
      </c>
      <c r="AM14" s="166" t="e">
        <f t="shared" si="14"/>
        <v>#N/A</v>
      </c>
      <c r="AN14" s="166" t="e">
        <f t="shared" si="15"/>
        <v>#N/A</v>
      </c>
    </row>
    <row r="15" spans="1:45" x14ac:dyDescent="0.45">
      <c r="S15" s="170">
        <f>'PubMatic Data'!A12</f>
        <v>46283</v>
      </c>
      <c r="T15" s="171">
        <f>'PubMatic Data'!B12</f>
        <v>17.55</v>
      </c>
      <c r="U15" s="171">
        <f>_xlfn.XLOOKUP(S15,'Trade Deck Data'!$A:$A,'Trade Deck Data'!$B:$B,NA())</f>
        <v>13.92</v>
      </c>
      <c r="V15" s="172">
        <f t="shared" si="0"/>
        <v>799402.5</v>
      </c>
      <c r="W15" s="172">
        <f t="shared" si="1"/>
        <v>679431.5</v>
      </c>
      <c r="X15" s="172">
        <f t="shared" si="2"/>
        <v>6581376</v>
      </c>
      <c r="Y15" s="172">
        <f t="shared" si="3"/>
        <v>5096043</v>
      </c>
      <c r="Z15" s="173">
        <f t="shared" si="4"/>
        <v>2.3496244371744948</v>
      </c>
      <c r="AA15" s="173">
        <f t="shared" si="5"/>
        <v>1.7960319166557999</v>
      </c>
      <c r="AB15" s="173">
        <f t="shared" si="6"/>
        <v>11.10654036028378</v>
      </c>
      <c r="AC15" s="173">
        <f t="shared" si="7"/>
        <v>8.6915728612361853</v>
      </c>
      <c r="AD15" s="173">
        <f t="shared" si="8"/>
        <v>-0.5535925205186949</v>
      </c>
      <c r="AE15" s="173">
        <f t="shared" si="9"/>
        <v>-2.4149674990475951</v>
      </c>
      <c r="AI15" s="178" t="e">
        <f t="shared" si="10"/>
        <v>#N/A</v>
      </c>
      <c r="AJ15" s="178" t="e">
        <f t="shared" si="11"/>
        <v>#N/A</v>
      </c>
      <c r="AK15" s="178" t="e">
        <f t="shared" si="12"/>
        <v>#N/A</v>
      </c>
      <c r="AL15" s="178" t="e">
        <f t="shared" si="13"/>
        <v>#N/A</v>
      </c>
      <c r="AM15" s="166" t="e">
        <f t="shared" si="14"/>
        <v>#N/A</v>
      </c>
      <c r="AN15" s="166" t="e">
        <f t="shared" si="15"/>
        <v>#N/A</v>
      </c>
    </row>
    <row r="16" spans="1:45" x14ac:dyDescent="0.45">
      <c r="S16" s="170">
        <f>'PubMatic Data'!A13</f>
        <v>46282</v>
      </c>
      <c r="T16" s="171">
        <f>'PubMatic Data'!B13</f>
        <v>17.329999999999998</v>
      </c>
      <c r="U16" s="171">
        <f>_xlfn.XLOOKUP(S16,'Trade Deck Data'!$A:$A,'Trade Deck Data'!$B:$B,NA())</f>
        <v>14.26</v>
      </c>
      <c r="V16" s="172">
        <f t="shared" si="0"/>
        <v>789381.49999999988</v>
      </c>
      <c r="W16" s="172">
        <f t="shared" si="1"/>
        <v>669410.49999999988</v>
      </c>
      <c r="X16" s="172">
        <f t="shared" si="2"/>
        <v>6742128</v>
      </c>
      <c r="Y16" s="172">
        <f t="shared" si="3"/>
        <v>5256795</v>
      </c>
      <c r="Z16" s="173">
        <f t="shared" si="4"/>
        <v>2.3149696022353936</v>
      </c>
      <c r="AA16" s="173">
        <f t="shared" si="5"/>
        <v>1.8526868001931351</v>
      </c>
      <c r="AB16" s="173">
        <f t="shared" si="6"/>
        <v>10.942728937130152</v>
      </c>
      <c r="AC16" s="173">
        <f t="shared" si="7"/>
        <v>8.9657439623413833</v>
      </c>
      <c r="AD16" s="173">
        <f t="shared" si="8"/>
        <v>-0.46228280204225847</v>
      </c>
      <c r="AE16" s="173">
        <f t="shared" si="9"/>
        <v>-1.9769849747887687</v>
      </c>
      <c r="AI16" s="178" t="e">
        <f t="shared" si="10"/>
        <v>#N/A</v>
      </c>
      <c r="AJ16" s="178" t="e">
        <f t="shared" si="11"/>
        <v>#N/A</v>
      </c>
      <c r="AK16" s="178" t="e">
        <f t="shared" si="12"/>
        <v>#N/A</v>
      </c>
      <c r="AL16" s="178" t="e">
        <f t="shared" si="13"/>
        <v>#N/A</v>
      </c>
      <c r="AM16" s="166" t="e">
        <f t="shared" si="14"/>
        <v>#N/A</v>
      </c>
      <c r="AN16" s="166" t="e">
        <f t="shared" si="15"/>
        <v>#N/A</v>
      </c>
    </row>
    <row r="17" spans="19:40" x14ac:dyDescent="0.45">
      <c r="S17" s="170">
        <f>'PubMatic Data'!A14</f>
        <v>46281</v>
      </c>
      <c r="T17" s="171">
        <f>'PubMatic Data'!B14</f>
        <v>16.850000000000001</v>
      </c>
      <c r="U17" s="171">
        <f>_xlfn.XLOOKUP(S17,'Trade Deck Data'!$A:$A,'Trade Deck Data'!$B:$B,NA())</f>
        <v>14.49</v>
      </c>
      <c r="V17" s="172">
        <f t="shared" si="0"/>
        <v>767517.5</v>
      </c>
      <c r="W17" s="172">
        <f t="shared" si="1"/>
        <v>647546.5</v>
      </c>
      <c r="X17" s="172">
        <f t="shared" si="2"/>
        <v>6850872</v>
      </c>
      <c r="Y17" s="172">
        <f t="shared" si="3"/>
        <v>5365539</v>
      </c>
      <c r="Z17" s="173">
        <f t="shared" si="4"/>
        <v>2.2393590532773562</v>
      </c>
      <c r="AA17" s="173">
        <f t="shared" si="5"/>
        <v>1.8910121625860385</v>
      </c>
      <c r="AB17" s="173">
        <f t="shared" si="6"/>
        <v>10.585322195704057</v>
      </c>
      <c r="AC17" s="173">
        <f t="shared" si="7"/>
        <v>9.1512126483831349</v>
      </c>
      <c r="AD17" s="173">
        <f t="shared" si="8"/>
        <v>-0.34834689069131763</v>
      </c>
      <c r="AE17" s="173">
        <f t="shared" si="9"/>
        <v>-1.4341095473209222</v>
      </c>
      <c r="AI17" s="178" t="e">
        <f t="shared" si="10"/>
        <v>#N/A</v>
      </c>
      <c r="AJ17" s="178" t="e">
        <f t="shared" si="11"/>
        <v>#N/A</v>
      </c>
      <c r="AK17" s="178" t="e">
        <f t="shared" si="12"/>
        <v>#N/A</v>
      </c>
      <c r="AL17" s="178" t="e">
        <f t="shared" si="13"/>
        <v>#N/A</v>
      </c>
      <c r="AM17" s="166" t="e">
        <f t="shared" si="14"/>
        <v>#N/A</v>
      </c>
      <c r="AN17" s="166" t="e">
        <f t="shared" si="15"/>
        <v>#N/A</v>
      </c>
    </row>
    <row r="18" spans="19:40" x14ac:dyDescent="0.45">
      <c r="S18" s="170">
        <f>'PubMatic Data'!A15</f>
        <v>46280</v>
      </c>
      <c r="T18" s="171">
        <f>'PubMatic Data'!B15</f>
        <v>16.78</v>
      </c>
      <c r="U18" s="171">
        <f>_xlfn.XLOOKUP(S18,'Trade Deck Data'!$A:$A,'Trade Deck Data'!$B:$B,NA())</f>
        <v>15</v>
      </c>
      <c r="V18" s="172">
        <f t="shared" si="0"/>
        <v>764329</v>
      </c>
      <c r="W18" s="172">
        <f t="shared" si="1"/>
        <v>644358</v>
      </c>
      <c r="X18" s="172">
        <f t="shared" si="2"/>
        <v>7092000</v>
      </c>
      <c r="Y18" s="172">
        <f t="shared" si="3"/>
        <v>5606667</v>
      </c>
      <c r="Z18" s="173">
        <f t="shared" si="4"/>
        <v>2.2283325148876423</v>
      </c>
      <c r="AA18" s="173">
        <f t="shared" si="5"/>
        <v>1.9759944878920417</v>
      </c>
      <c r="AB18" s="173">
        <f t="shared" si="6"/>
        <v>10.533200379246084</v>
      </c>
      <c r="AC18" s="173">
        <f t="shared" si="7"/>
        <v>9.5624693000409327</v>
      </c>
      <c r="AD18" s="173">
        <f t="shared" si="8"/>
        <v>-0.2523380269956006</v>
      </c>
      <c r="AE18" s="173">
        <f t="shared" si="9"/>
        <v>-0.97073107920515156</v>
      </c>
      <c r="AI18" s="178" t="e">
        <f t="shared" si="10"/>
        <v>#N/A</v>
      </c>
      <c r="AJ18" s="178" t="e">
        <f t="shared" si="11"/>
        <v>#N/A</v>
      </c>
      <c r="AK18" s="178" t="e">
        <f t="shared" si="12"/>
        <v>#N/A</v>
      </c>
      <c r="AL18" s="178" t="e">
        <f t="shared" si="13"/>
        <v>#N/A</v>
      </c>
      <c r="AM18" s="166" t="e">
        <f t="shared" si="14"/>
        <v>#N/A</v>
      </c>
      <c r="AN18" s="166" t="e">
        <f t="shared" si="15"/>
        <v>#N/A</v>
      </c>
    </row>
    <row r="19" spans="19:40" x14ac:dyDescent="0.45">
      <c r="S19" s="170">
        <f>'PubMatic Data'!A16</f>
        <v>46279</v>
      </c>
      <c r="T19" s="171">
        <f>'PubMatic Data'!B16</f>
        <v>16.59</v>
      </c>
      <c r="U19" s="171">
        <f>_xlfn.XLOOKUP(S19,'Trade Deck Data'!$A:$A,'Trade Deck Data'!$B:$B,NA())</f>
        <v>14.97</v>
      </c>
      <c r="V19" s="172">
        <f t="shared" si="0"/>
        <v>755674.5</v>
      </c>
      <c r="W19" s="172">
        <f t="shared" si="1"/>
        <v>635703.5</v>
      </c>
      <c r="X19" s="172">
        <f t="shared" si="2"/>
        <v>7077816.0000000009</v>
      </c>
      <c r="Y19" s="172">
        <f t="shared" si="3"/>
        <v>5592483.0000000009</v>
      </c>
      <c r="Z19" s="173">
        <f t="shared" si="4"/>
        <v>2.198403339258419</v>
      </c>
      <c r="AA19" s="173">
        <f t="shared" si="5"/>
        <v>1.970995527579924</v>
      </c>
      <c r="AB19" s="173">
        <f t="shared" si="6"/>
        <v>10.391726877431589</v>
      </c>
      <c r="AC19" s="173">
        <f t="shared" si="7"/>
        <v>9.5382777322963577</v>
      </c>
      <c r="AD19" s="173">
        <f t="shared" si="8"/>
        <v>-0.227407811678495</v>
      </c>
      <c r="AE19" s="173">
        <f t="shared" si="9"/>
        <v>-0.85344914513523129</v>
      </c>
      <c r="AI19" s="178" t="e">
        <f t="shared" si="10"/>
        <v>#N/A</v>
      </c>
      <c r="AJ19" s="178" t="e">
        <f t="shared" si="11"/>
        <v>#N/A</v>
      </c>
      <c r="AK19" s="178" t="e">
        <f t="shared" si="12"/>
        <v>#N/A</v>
      </c>
      <c r="AL19" s="178" t="e">
        <f t="shared" si="13"/>
        <v>#N/A</v>
      </c>
      <c r="AM19" s="166" t="e">
        <f t="shared" si="14"/>
        <v>#N/A</v>
      </c>
      <c r="AN19" s="166" t="e">
        <f t="shared" si="15"/>
        <v>#N/A</v>
      </c>
    </row>
    <row r="20" spans="19:40" x14ac:dyDescent="0.45">
      <c r="S20" s="170">
        <f>'PubMatic Data'!A17</f>
        <v>46276</v>
      </c>
      <c r="T20" s="171">
        <f>'PubMatic Data'!B17</f>
        <v>16.489999999999998</v>
      </c>
      <c r="U20" s="171">
        <f>_xlfn.XLOOKUP(S20,'Trade Deck Data'!$A:$A,'Trade Deck Data'!$B:$B,NA())</f>
        <v>14.34</v>
      </c>
      <c r="V20" s="172">
        <f t="shared" si="0"/>
        <v>751119.49999999988</v>
      </c>
      <c r="W20" s="172">
        <f t="shared" si="1"/>
        <v>631148.49999999988</v>
      </c>
      <c r="X20" s="172">
        <f t="shared" si="2"/>
        <v>6779952</v>
      </c>
      <c r="Y20" s="172">
        <f t="shared" si="3"/>
        <v>5294619</v>
      </c>
      <c r="Z20" s="173">
        <f t="shared" si="4"/>
        <v>2.1826511415588272</v>
      </c>
      <c r="AA20" s="173">
        <f t="shared" si="5"/>
        <v>1.8660173610254494</v>
      </c>
      <c r="AB20" s="173">
        <f t="shared" si="6"/>
        <v>10.317267139634483</v>
      </c>
      <c r="AC20" s="173">
        <f t="shared" si="7"/>
        <v>9.0302548096602546</v>
      </c>
      <c r="AD20" s="173">
        <f t="shared" si="8"/>
        <v>-0.31663378053337787</v>
      </c>
      <c r="AE20" s="173">
        <f t="shared" si="9"/>
        <v>-1.2870123299742282</v>
      </c>
      <c r="AI20" s="178" t="e">
        <f t="shared" si="10"/>
        <v>#N/A</v>
      </c>
      <c r="AJ20" s="178" t="e">
        <f t="shared" si="11"/>
        <v>#N/A</v>
      </c>
      <c r="AK20" s="178" t="e">
        <f t="shared" si="12"/>
        <v>#N/A</v>
      </c>
      <c r="AL20" s="178" t="e">
        <f t="shared" si="13"/>
        <v>#N/A</v>
      </c>
      <c r="AM20" s="166" t="e">
        <f t="shared" si="14"/>
        <v>#N/A</v>
      </c>
      <c r="AN20" s="166" t="e">
        <f t="shared" si="15"/>
        <v>#N/A</v>
      </c>
    </row>
    <row r="21" spans="19:40" x14ac:dyDescent="0.45">
      <c r="S21" s="170">
        <f>'PubMatic Data'!A18</f>
        <v>46275</v>
      </c>
      <c r="T21" s="171">
        <f>'PubMatic Data'!B18</f>
        <v>16.23</v>
      </c>
      <c r="U21" s="171">
        <f>_xlfn.XLOOKUP(S21,'Trade Deck Data'!$A:$A,'Trade Deck Data'!$B:$B,NA())</f>
        <v>13.97</v>
      </c>
      <c r="V21" s="172">
        <f t="shared" si="0"/>
        <v>739276.5</v>
      </c>
      <c r="W21" s="172">
        <f t="shared" si="1"/>
        <v>619305.5</v>
      </c>
      <c r="X21" s="172">
        <f t="shared" si="2"/>
        <v>6605016.0000000009</v>
      </c>
      <c r="Y21" s="172">
        <f t="shared" si="3"/>
        <v>5119683.0000000009</v>
      </c>
      <c r="Z21" s="173">
        <f t="shared" si="4"/>
        <v>2.1416954275398905</v>
      </c>
      <c r="AA21" s="173">
        <f t="shared" si="5"/>
        <v>1.8043635171759966</v>
      </c>
      <c r="AB21" s="173">
        <f t="shared" si="6"/>
        <v>10.123671821362016</v>
      </c>
      <c r="AC21" s="173">
        <f t="shared" si="7"/>
        <v>8.7318921408104799</v>
      </c>
      <c r="AD21" s="173">
        <f t="shared" si="8"/>
        <v>-0.33733191036389387</v>
      </c>
      <c r="AE21" s="173">
        <f t="shared" si="9"/>
        <v>-1.3917796805515366</v>
      </c>
      <c r="AI21" s="178" t="e">
        <f t="shared" si="10"/>
        <v>#N/A</v>
      </c>
      <c r="AJ21" s="178" t="e">
        <f t="shared" si="11"/>
        <v>#N/A</v>
      </c>
      <c r="AK21" s="178" t="e">
        <f t="shared" si="12"/>
        <v>#N/A</v>
      </c>
      <c r="AL21" s="178" t="e">
        <f t="shared" si="13"/>
        <v>#N/A</v>
      </c>
      <c r="AM21" s="166" t="e">
        <f t="shared" si="14"/>
        <v>#N/A</v>
      </c>
      <c r="AN21" s="166" t="e">
        <f t="shared" si="15"/>
        <v>#N/A</v>
      </c>
    </row>
    <row r="22" spans="19:40" x14ac:dyDescent="0.45">
      <c r="S22" s="170">
        <f>'PubMatic Data'!A19</f>
        <v>46274</v>
      </c>
      <c r="T22" s="171">
        <f>'PubMatic Data'!B19</f>
        <v>16.18</v>
      </c>
      <c r="U22" s="171">
        <f>_xlfn.XLOOKUP(S22,'Trade Deck Data'!$A:$A,'Trade Deck Data'!$B:$B,NA())</f>
        <v>13.88</v>
      </c>
      <c r="V22" s="172">
        <f t="shared" si="0"/>
        <v>736998.99999999988</v>
      </c>
      <c r="W22" s="172">
        <f t="shared" si="1"/>
        <v>617027.99999999988</v>
      </c>
      <c r="X22" s="172">
        <f t="shared" si="2"/>
        <v>6562464.0000000009</v>
      </c>
      <c r="Y22" s="172">
        <f t="shared" si="3"/>
        <v>5077131.0000000009</v>
      </c>
      <c r="Z22" s="173">
        <f t="shared" si="4"/>
        <v>2.1338193286900946</v>
      </c>
      <c r="AA22" s="173">
        <f t="shared" si="5"/>
        <v>1.7893666362396432</v>
      </c>
      <c r="AB22" s="173">
        <f t="shared" si="6"/>
        <v>10.086441952463463</v>
      </c>
      <c r="AC22" s="173">
        <f t="shared" si="7"/>
        <v>8.6593174375767514</v>
      </c>
      <c r="AD22" s="173">
        <f t="shared" si="8"/>
        <v>-0.3444526924504514</v>
      </c>
      <c r="AE22" s="173">
        <f t="shared" si="9"/>
        <v>-1.427124514886712</v>
      </c>
      <c r="AI22" s="178" t="e">
        <f t="shared" si="10"/>
        <v>#N/A</v>
      </c>
      <c r="AJ22" s="178" t="e">
        <f t="shared" si="11"/>
        <v>#N/A</v>
      </c>
      <c r="AK22" s="178" t="e">
        <f t="shared" si="12"/>
        <v>#N/A</v>
      </c>
      <c r="AL22" s="178" t="e">
        <f t="shared" si="13"/>
        <v>#N/A</v>
      </c>
      <c r="AM22" s="166" t="e">
        <f t="shared" si="14"/>
        <v>#N/A</v>
      </c>
      <c r="AN22" s="166" t="e">
        <f t="shared" si="15"/>
        <v>#N/A</v>
      </c>
    </row>
    <row r="23" spans="19:40" x14ac:dyDescent="0.45">
      <c r="S23" s="170">
        <f>'PubMatic Data'!A20</f>
        <v>46273</v>
      </c>
      <c r="T23" s="171">
        <f>'PubMatic Data'!B20</f>
        <v>16.29</v>
      </c>
      <c r="U23" s="171">
        <f>_xlfn.XLOOKUP(S23,'Trade Deck Data'!$A:$A,'Trade Deck Data'!$B:$B,NA())</f>
        <v>14.02</v>
      </c>
      <c r="V23" s="172">
        <f t="shared" si="0"/>
        <v>742009.49999999988</v>
      </c>
      <c r="W23" s="172">
        <f t="shared" si="1"/>
        <v>622038.49999999988</v>
      </c>
      <c r="X23" s="172">
        <f t="shared" si="2"/>
        <v>6628656</v>
      </c>
      <c r="Y23" s="172">
        <f t="shared" si="3"/>
        <v>5143323</v>
      </c>
      <c r="Z23" s="173">
        <f t="shared" si="4"/>
        <v>2.151146746159645</v>
      </c>
      <c r="AA23" s="173">
        <f t="shared" si="5"/>
        <v>1.8126951176961927</v>
      </c>
      <c r="AB23" s="173">
        <f t="shared" si="6"/>
        <v>10.168347664040276</v>
      </c>
      <c r="AC23" s="173">
        <f t="shared" si="7"/>
        <v>8.7722114203847728</v>
      </c>
      <c r="AD23" s="173">
        <f t="shared" si="8"/>
        <v>-0.33845162846345223</v>
      </c>
      <c r="AE23" s="173">
        <f t="shared" si="9"/>
        <v>-1.3961362436555032</v>
      </c>
      <c r="AI23" s="178" t="e">
        <f t="shared" si="10"/>
        <v>#N/A</v>
      </c>
      <c r="AJ23" s="178" t="e">
        <f t="shared" si="11"/>
        <v>#N/A</v>
      </c>
      <c r="AK23" s="178" t="e">
        <f t="shared" si="12"/>
        <v>#N/A</v>
      </c>
      <c r="AL23" s="178" t="e">
        <f t="shared" si="13"/>
        <v>#N/A</v>
      </c>
      <c r="AM23" s="166" t="e">
        <f t="shared" si="14"/>
        <v>#N/A</v>
      </c>
      <c r="AN23" s="166" t="e">
        <f t="shared" si="15"/>
        <v>#N/A</v>
      </c>
    </row>
    <row r="24" spans="19:40" x14ac:dyDescent="0.45">
      <c r="S24" s="170">
        <f>'PubMatic Data'!A21</f>
        <v>46269</v>
      </c>
      <c r="T24" s="171">
        <f>'PubMatic Data'!B21</f>
        <v>16.5</v>
      </c>
      <c r="U24" s="171">
        <f>_xlfn.XLOOKUP(S24,'Trade Deck Data'!$A:$A,'Trade Deck Data'!$B:$B,NA())</f>
        <v>14.43</v>
      </c>
      <c r="V24" s="172">
        <f t="shared" si="0"/>
        <v>751574.99999999988</v>
      </c>
      <c r="W24" s="172">
        <f t="shared" si="1"/>
        <v>631603.99999999988</v>
      </c>
      <c r="X24" s="172">
        <f t="shared" si="2"/>
        <v>6822504</v>
      </c>
      <c r="Y24" s="172">
        <f t="shared" si="3"/>
        <v>5337171</v>
      </c>
      <c r="Z24" s="173">
        <f t="shared" si="4"/>
        <v>2.1842263613287867</v>
      </c>
      <c r="AA24" s="173">
        <f t="shared" si="5"/>
        <v>1.881014241961803</v>
      </c>
      <c r="AB24" s="173">
        <f t="shared" si="6"/>
        <v>10.324713113414195</v>
      </c>
      <c r="AC24" s="173">
        <f t="shared" si="7"/>
        <v>9.1028295128939831</v>
      </c>
      <c r="AD24" s="173">
        <f t="shared" si="8"/>
        <v>-0.30321211936698367</v>
      </c>
      <c r="AE24" s="173">
        <f t="shared" si="9"/>
        <v>-1.2218836005202114</v>
      </c>
      <c r="AI24" s="178" t="e">
        <f t="shared" si="10"/>
        <v>#N/A</v>
      </c>
      <c r="AJ24" s="178" t="e">
        <f t="shared" si="11"/>
        <v>#N/A</v>
      </c>
      <c r="AK24" s="178" t="e">
        <f t="shared" si="12"/>
        <v>#N/A</v>
      </c>
      <c r="AL24" s="178" t="e">
        <f t="shared" si="13"/>
        <v>#N/A</v>
      </c>
      <c r="AM24" s="166" t="e">
        <f t="shared" si="14"/>
        <v>#N/A</v>
      </c>
      <c r="AN24" s="166" t="e">
        <f t="shared" si="15"/>
        <v>#N/A</v>
      </c>
    </row>
    <row r="25" spans="19:40" x14ac:dyDescent="0.45">
      <c r="S25" s="170">
        <f>'PubMatic Data'!A22</f>
        <v>46268</v>
      </c>
      <c r="T25" s="171">
        <f>'PubMatic Data'!B22</f>
        <v>16.96</v>
      </c>
      <c r="U25" s="171">
        <f>_xlfn.XLOOKUP(S25,'Trade Deck Data'!$A:$A,'Trade Deck Data'!$B:$B,NA())</f>
        <v>15.09</v>
      </c>
      <c r="V25" s="172">
        <f t="shared" si="0"/>
        <v>772528</v>
      </c>
      <c r="W25" s="172">
        <f t="shared" si="1"/>
        <v>652557</v>
      </c>
      <c r="X25" s="172">
        <f t="shared" si="2"/>
        <v>7134552</v>
      </c>
      <c r="Y25" s="172">
        <f t="shared" si="3"/>
        <v>5649219</v>
      </c>
      <c r="Z25" s="173">
        <f t="shared" si="4"/>
        <v>2.2566864707469065</v>
      </c>
      <c r="AA25" s="173">
        <f t="shared" si="5"/>
        <v>1.9909913688283951</v>
      </c>
      <c r="AB25" s="173">
        <f t="shared" si="6"/>
        <v>10.667227907280871</v>
      </c>
      <c r="AC25" s="173">
        <f t="shared" si="7"/>
        <v>9.6350440032746629</v>
      </c>
      <c r="AD25" s="173">
        <f t="shared" si="8"/>
        <v>-0.26569510191851142</v>
      </c>
      <c r="AE25" s="173">
        <f t="shared" si="9"/>
        <v>-1.0321839040062084</v>
      </c>
      <c r="AI25" s="178" t="e">
        <f t="shared" si="10"/>
        <v>#N/A</v>
      </c>
      <c r="AJ25" s="178" t="e">
        <f t="shared" si="11"/>
        <v>#N/A</v>
      </c>
      <c r="AK25" s="178" t="e">
        <f t="shared" si="12"/>
        <v>#N/A</v>
      </c>
      <c r="AL25" s="178" t="e">
        <f t="shared" si="13"/>
        <v>#N/A</v>
      </c>
      <c r="AM25" s="166" t="e">
        <f t="shared" si="14"/>
        <v>#N/A</v>
      </c>
      <c r="AN25" s="166" t="e">
        <f t="shared" si="15"/>
        <v>#N/A</v>
      </c>
    </row>
    <row r="26" spans="19:40" x14ac:dyDescent="0.45">
      <c r="S26" s="170">
        <f>'PubMatic Data'!A23</f>
        <v>46267</v>
      </c>
      <c r="T26" s="171">
        <f>'PubMatic Data'!B23</f>
        <v>17.38</v>
      </c>
      <c r="U26" s="171">
        <f>_xlfn.XLOOKUP(S26,'Trade Deck Data'!$A:$A,'Trade Deck Data'!$B:$B,NA())</f>
        <v>14.55</v>
      </c>
      <c r="V26" s="172">
        <f t="shared" si="0"/>
        <v>791658.99999999988</v>
      </c>
      <c r="W26" s="172">
        <f t="shared" si="1"/>
        <v>671687.99999999988</v>
      </c>
      <c r="X26" s="172">
        <f t="shared" si="2"/>
        <v>6879240.0000000009</v>
      </c>
      <c r="Y26" s="172">
        <f t="shared" si="3"/>
        <v>5393907.0000000009</v>
      </c>
      <c r="Z26" s="173">
        <f t="shared" si="4"/>
        <v>2.3228457010851895</v>
      </c>
      <c r="AA26" s="173">
        <f t="shared" si="5"/>
        <v>1.9010100832102745</v>
      </c>
      <c r="AB26" s="173">
        <f t="shared" si="6"/>
        <v>10.979958806028703</v>
      </c>
      <c r="AC26" s="173">
        <f t="shared" si="7"/>
        <v>9.1995957838722902</v>
      </c>
      <c r="AD26" s="173">
        <f t="shared" si="8"/>
        <v>-0.42183561787491497</v>
      </c>
      <c r="AE26" s="173">
        <f t="shared" si="9"/>
        <v>-1.7803630221564131</v>
      </c>
      <c r="AI26" s="178" t="e">
        <f t="shared" si="10"/>
        <v>#N/A</v>
      </c>
      <c r="AJ26" s="178" t="e">
        <f t="shared" si="11"/>
        <v>#N/A</v>
      </c>
      <c r="AK26" s="178" t="e">
        <f t="shared" si="12"/>
        <v>#N/A</v>
      </c>
      <c r="AL26" s="178" t="e">
        <f t="shared" si="13"/>
        <v>#N/A</v>
      </c>
      <c r="AM26" s="166" t="e">
        <f t="shared" si="14"/>
        <v>#N/A</v>
      </c>
      <c r="AN26" s="166" t="e">
        <f t="shared" si="15"/>
        <v>#N/A</v>
      </c>
    </row>
    <row r="27" spans="19:40" x14ac:dyDescent="0.45">
      <c r="S27" s="170">
        <f>'PubMatic Data'!A24</f>
        <v>46266</v>
      </c>
      <c r="T27" s="171">
        <f>'PubMatic Data'!B24</f>
        <v>16.27</v>
      </c>
      <c r="U27" s="171">
        <f>_xlfn.XLOOKUP(S27,'Trade Deck Data'!$A:$A,'Trade Deck Data'!$B:$B,NA())</f>
        <v>13.78</v>
      </c>
      <c r="V27" s="172">
        <f t="shared" si="0"/>
        <v>741098.5</v>
      </c>
      <c r="W27" s="172">
        <f t="shared" si="1"/>
        <v>621127.5</v>
      </c>
      <c r="X27" s="172">
        <f t="shared" si="2"/>
        <v>6515184</v>
      </c>
      <c r="Y27" s="172">
        <f t="shared" si="3"/>
        <v>5029851</v>
      </c>
      <c r="Z27" s="173">
        <f t="shared" si="4"/>
        <v>2.147996306619727</v>
      </c>
      <c r="AA27" s="173">
        <f t="shared" si="5"/>
        <v>1.7727034351992501</v>
      </c>
      <c r="AB27" s="173">
        <f t="shared" si="6"/>
        <v>10.153455716480858</v>
      </c>
      <c r="AC27" s="173">
        <f t="shared" si="7"/>
        <v>8.5786788784281622</v>
      </c>
      <c r="AD27" s="173">
        <f t="shared" si="8"/>
        <v>-0.37529287142047685</v>
      </c>
      <c r="AE27" s="173">
        <f t="shared" si="9"/>
        <v>-1.5747768380526956</v>
      </c>
      <c r="AI27" s="178" t="e">
        <f t="shared" si="10"/>
        <v>#N/A</v>
      </c>
      <c r="AJ27" s="178" t="e">
        <f t="shared" si="11"/>
        <v>#N/A</v>
      </c>
      <c r="AK27" s="178" t="e">
        <f t="shared" si="12"/>
        <v>#N/A</v>
      </c>
      <c r="AL27" s="178" t="e">
        <f t="shared" si="13"/>
        <v>#N/A</v>
      </c>
      <c r="AM27" s="166" t="e">
        <f t="shared" si="14"/>
        <v>#N/A</v>
      </c>
      <c r="AN27" s="166" t="e">
        <f t="shared" si="15"/>
        <v>#N/A</v>
      </c>
    </row>
    <row r="28" spans="19:40" x14ac:dyDescent="0.45">
      <c r="S28" s="170">
        <f>'PubMatic Data'!A25</f>
        <v>46265</v>
      </c>
      <c r="T28" s="171">
        <f>'PubMatic Data'!B25</f>
        <v>16.63</v>
      </c>
      <c r="U28" s="171">
        <f>_xlfn.XLOOKUP(S28,'Trade Deck Data'!$A:$A,'Trade Deck Data'!$B:$B,NA())</f>
        <v>13.72</v>
      </c>
      <c r="V28" s="172">
        <f t="shared" si="0"/>
        <v>757496.49999999988</v>
      </c>
      <c r="W28" s="172">
        <f t="shared" si="1"/>
        <v>637525.49999999988</v>
      </c>
      <c r="X28" s="172">
        <f t="shared" si="2"/>
        <v>6486816.0000000009</v>
      </c>
      <c r="Y28" s="172">
        <f t="shared" si="3"/>
        <v>5001483.0000000009</v>
      </c>
      <c r="Z28" s="173">
        <f t="shared" si="4"/>
        <v>2.204704218338255</v>
      </c>
      <c r="AA28" s="173">
        <f t="shared" si="5"/>
        <v>1.7627055145750148</v>
      </c>
      <c r="AB28" s="173">
        <f t="shared" si="6"/>
        <v>10.421510772550429</v>
      </c>
      <c r="AC28" s="173">
        <f t="shared" si="7"/>
        <v>8.5302957429390105</v>
      </c>
      <c r="AD28" s="173">
        <f t="shared" si="8"/>
        <v>-0.44199870376324024</v>
      </c>
      <c r="AE28" s="173">
        <f t="shared" si="9"/>
        <v>-1.8912150296114181</v>
      </c>
      <c r="AI28" s="178" t="e">
        <f t="shared" si="10"/>
        <v>#N/A</v>
      </c>
      <c r="AJ28" s="178" t="e">
        <f t="shared" si="11"/>
        <v>#N/A</v>
      </c>
      <c r="AK28" s="178" t="e">
        <f t="shared" si="12"/>
        <v>#N/A</v>
      </c>
      <c r="AL28" s="178" t="e">
        <f t="shared" si="13"/>
        <v>#N/A</v>
      </c>
      <c r="AM28" s="166" t="e">
        <f t="shared" si="14"/>
        <v>#N/A</v>
      </c>
      <c r="AN28" s="166" t="e">
        <f t="shared" si="15"/>
        <v>#N/A</v>
      </c>
    </row>
    <row r="29" spans="19:40" x14ac:dyDescent="0.45">
      <c r="S29" s="170">
        <f>'PubMatic Data'!A26</f>
        <v>46262</v>
      </c>
      <c r="T29" s="171">
        <f>'PubMatic Data'!B26</f>
        <v>16.82</v>
      </c>
      <c r="U29" s="171">
        <f>_xlfn.XLOOKUP(S29,'Trade Deck Data'!$A:$A,'Trade Deck Data'!$B:$B,NA())</f>
        <v>13.57</v>
      </c>
      <c r="V29" s="172">
        <f t="shared" si="0"/>
        <v>766151</v>
      </c>
      <c r="W29" s="172">
        <f t="shared" si="1"/>
        <v>646180</v>
      </c>
      <c r="X29" s="172">
        <f t="shared" si="2"/>
        <v>6415896.0000000009</v>
      </c>
      <c r="Y29" s="172">
        <f t="shared" si="3"/>
        <v>4930563.0000000009</v>
      </c>
      <c r="Z29" s="173">
        <f t="shared" si="4"/>
        <v>2.2346333939674787</v>
      </c>
      <c r="AA29" s="173">
        <f t="shared" si="5"/>
        <v>1.7377107130144256</v>
      </c>
      <c r="AB29" s="173">
        <f t="shared" si="6"/>
        <v>10.562984274364926</v>
      </c>
      <c r="AC29" s="173">
        <f t="shared" si="7"/>
        <v>8.4093379042161285</v>
      </c>
      <c r="AD29" s="173">
        <f t="shared" si="8"/>
        <v>-0.49692268095305314</v>
      </c>
      <c r="AE29" s="173">
        <f t="shared" si="9"/>
        <v>-2.1536463701487971</v>
      </c>
      <c r="AI29" s="178" t="e">
        <f t="shared" si="10"/>
        <v>#N/A</v>
      </c>
      <c r="AJ29" s="178" t="e">
        <f t="shared" si="11"/>
        <v>#N/A</v>
      </c>
      <c r="AK29" s="178" t="e">
        <f t="shared" si="12"/>
        <v>#N/A</v>
      </c>
      <c r="AL29" s="178" t="e">
        <f t="shared" si="13"/>
        <v>#N/A</v>
      </c>
      <c r="AM29" s="166" t="e">
        <f t="shared" si="14"/>
        <v>#N/A</v>
      </c>
      <c r="AN29" s="166" t="e">
        <f t="shared" si="15"/>
        <v>#N/A</v>
      </c>
    </row>
    <row r="30" spans="19:40" x14ac:dyDescent="0.45">
      <c r="S30" s="170">
        <f>'PubMatic Data'!A27</f>
        <v>46261</v>
      </c>
      <c r="T30" s="171">
        <f>'PubMatic Data'!B27</f>
        <v>16.350000000000001</v>
      </c>
      <c r="U30" s="171">
        <f>_xlfn.XLOOKUP(S30,'Trade Deck Data'!$A:$A,'Trade Deck Data'!$B:$B,NA())</f>
        <v>13.42</v>
      </c>
      <c r="V30" s="172">
        <f t="shared" si="0"/>
        <v>744742.50000000012</v>
      </c>
      <c r="W30" s="172">
        <f t="shared" si="1"/>
        <v>624771.50000000012</v>
      </c>
      <c r="X30" s="172">
        <f t="shared" si="2"/>
        <v>6344976.0000000009</v>
      </c>
      <c r="Y30" s="172">
        <f t="shared" si="3"/>
        <v>4859643.0000000009</v>
      </c>
      <c r="Z30" s="173">
        <f t="shared" si="4"/>
        <v>2.1605980647794003</v>
      </c>
      <c r="AA30" s="173">
        <f t="shared" si="5"/>
        <v>1.7127159114538364</v>
      </c>
      <c r="AB30" s="173">
        <f t="shared" si="6"/>
        <v>10.213023506718542</v>
      </c>
      <c r="AC30" s="173">
        <f t="shared" si="7"/>
        <v>8.2883800654932482</v>
      </c>
      <c r="AD30" s="173">
        <f t="shared" si="8"/>
        <v>-0.44788215332556391</v>
      </c>
      <c r="AE30" s="173">
        <f t="shared" si="9"/>
        <v>-1.9246434412252942</v>
      </c>
      <c r="AI30" s="178" t="e">
        <f t="shared" si="10"/>
        <v>#N/A</v>
      </c>
      <c r="AJ30" s="178" t="e">
        <f t="shared" si="11"/>
        <v>#N/A</v>
      </c>
      <c r="AK30" s="178" t="e">
        <f t="shared" si="12"/>
        <v>#N/A</v>
      </c>
      <c r="AL30" s="178" t="e">
        <f t="shared" si="13"/>
        <v>#N/A</v>
      </c>
      <c r="AM30" s="166" t="e">
        <f t="shared" si="14"/>
        <v>#N/A</v>
      </c>
      <c r="AN30" s="166" t="e">
        <f t="shared" si="15"/>
        <v>#N/A</v>
      </c>
    </row>
    <row r="31" spans="19:40" x14ac:dyDescent="0.45">
      <c r="S31" s="170">
        <f>'PubMatic Data'!A28</f>
        <v>46260</v>
      </c>
      <c r="T31" s="171">
        <f>'PubMatic Data'!B28</f>
        <v>16.25</v>
      </c>
      <c r="U31" s="171">
        <f>_xlfn.XLOOKUP(S31,'Trade Deck Data'!$A:$A,'Trade Deck Data'!$B:$B,NA())</f>
        <v>13.03</v>
      </c>
      <c r="V31" s="172">
        <f t="shared" si="0"/>
        <v>740187.5</v>
      </c>
      <c r="W31" s="172">
        <f t="shared" si="1"/>
        <v>620216.5</v>
      </c>
      <c r="X31" s="172">
        <f t="shared" si="2"/>
        <v>6160584</v>
      </c>
      <c r="Y31" s="172">
        <f t="shared" si="3"/>
        <v>4675251</v>
      </c>
      <c r="Z31" s="173">
        <f t="shared" si="4"/>
        <v>2.144845867079809</v>
      </c>
      <c r="AA31" s="173">
        <f t="shared" si="5"/>
        <v>1.6477294273963043</v>
      </c>
      <c r="AB31" s="173">
        <f t="shared" si="6"/>
        <v>10.138563768921438</v>
      </c>
      <c r="AC31" s="173">
        <f t="shared" si="7"/>
        <v>7.9738896848137539</v>
      </c>
      <c r="AD31" s="173">
        <f t="shared" si="8"/>
        <v>-0.49711643968350461</v>
      </c>
      <c r="AE31" s="173">
        <f t="shared" si="9"/>
        <v>-2.1646740841076841</v>
      </c>
      <c r="AI31" s="178" t="e">
        <f t="shared" si="10"/>
        <v>#N/A</v>
      </c>
      <c r="AJ31" s="178" t="e">
        <f t="shared" si="11"/>
        <v>#N/A</v>
      </c>
      <c r="AK31" s="178" t="e">
        <f t="shared" si="12"/>
        <v>#N/A</v>
      </c>
      <c r="AL31" s="178" t="e">
        <f t="shared" si="13"/>
        <v>#N/A</v>
      </c>
      <c r="AM31" s="166" t="e">
        <f t="shared" si="14"/>
        <v>#N/A</v>
      </c>
      <c r="AN31" s="166" t="e">
        <f t="shared" si="15"/>
        <v>#N/A</v>
      </c>
    </row>
    <row r="32" spans="19:40" x14ac:dyDescent="0.45">
      <c r="S32" s="170">
        <f>'PubMatic Data'!A29</f>
        <v>46259</v>
      </c>
      <c r="T32" s="171">
        <f>'PubMatic Data'!B29</f>
        <v>16.55</v>
      </c>
      <c r="U32" s="171">
        <f>_xlfn.XLOOKUP(S32,'Trade Deck Data'!$A:$A,'Trade Deck Data'!$B:$B,NA())</f>
        <v>13.25</v>
      </c>
      <c r="V32" s="172">
        <f t="shared" si="0"/>
        <v>753852.5</v>
      </c>
      <c r="W32" s="172">
        <f t="shared" si="1"/>
        <v>633881.5</v>
      </c>
      <c r="X32" s="172">
        <f t="shared" si="2"/>
        <v>6264600</v>
      </c>
      <c r="Y32" s="172">
        <f t="shared" si="3"/>
        <v>4779267</v>
      </c>
      <c r="Z32" s="173">
        <f t="shared" si="4"/>
        <v>2.1921024601785826</v>
      </c>
      <c r="AA32" s="173">
        <f t="shared" si="5"/>
        <v>1.6843884696851683</v>
      </c>
      <c r="AB32" s="173">
        <f t="shared" si="6"/>
        <v>10.361942982312748</v>
      </c>
      <c r="AC32" s="173">
        <f t="shared" si="7"/>
        <v>8.1512945149406466</v>
      </c>
      <c r="AD32" s="173">
        <f t="shared" si="8"/>
        <v>-0.50771399049341426</v>
      </c>
      <c r="AE32" s="173">
        <f t="shared" si="9"/>
        <v>-2.210648467372101</v>
      </c>
      <c r="AI32" s="178" t="e">
        <f t="shared" si="10"/>
        <v>#N/A</v>
      </c>
      <c r="AJ32" s="178" t="e">
        <f t="shared" si="11"/>
        <v>#N/A</v>
      </c>
      <c r="AK32" s="178" t="e">
        <f t="shared" si="12"/>
        <v>#N/A</v>
      </c>
      <c r="AL32" s="178" t="e">
        <f t="shared" si="13"/>
        <v>#N/A</v>
      </c>
      <c r="AM32" s="166" t="e">
        <f t="shared" si="14"/>
        <v>#N/A</v>
      </c>
      <c r="AN32" s="166" t="e">
        <f t="shared" si="15"/>
        <v>#N/A</v>
      </c>
    </row>
    <row r="33" spans="19:40" x14ac:dyDescent="0.45">
      <c r="S33" s="170">
        <f>'PubMatic Data'!A30</f>
        <v>46258</v>
      </c>
      <c r="T33" s="171">
        <f>'PubMatic Data'!B30</f>
        <v>16.36</v>
      </c>
      <c r="U33" s="171">
        <f>_xlfn.XLOOKUP(S33,'Trade Deck Data'!$A:$A,'Trade Deck Data'!$B:$B,NA())</f>
        <v>13.27</v>
      </c>
      <c r="V33" s="172">
        <f t="shared" si="0"/>
        <v>745198</v>
      </c>
      <c r="W33" s="172">
        <f t="shared" si="1"/>
        <v>625227</v>
      </c>
      <c r="X33" s="172">
        <f t="shared" si="2"/>
        <v>6274056</v>
      </c>
      <c r="Y33" s="172">
        <f t="shared" si="3"/>
        <v>4788723</v>
      </c>
      <c r="Z33" s="173">
        <f t="shared" si="4"/>
        <v>2.1621732845493593</v>
      </c>
      <c r="AA33" s="173">
        <f t="shared" si="5"/>
        <v>1.687721109893247</v>
      </c>
      <c r="AB33" s="173">
        <f t="shared" si="6"/>
        <v>10.220469480498251</v>
      </c>
      <c r="AC33" s="173">
        <f t="shared" si="7"/>
        <v>8.1674222267703644</v>
      </c>
      <c r="AD33" s="173">
        <f t="shared" si="8"/>
        <v>-0.47445217465611234</v>
      </c>
      <c r="AE33" s="173">
        <f t="shared" si="9"/>
        <v>-2.0530472537278861</v>
      </c>
      <c r="AI33" s="178" t="e">
        <f t="shared" si="10"/>
        <v>#N/A</v>
      </c>
      <c r="AJ33" s="178" t="e">
        <f t="shared" si="11"/>
        <v>#N/A</v>
      </c>
      <c r="AK33" s="178" t="e">
        <f t="shared" si="12"/>
        <v>#N/A</v>
      </c>
      <c r="AL33" s="178" t="e">
        <f t="shared" si="13"/>
        <v>#N/A</v>
      </c>
      <c r="AM33" s="166" t="e">
        <f t="shared" si="14"/>
        <v>#N/A</v>
      </c>
      <c r="AN33" s="166" t="e">
        <f t="shared" si="15"/>
        <v>#N/A</v>
      </c>
    </row>
    <row r="34" spans="19:40" x14ac:dyDescent="0.45">
      <c r="S34" s="170">
        <f>'PubMatic Data'!A31</f>
        <v>46255</v>
      </c>
      <c r="T34" s="171">
        <f>'PubMatic Data'!B31</f>
        <v>16.41</v>
      </c>
      <c r="U34" s="171">
        <f>_xlfn.XLOOKUP(S34,'Trade Deck Data'!$A:$A,'Trade Deck Data'!$B:$B,NA())</f>
        <v>13.18</v>
      </c>
      <c r="V34" s="172">
        <f t="shared" si="0"/>
        <v>747475.5</v>
      </c>
      <c r="W34" s="172">
        <f t="shared" si="1"/>
        <v>627504.5</v>
      </c>
      <c r="X34" s="172">
        <f t="shared" si="2"/>
        <v>6231504</v>
      </c>
      <c r="Y34" s="172">
        <f t="shared" si="3"/>
        <v>4746171</v>
      </c>
      <c r="Z34" s="173">
        <f t="shared" si="4"/>
        <v>2.1700493833991548</v>
      </c>
      <c r="AA34" s="173">
        <f t="shared" si="5"/>
        <v>1.6727242289568935</v>
      </c>
      <c r="AB34" s="173">
        <f t="shared" si="6"/>
        <v>10.257699349396802</v>
      </c>
      <c r="AC34" s="173">
        <f t="shared" si="7"/>
        <v>8.0948475235366359</v>
      </c>
      <c r="AD34" s="173">
        <f t="shared" si="8"/>
        <v>-0.49732515444226122</v>
      </c>
      <c r="AE34" s="173">
        <f t="shared" si="9"/>
        <v>-2.1628518258601659</v>
      </c>
      <c r="AI34" s="178" t="e">
        <f t="shared" si="10"/>
        <v>#N/A</v>
      </c>
      <c r="AJ34" s="178" t="e">
        <f t="shared" si="11"/>
        <v>#N/A</v>
      </c>
      <c r="AK34" s="178" t="e">
        <f t="shared" si="12"/>
        <v>#N/A</v>
      </c>
      <c r="AL34" s="178" t="e">
        <f t="shared" si="13"/>
        <v>#N/A</v>
      </c>
      <c r="AM34" s="166" t="e">
        <f t="shared" si="14"/>
        <v>#N/A</v>
      </c>
      <c r="AN34" s="166" t="e">
        <f t="shared" si="15"/>
        <v>#N/A</v>
      </c>
    </row>
    <row r="35" spans="19:40" x14ac:dyDescent="0.45">
      <c r="S35" s="170">
        <f>'PubMatic Data'!A32</f>
        <v>46254</v>
      </c>
      <c r="T35" s="171">
        <f>'PubMatic Data'!B32</f>
        <v>16.39</v>
      </c>
      <c r="U35" s="171">
        <f>_xlfn.XLOOKUP(S35,'Trade Deck Data'!$A:$A,'Trade Deck Data'!$B:$B,NA())</f>
        <v>13.32</v>
      </c>
      <c r="V35" s="172">
        <f t="shared" si="0"/>
        <v>746564.5</v>
      </c>
      <c r="W35" s="172">
        <f t="shared" si="1"/>
        <v>626593.5</v>
      </c>
      <c r="X35" s="172">
        <f t="shared" si="2"/>
        <v>6297696</v>
      </c>
      <c r="Y35" s="172">
        <f t="shared" si="3"/>
        <v>4812363</v>
      </c>
      <c r="Z35" s="173">
        <f t="shared" si="4"/>
        <v>2.1668989438592368</v>
      </c>
      <c r="AA35" s="173">
        <f t="shared" si="5"/>
        <v>1.6960527104134433</v>
      </c>
      <c r="AB35" s="173">
        <f t="shared" si="6"/>
        <v>10.242807401837382</v>
      </c>
      <c r="AC35" s="173">
        <f t="shared" si="7"/>
        <v>8.207741506344659</v>
      </c>
      <c r="AD35" s="173">
        <f t="shared" si="8"/>
        <v>-0.47084623344579346</v>
      </c>
      <c r="AE35" s="173">
        <f t="shared" si="9"/>
        <v>-2.035065895492723</v>
      </c>
      <c r="AI35" s="178" t="e">
        <f t="shared" si="10"/>
        <v>#N/A</v>
      </c>
      <c r="AJ35" s="178" t="e">
        <f t="shared" si="11"/>
        <v>#N/A</v>
      </c>
      <c r="AK35" s="178" t="e">
        <f t="shared" si="12"/>
        <v>#N/A</v>
      </c>
      <c r="AL35" s="178" t="e">
        <f t="shared" si="13"/>
        <v>#N/A</v>
      </c>
      <c r="AM35" s="166" t="e">
        <f t="shared" si="14"/>
        <v>#N/A</v>
      </c>
      <c r="AN35" s="166" t="e">
        <f t="shared" si="15"/>
        <v>#N/A</v>
      </c>
    </row>
    <row r="36" spans="19:40" x14ac:dyDescent="0.45">
      <c r="S36" s="170">
        <f>'PubMatic Data'!A33</f>
        <v>46253</v>
      </c>
      <c r="T36" s="171">
        <f>'PubMatic Data'!B33</f>
        <v>16.78</v>
      </c>
      <c r="U36" s="171">
        <f>_xlfn.XLOOKUP(S36,'Trade Deck Data'!$A:$A,'Trade Deck Data'!$B:$B,NA())</f>
        <v>13.54</v>
      </c>
      <c r="V36" s="172">
        <f t="shared" si="0"/>
        <v>764329</v>
      </c>
      <c r="W36" s="172">
        <f t="shared" si="1"/>
        <v>644358</v>
      </c>
      <c r="X36" s="172">
        <f t="shared" si="2"/>
        <v>6401712</v>
      </c>
      <c r="Y36" s="172">
        <f t="shared" si="3"/>
        <v>4916379</v>
      </c>
      <c r="Z36" s="173">
        <f t="shared" si="4"/>
        <v>2.2283325148876423</v>
      </c>
      <c r="AA36" s="173">
        <f t="shared" si="5"/>
        <v>1.7327117527023075</v>
      </c>
      <c r="AB36" s="173">
        <f t="shared" si="6"/>
        <v>10.533200379246084</v>
      </c>
      <c r="AC36" s="173">
        <f t="shared" si="7"/>
        <v>8.3851463364715517</v>
      </c>
      <c r="AD36" s="173">
        <f t="shared" si="8"/>
        <v>-0.4956207621853348</v>
      </c>
      <c r="AE36" s="173">
        <f t="shared" si="9"/>
        <v>-2.1480540427745325</v>
      </c>
      <c r="AI36" s="178" t="e">
        <f t="shared" si="10"/>
        <v>#N/A</v>
      </c>
      <c r="AJ36" s="178" t="e">
        <f t="shared" si="11"/>
        <v>#N/A</v>
      </c>
      <c r="AK36" s="178" t="e">
        <f t="shared" si="12"/>
        <v>#N/A</v>
      </c>
      <c r="AL36" s="178" t="e">
        <f t="shared" si="13"/>
        <v>#N/A</v>
      </c>
      <c r="AM36" s="166" t="e">
        <f t="shared" si="14"/>
        <v>#N/A</v>
      </c>
      <c r="AN36" s="166" t="e">
        <f t="shared" si="15"/>
        <v>#N/A</v>
      </c>
    </row>
    <row r="37" spans="19:40" ht="20" customHeight="1" x14ac:dyDescent="0.45">
      <c r="S37" s="170">
        <f>'PubMatic Data'!A34</f>
        <v>46252</v>
      </c>
      <c r="T37" s="171">
        <f>'PubMatic Data'!B34</f>
        <v>17.36</v>
      </c>
      <c r="U37" s="171">
        <f>_xlfn.XLOOKUP(S37,'Trade Deck Data'!$A:$A,'Trade Deck Data'!$B:$B,NA())</f>
        <v>13.42</v>
      </c>
      <c r="V37" s="172">
        <f t="shared" si="0"/>
        <v>790747.99999999988</v>
      </c>
      <c r="W37" s="172">
        <f t="shared" si="1"/>
        <v>670776.99999999988</v>
      </c>
      <c r="X37" s="172">
        <f t="shared" si="2"/>
        <v>6344976.0000000009</v>
      </c>
      <c r="Y37" s="172">
        <f t="shared" si="3"/>
        <v>4859643.0000000009</v>
      </c>
      <c r="Z37" s="173">
        <f t="shared" si="4"/>
        <v>2.3196952615452711</v>
      </c>
      <c r="AA37" s="173">
        <f t="shared" si="5"/>
        <v>1.7127159114538364</v>
      </c>
      <c r="AB37" s="173">
        <f t="shared" si="6"/>
        <v>10.965066858469282</v>
      </c>
      <c r="AC37" s="173">
        <f t="shared" si="7"/>
        <v>8.2883800654932482</v>
      </c>
      <c r="AD37" s="173">
        <f t="shared" si="8"/>
        <v>-0.60697935009143467</v>
      </c>
      <c r="AE37" s="173">
        <f t="shared" si="9"/>
        <v>-2.6766867929760334</v>
      </c>
      <c r="AI37" s="178" t="e">
        <f t="shared" si="10"/>
        <v>#N/A</v>
      </c>
      <c r="AJ37" s="178" t="e">
        <f t="shared" si="11"/>
        <v>#N/A</v>
      </c>
      <c r="AK37" s="178" t="e">
        <f t="shared" si="12"/>
        <v>#N/A</v>
      </c>
      <c r="AL37" s="178" t="e">
        <f t="shared" si="13"/>
        <v>#N/A</v>
      </c>
      <c r="AM37" s="166" t="e">
        <f t="shared" si="14"/>
        <v>#N/A</v>
      </c>
      <c r="AN37" s="166" t="e">
        <f t="shared" si="15"/>
        <v>#N/A</v>
      </c>
    </row>
    <row r="38" spans="19:40" ht="30" customHeight="1" x14ac:dyDescent="0.45">
      <c r="S38" s="170">
        <f>'PubMatic Data'!A35</f>
        <v>46251</v>
      </c>
      <c r="T38" s="171">
        <f>'PubMatic Data'!B35</f>
        <v>17.27</v>
      </c>
      <c r="U38" s="171">
        <f>_xlfn.XLOOKUP(S38,'Trade Deck Data'!$A:$A,'Trade Deck Data'!$B:$B,NA())</f>
        <v>13.4</v>
      </c>
      <c r="V38" s="172">
        <f t="shared" si="0"/>
        <v>786648.49999999988</v>
      </c>
      <c r="W38" s="172">
        <f t="shared" si="1"/>
        <v>666677.49999999988</v>
      </c>
      <c r="X38" s="172">
        <f t="shared" si="2"/>
        <v>6335520</v>
      </c>
      <c r="Y38" s="172">
        <f t="shared" si="3"/>
        <v>4850187</v>
      </c>
      <c r="Z38" s="173">
        <f t="shared" si="4"/>
        <v>2.3055182836156392</v>
      </c>
      <c r="AA38" s="173">
        <f t="shared" si="5"/>
        <v>1.7093832712457575</v>
      </c>
      <c r="AB38" s="173">
        <f t="shared" si="6"/>
        <v>10.898053094451889</v>
      </c>
      <c r="AC38" s="173">
        <f t="shared" si="7"/>
        <v>8.2722523536635286</v>
      </c>
      <c r="AD38" s="173">
        <f t="shared" si="8"/>
        <v>-0.59613501236988165</v>
      </c>
      <c r="AE38" s="173">
        <f t="shared" si="9"/>
        <v>-2.6258007407883603</v>
      </c>
      <c r="AI38" s="178" t="e">
        <f t="shared" si="10"/>
        <v>#N/A</v>
      </c>
      <c r="AJ38" s="178" t="e">
        <f t="shared" si="11"/>
        <v>#N/A</v>
      </c>
      <c r="AK38" s="178" t="e">
        <f t="shared" si="12"/>
        <v>#N/A</v>
      </c>
      <c r="AL38" s="178" t="e">
        <f t="shared" si="13"/>
        <v>#N/A</v>
      </c>
      <c r="AM38" s="166" t="e">
        <f t="shared" si="14"/>
        <v>#N/A</v>
      </c>
      <c r="AN38" s="166" t="e">
        <f t="shared" si="15"/>
        <v>#N/A</v>
      </c>
    </row>
    <row r="39" spans="19:40" ht="30" customHeight="1" x14ac:dyDescent="0.45">
      <c r="S39" s="170">
        <f>'PubMatic Data'!A36</f>
        <v>46248</v>
      </c>
      <c r="T39" s="171">
        <f>'PubMatic Data'!B36</f>
        <v>17.59</v>
      </c>
      <c r="U39" s="171">
        <f>_xlfn.XLOOKUP(S39,'Trade Deck Data'!$A:$A,'Trade Deck Data'!$B:$B,NA())</f>
        <v>14.14</v>
      </c>
      <c r="V39" s="172">
        <f t="shared" si="0"/>
        <v>801224.49999999988</v>
      </c>
      <c r="W39" s="172">
        <f t="shared" si="1"/>
        <v>681253.49999999988</v>
      </c>
      <c r="X39" s="172">
        <f t="shared" si="2"/>
        <v>6685392.0000000009</v>
      </c>
      <c r="Y39" s="172">
        <f t="shared" si="3"/>
        <v>5200059.0000000009</v>
      </c>
      <c r="Z39" s="173">
        <f t="shared" si="4"/>
        <v>2.3559253162543312</v>
      </c>
      <c r="AA39" s="173">
        <f t="shared" si="5"/>
        <v>1.8326909589446643</v>
      </c>
      <c r="AB39" s="173">
        <f t="shared" si="6"/>
        <v>11.13632425540262</v>
      </c>
      <c r="AC39" s="173">
        <f t="shared" si="7"/>
        <v>8.8689776913630798</v>
      </c>
      <c r="AD39" s="173">
        <f t="shared" si="8"/>
        <v>-0.52323435730966694</v>
      </c>
      <c r="AE39" s="173">
        <f t="shared" si="9"/>
        <v>-2.2673465640395403</v>
      </c>
      <c r="AI39" s="178" t="e">
        <f t="shared" si="10"/>
        <v>#N/A</v>
      </c>
      <c r="AJ39" s="178" t="e">
        <f t="shared" si="11"/>
        <v>#N/A</v>
      </c>
      <c r="AK39" s="178" t="e">
        <f t="shared" si="12"/>
        <v>#N/A</v>
      </c>
      <c r="AL39" s="178" t="e">
        <f t="shared" si="13"/>
        <v>#N/A</v>
      </c>
      <c r="AM39" s="166" t="e">
        <f t="shared" si="14"/>
        <v>#N/A</v>
      </c>
      <c r="AN39" s="166" t="e">
        <f t="shared" si="15"/>
        <v>#N/A</v>
      </c>
    </row>
    <row r="40" spans="19:40" ht="30" customHeight="1" x14ac:dyDescent="0.45">
      <c r="S40" s="170">
        <f>'PubMatic Data'!A37</f>
        <v>46247</v>
      </c>
      <c r="T40" s="171">
        <f>'PubMatic Data'!B37</f>
        <v>17.28</v>
      </c>
      <c r="U40" s="171">
        <f>_xlfn.XLOOKUP(S40,'Trade Deck Data'!$A:$A,'Trade Deck Data'!$B:$B,NA())</f>
        <v>14.56</v>
      </c>
      <c r="V40" s="172">
        <f t="shared" si="0"/>
        <v>787104</v>
      </c>
      <c r="W40" s="172">
        <f t="shared" si="1"/>
        <v>667133</v>
      </c>
      <c r="X40" s="172">
        <f t="shared" si="2"/>
        <v>6883968.0000000009</v>
      </c>
      <c r="Y40" s="172">
        <f t="shared" si="3"/>
        <v>5398635.0000000009</v>
      </c>
      <c r="Z40" s="173">
        <f t="shared" si="4"/>
        <v>2.3070935033855986</v>
      </c>
      <c r="AA40" s="173">
        <f t="shared" si="5"/>
        <v>1.9026764033143138</v>
      </c>
      <c r="AB40" s="173">
        <f t="shared" si="6"/>
        <v>10.905499068231602</v>
      </c>
      <c r="AC40" s="173">
        <f t="shared" si="7"/>
        <v>9.2076596397871491</v>
      </c>
      <c r="AD40" s="173">
        <f t="shared" si="8"/>
        <v>-0.40441710007128484</v>
      </c>
      <c r="AE40" s="173">
        <f t="shared" si="9"/>
        <v>-1.6978394284444533</v>
      </c>
      <c r="AI40" s="178" t="e">
        <f t="shared" si="10"/>
        <v>#N/A</v>
      </c>
      <c r="AJ40" s="178" t="e">
        <f t="shared" si="11"/>
        <v>#N/A</v>
      </c>
      <c r="AK40" s="178" t="e">
        <f t="shared" si="12"/>
        <v>#N/A</v>
      </c>
      <c r="AL40" s="178" t="e">
        <f t="shared" si="13"/>
        <v>#N/A</v>
      </c>
      <c r="AM40" s="166" t="e">
        <f t="shared" si="14"/>
        <v>#N/A</v>
      </c>
      <c r="AN40" s="166" t="e">
        <f t="shared" si="15"/>
        <v>#N/A</v>
      </c>
    </row>
    <row r="41" spans="19:40" ht="42" customHeight="1" x14ac:dyDescent="0.45">
      <c r="S41" s="170">
        <f>'PubMatic Data'!A38</f>
        <v>46246</v>
      </c>
      <c r="T41" s="171">
        <f>'PubMatic Data'!B38</f>
        <v>17.18</v>
      </c>
      <c r="U41" s="171">
        <f>_xlfn.XLOOKUP(S41,'Trade Deck Data'!$A:$A,'Trade Deck Data'!$B:$B,NA())</f>
        <v>13.49</v>
      </c>
      <c r="V41" s="172">
        <f t="shared" si="0"/>
        <v>782549</v>
      </c>
      <c r="W41" s="172">
        <f t="shared" si="1"/>
        <v>662578</v>
      </c>
      <c r="X41" s="172">
        <f t="shared" si="2"/>
        <v>6378072</v>
      </c>
      <c r="Y41" s="172">
        <f t="shared" si="3"/>
        <v>4892739</v>
      </c>
      <c r="Z41" s="173">
        <f t="shared" si="4"/>
        <v>2.2913413056860072</v>
      </c>
      <c r="AA41" s="173">
        <f t="shared" si="5"/>
        <v>1.7243801521821109</v>
      </c>
      <c r="AB41" s="173">
        <f t="shared" si="6"/>
        <v>10.831039330434498</v>
      </c>
      <c r="AC41" s="173">
        <f t="shared" si="7"/>
        <v>8.3448270568972571</v>
      </c>
      <c r="AD41" s="173">
        <f t="shared" si="8"/>
        <v>-0.56696115350389631</v>
      </c>
      <c r="AE41" s="173">
        <f t="shared" si="9"/>
        <v>-2.4862122735372409</v>
      </c>
      <c r="AI41" s="178" t="e">
        <f t="shared" si="10"/>
        <v>#N/A</v>
      </c>
      <c r="AJ41" s="178" t="e">
        <f t="shared" si="11"/>
        <v>#N/A</v>
      </c>
      <c r="AK41" s="178" t="e">
        <f t="shared" si="12"/>
        <v>#N/A</v>
      </c>
      <c r="AL41" s="178" t="e">
        <f t="shared" si="13"/>
        <v>#N/A</v>
      </c>
      <c r="AM41" s="166" t="e">
        <f t="shared" si="14"/>
        <v>#N/A</v>
      </c>
      <c r="AN41" s="166" t="e">
        <f t="shared" si="15"/>
        <v>#N/A</v>
      </c>
    </row>
    <row r="42" spans="19:40" ht="30" customHeight="1" x14ac:dyDescent="0.45">
      <c r="S42" s="170">
        <f>'PubMatic Data'!A39</f>
        <v>46245</v>
      </c>
      <c r="T42" s="171">
        <f>'PubMatic Data'!B39</f>
        <v>17.649999999999999</v>
      </c>
      <c r="U42" s="171">
        <f>_xlfn.XLOOKUP(S42,'Trade Deck Data'!$A:$A,'Trade Deck Data'!$B:$B,NA())</f>
        <v>13.56</v>
      </c>
      <c r="V42" s="172">
        <f t="shared" si="0"/>
        <v>803957.49999999988</v>
      </c>
      <c r="W42" s="172">
        <f t="shared" si="1"/>
        <v>683986.49999999988</v>
      </c>
      <c r="X42" s="172">
        <f t="shared" si="2"/>
        <v>6411168.0000000009</v>
      </c>
      <c r="Y42" s="172">
        <f t="shared" si="3"/>
        <v>4925835.0000000009</v>
      </c>
      <c r="Z42" s="173">
        <f t="shared" si="4"/>
        <v>2.3653766348740857</v>
      </c>
      <c r="AA42" s="173">
        <f t="shared" si="5"/>
        <v>1.7360443929103864</v>
      </c>
      <c r="AB42" s="173">
        <f t="shared" si="6"/>
        <v>11.181000098080883</v>
      </c>
      <c r="AC42" s="173">
        <f t="shared" si="7"/>
        <v>8.4012740483012713</v>
      </c>
      <c r="AD42" s="173">
        <f t="shared" si="8"/>
        <v>-0.6293322419636993</v>
      </c>
      <c r="AE42" s="173">
        <f t="shared" si="9"/>
        <v>-2.7797260497796117</v>
      </c>
      <c r="AI42" s="178" t="e">
        <f t="shared" si="10"/>
        <v>#N/A</v>
      </c>
      <c r="AJ42" s="178" t="e">
        <f t="shared" si="11"/>
        <v>#N/A</v>
      </c>
      <c r="AK42" s="178" t="e">
        <f t="shared" si="12"/>
        <v>#N/A</v>
      </c>
      <c r="AL42" s="178" t="e">
        <f t="shared" si="13"/>
        <v>#N/A</v>
      </c>
      <c r="AM42" s="166" t="e">
        <f t="shared" si="14"/>
        <v>#N/A</v>
      </c>
      <c r="AN42" s="166" t="e">
        <f t="shared" si="15"/>
        <v>#N/A</v>
      </c>
    </row>
    <row r="43" spans="19:40" ht="42" customHeight="1" x14ac:dyDescent="0.45">
      <c r="S43" s="170">
        <f>'PubMatic Data'!A40</f>
        <v>46244</v>
      </c>
      <c r="T43" s="171">
        <f>'PubMatic Data'!B40</f>
        <v>17.760000000000002</v>
      </c>
      <c r="U43" s="171">
        <f>_xlfn.XLOOKUP(S43,'Trade Deck Data'!$A:$A,'Trade Deck Data'!$B:$B,NA())</f>
        <v>13.39</v>
      </c>
      <c r="V43" s="172">
        <f t="shared" si="0"/>
        <v>808968.00000000012</v>
      </c>
      <c r="W43" s="172">
        <f t="shared" si="1"/>
        <v>688997.00000000012</v>
      </c>
      <c r="X43" s="172">
        <f t="shared" si="2"/>
        <v>6330792</v>
      </c>
      <c r="Y43" s="172">
        <f t="shared" si="3"/>
        <v>4845459</v>
      </c>
      <c r="Z43" s="173">
        <f t="shared" si="4"/>
        <v>2.3827040523436369</v>
      </c>
      <c r="AA43" s="173">
        <f t="shared" si="5"/>
        <v>1.7077169511417183</v>
      </c>
      <c r="AB43" s="173">
        <f t="shared" si="6"/>
        <v>11.262905809657699</v>
      </c>
      <c r="AC43" s="173">
        <f t="shared" si="7"/>
        <v>8.2641884977486697</v>
      </c>
      <c r="AD43" s="173">
        <f t="shared" si="8"/>
        <v>-0.67498710120191863</v>
      </c>
      <c r="AE43" s="173">
        <f t="shared" si="9"/>
        <v>-2.9987173119090293</v>
      </c>
      <c r="AI43" s="178" t="e">
        <f t="shared" si="10"/>
        <v>#N/A</v>
      </c>
      <c r="AJ43" s="178" t="e">
        <f t="shared" si="11"/>
        <v>#N/A</v>
      </c>
      <c r="AK43" s="178" t="e">
        <f t="shared" si="12"/>
        <v>#N/A</v>
      </c>
      <c r="AL43" s="178" t="e">
        <f t="shared" si="13"/>
        <v>#N/A</v>
      </c>
      <c r="AM43" s="166" t="e">
        <f t="shared" si="14"/>
        <v>#N/A</v>
      </c>
      <c r="AN43" s="166" t="e">
        <f t="shared" si="15"/>
        <v>#N/A</v>
      </c>
    </row>
    <row r="44" spans="19:40" ht="30" customHeight="1" x14ac:dyDescent="0.45">
      <c r="S44" s="170">
        <f>'PubMatic Data'!A41</f>
        <v>46241</v>
      </c>
      <c r="T44" s="171">
        <f>'PubMatic Data'!B41</f>
        <v>17.78</v>
      </c>
      <c r="U44" s="171">
        <f>_xlfn.XLOOKUP(S44,'Trade Deck Data'!$A:$A,'Trade Deck Data'!$B:$B,NA())</f>
        <v>13.8</v>
      </c>
      <c r="V44" s="172">
        <f t="shared" si="0"/>
        <v>809879</v>
      </c>
      <c r="W44" s="172">
        <f t="shared" si="1"/>
        <v>689908</v>
      </c>
      <c r="X44" s="172">
        <f t="shared" si="2"/>
        <v>6524640</v>
      </c>
      <c r="Y44" s="172">
        <f t="shared" si="3"/>
        <v>5039307</v>
      </c>
      <c r="Z44" s="173">
        <f t="shared" si="4"/>
        <v>2.3858544918835549</v>
      </c>
      <c r="AA44" s="173">
        <f t="shared" si="5"/>
        <v>1.7760360754073286</v>
      </c>
      <c r="AB44" s="173">
        <f t="shared" si="6"/>
        <v>11.277797757217119</v>
      </c>
      <c r="AC44" s="173">
        <f t="shared" si="7"/>
        <v>8.5948065902578801</v>
      </c>
      <c r="AD44" s="173">
        <f t="shared" si="8"/>
        <v>-0.60981841647622637</v>
      </c>
      <c r="AE44" s="173">
        <f t="shared" si="9"/>
        <v>-2.6829911669592388</v>
      </c>
      <c r="AI44" s="178" t="e">
        <f t="shared" si="10"/>
        <v>#N/A</v>
      </c>
      <c r="AJ44" s="178" t="e">
        <f t="shared" si="11"/>
        <v>#N/A</v>
      </c>
      <c r="AK44" s="178" t="e">
        <f t="shared" si="12"/>
        <v>#N/A</v>
      </c>
      <c r="AL44" s="178" t="e">
        <f t="shared" si="13"/>
        <v>#N/A</v>
      </c>
      <c r="AM44" s="166" t="e">
        <f t="shared" si="14"/>
        <v>#N/A</v>
      </c>
      <c r="AN44" s="166" t="e">
        <f t="shared" si="15"/>
        <v>#N/A</v>
      </c>
    </row>
    <row r="45" spans="19:40" ht="30" customHeight="1" x14ac:dyDescent="0.45">
      <c r="S45" s="170">
        <f>'PubMatic Data'!A42</f>
        <v>46240</v>
      </c>
      <c r="T45" s="171">
        <f>'PubMatic Data'!B42</f>
        <v>13.48</v>
      </c>
      <c r="U45" s="171">
        <f>_xlfn.XLOOKUP(S45,'Trade Deck Data'!$A:$A,'Trade Deck Data'!$B:$B,NA())</f>
        <v>17.670000000000002</v>
      </c>
      <c r="V45" s="172">
        <f t="shared" si="0"/>
        <v>614014</v>
      </c>
      <c r="W45" s="172">
        <f t="shared" si="1"/>
        <v>494043</v>
      </c>
      <c r="X45" s="172">
        <f t="shared" si="2"/>
        <v>8354376</v>
      </c>
      <c r="Y45" s="172">
        <f t="shared" si="3"/>
        <v>6869043</v>
      </c>
      <c r="Z45" s="173">
        <f t="shared" si="4"/>
        <v>1.7085099908011316</v>
      </c>
      <c r="AA45" s="173">
        <f t="shared" si="5"/>
        <v>2.4209019556705282</v>
      </c>
      <c r="AB45" s="173">
        <f t="shared" si="6"/>
        <v>8.0760290319416743</v>
      </c>
      <c r="AC45" s="173">
        <f t="shared" si="7"/>
        <v>11.715518829308227</v>
      </c>
      <c r="AD45" s="173">
        <f t="shared" si="8"/>
        <v>0.7123919648693966</v>
      </c>
      <c r="AE45" s="173">
        <f t="shared" si="9"/>
        <v>3.6394897973665525</v>
      </c>
      <c r="AI45" s="178">
        <f t="shared" si="10"/>
        <v>1.7085099908011316</v>
      </c>
      <c r="AJ45" s="178">
        <f t="shared" si="11"/>
        <v>2.4209019556705282</v>
      </c>
      <c r="AK45" s="178">
        <f t="shared" si="12"/>
        <v>8.0760290319416743</v>
      </c>
      <c r="AL45" s="178">
        <f t="shared" si="13"/>
        <v>11.715518829308227</v>
      </c>
      <c r="AM45" s="166">
        <f t="shared" si="14"/>
        <v>13.48</v>
      </c>
      <c r="AN45" s="166">
        <f t="shared" si="15"/>
        <v>17.670000000000002</v>
      </c>
    </row>
    <row r="46" spans="19:40" ht="30" customHeight="1" x14ac:dyDescent="0.45">
      <c r="S46" s="170">
        <f>'PubMatic Data'!A43</f>
        <v>46239</v>
      </c>
      <c r="T46" s="171">
        <f>'PubMatic Data'!B43</f>
        <v>13.51</v>
      </c>
      <c r="U46" s="171">
        <f>_xlfn.XLOOKUP(S46,'Trade Deck Data'!$A:$A,'Trade Deck Data'!$B:$B,NA())</f>
        <v>18.96</v>
      </c>
      <c r="V46" s="172">
        <f t="shared" si="0"/>
        <v>615380.5</v>
      </c>
      <c r="W46" s="172">
        <f t="shared" si="1"/>
        <v>495409.5</v>
      </c>
      <c r="X46" s="172">
        <f t="shared" si="2"/>
        <v>8964288</v>
      </c>
      <c r="Y46" s="172">
        <f t="shared" si="3"/>
        <v>7478955</v>
      </c>
      <c r="Z46" s="173">
        <f t="shared" si="4"/>
        <v>1.7132356501110089</v>
      </c>
      <c r="AA46" s="173">
        <f t="shared" si="5"/>
        <v>2.6358572490915946</v>
      </c>
      <c r="AB46" s="173">
        <f t="shared" si="6"/>
        <v>8.0983669532808058</v>
      </c>
      <c r="AC46" s="173">
        <f t="shared" si="7"/>
        <v>12.75575624232501</v>
      </c>
      <c r="AD46" s="173">
        <f t="shared" si="8"/>
        <v>0.92262159898058571</v>
      </c>
      <c r="AE46" s="173">
        <f t="shared" si="9"/>
        <v>4.6573892890442039</v>
      </c>
      <c r="AI46" s="178" t="e">
        <f t="shared" si="10"/>
        <v>#N/A</v>
      </c>
      <c r="AJ46" s="178" t="e">
        <f t="shared" si="11"/>
        <v>#N/A</v>
      </c>
      <c r="AK46" s="178" t="e">
        <f t="shared" si="12"/>
        <v>#N/A</v>
      </c>
      <c r="AL46" s="178" t="e">
        <f t="shared" si="13"/>
        <v>#N/A</v>
      </c>
      <c r="AM46" s="166" t="e">
        <f t="shared" si="14"/>
        <v>#N/A</v>
      </c>
      <c r="AN46" s="166" t="e">
        <f t="shared" si="15"/>
        <v>#N/A</v>
      </c>
    </row>
    <row r="47" spans="19:40" x14ac:dyDescent="0.45">
      <c r="S47" s="170">
        <f>'PubMatic Data'!A44</f>
        <v>46238</v>
      </c>
      <c r="T47" s="171">
        <f>'PubMatic Data'!B44</f>
        <v>13.64</v>
      </c>
      <c r="U47" s="171">
        <f>_xlfn.XLOOKUP(S47,'Trade Deck Data'!$A:$A,'Trade Deck Data'!$B:$B,NA())</f>
        <v>19.34</v>
      </c>
      <c r="V47" s="172">
        <f t="shared" si="0"/>
        <v>621302</v>
      </c>
      <c r="W47" s="172">
        <f t="shared" si="1"/>
        <v>501331</v>
      </c>
      <c r="X47" s="172">
        <f t="shared" si="2"/>
        <v>9143952</v>
      </c>
      <c r="Y47" s="172">
        <f t="shared" si="3"/>
        <v>7658619</v>
      </c>
      <c r="Z47" s="173">
        <f t="shared" si="4"/>
        <v>1.7337135071204774</v>
      </c>
      <c r="AA47" s="173">
        <f t="shared" si="5"/>
        <v>2.6991774130450872</v>
      </c>
      <c r="AB47" s="173">
        <f t="shared" si="6"/>
        <v>8.1951646124170399</v>
      </c>
      <c r="AC47" s="173">
        <f t="shared" si="7"/>
        <v>13.062182767089643</v>
      </c>
      <c r="AD47" s="173">
        <f t="shared" si="8"/>
        <v>0.96546390592460973</v>
      </c>
      <c r="AE47" s="173">
        <f t="shared" si="9"/>
        <v>4.8670181546726035</v>
      </c>
      <c r="AI47" s="178" t="e">
        <f t="shared" si="10"/>
        <v>#N/A</v>
      </c>
      <c r="AJ47" s="178" t="e">
        <f t="shared" si="11"/>
        <v>#N/A</v>
      </c>
      <c r="AK47" s="178" t="e">
        <f t="shared" si="12"/>
        <v>#N/A</v>
      </c>
      <c r="AL47" s="178" t="e">
        <f t="shared" si="13"/>
        <v>#N/A</v>
      </c>
      <c r="AM47" s="166" t="e">
        <f t="shared" si="14"/>
        <v>#N/A</v>
      </c>
      <c r="AN47" s="166" t="e">
        <f t="shared" si="15"/>
        <v>#N/A</v>
      </c>
    </row>
    <row r="48" spans="19:40" x14ac:dyDescent="0.45">
      <c r="S48" s="170">
        <f>'PubMatic Data'!A45</f>
        <v>46237</v>
      </c>
      <c r="T48" s="171">
        <f>'PubMatic Data'!B45</f>
        <v>12.96</v>
      </c>
      <c r="U48" s="171">
        <f>_xlfn.XLOOKUP(S48,'Trade Deck Data'!$A:$A,'Trade Deck Data'!$B:$B,NA())</f>
        <v>18.3</v>
      </c>
      <c r="V48" s="172">
        <f t="shared" si="0"/>
        <v>590328</v>
      </c>
      <c r="W48" s="172">
        <f t="shared" si="1"/>
        <v>470357</v>
      </c>
      <c r="X48" s="172">
        <f t="shared" si="2"/>
        <v>8652240</v>
      </c>
      <c r="Y48" s="172">
        <f t="shared" si="3"/>
        <v>7166907</v>
      </c>
      <c r="Z48" s="173">
        <f t="shared" si="4"/>
        <v>1.6265985627632571</v>
      </c>
      <c r="AA48" s="173">
        <f t="shared" si="5"/>
        <v>2.5258801222250025</v>
      </c>
      <c r="AB48" s="173">
        <f t="shared" si="6"/>
        <v>7.6888383953967372</v>
      </c>
      <c r="AC48" s="173">
        <f t="shared" si="7"/>
        <v>12.22354175194433</v>
      </c>
      <c r="AD48" s="173">
        <f t="shared" si="8"/>
        <v>0.89928155946174537</v>
      </c>
      <c r="AE48" s="173">
        <f t="shared" si="9"/>
        <v>4.5347033565475927</v>
      </c>
      <c r="AI48" s="178" t="e">
        <f t="shared" si="10"/>
        <v>#N/A</v>
      </c>
      <c r="AJ48" s="178" t="e">
        <f t="shared" si="11"/>
        <v>#N/A</v>
      </c>
      <c r="AK48" s="178" t="e">
        <f t="shared" si="12"/>
        <v>#N/A</v>
      </c>
      <c r="AL48" s="178" t="e">
        <f t="shared" si="13"/>
        <v>#N/A</v>
      </c>
      <c r="AM48" s="166" t="e">
        <f t="shared" si="14"/>
        <v>#N/A</v>
      </c>
      <c r="AN48" s="166" t="e">
        <f t="shared" si="15"/>
        <v>#N/A</v>
      </c>
    </row>
    <row r="49" spans="2:40" x14ac:dyDescent="0.45">
      <c r="S49" s="170">
        <f>'PubMatic Data'!A46</f>
        <v>46234</v>
      </c>
      <c r="T49" s="171">
        <f>'PubMatic Data'!B46</f>
        <v>12.6</v>
      </c>
      <c r="U49" s="171">
        <f>_xlfn.XLOOKUP(S49,'Trade Deck Data'!$A:$A,'Trade Deck Data'!$B:$B,NA())</f>
        <v>18.04</v>
      </c>
      <c r="V49" s="172">
        <f t="shared" si="0"/>
        <v>573930</v>
      </c>
      <c r="W49" s="172">
        <f t="shared" si="1"/>
        <v>453959</v>
      </c>
      <c r="X49" s="172">
        <f t="shared" si="2"/>
        <v>8529312</v>
      </c>
      <c r="Y49" s="172">
        <f t="shared" si="3"/>
        <v>7043979</v>
      </c>
      <c r="Z49" s="173">
        <f t="shared" si="4"/>
        <v>1.5698906510447286</v>
      </c>
      <c r="AA49" s="173">
        <f t="shared" si="5"/>
        <v>2.4825557995199814</v>
      </c>
      <c r="AB49" s="173">
        <f t="shared" si="6"/>
        <v>7.4207833393271647</v>
      </c>
      <c r="AC49" s="173">
        <f t="shared" si="7"/>
        <v>12.013881498158003</v>
      </c>
      <c r="AD49" s="173">
        <f t="shared" si="8"/>
        <v>0.91266514847525282</v>
      </c>
      <c r="AE49" s="173">
        <f t="shared" si="9"/>
        <v>4.5930981588308386</v>
      </c>
      <c r="AI49" s="178" t="e">
        <f t="shared" si="10"/>
        <v>#N/A</v>
      </c>
      <c r="AJ49" s="178" t="e">
        <f t="shared" si="11"/>
        <v>#N/A</v>
      </c>
      <c r="AK49" s="178" t="e">
        <f t="shared" si="12"/>
        <v>#N/A</v>
      </c>
      <c r="AL49" s="178" t="e">
        <f t="shared" si="13"/>
        <v>#N/A</v>
      </c>
      <c r="AM49" s="166" t="e">
        <f t="shared" si="14"/>
        <v>#N/A</v>
      </c>
      <c r="AN49" s="166" t="e">
        <f t="shared" si="15"/>
        <v>#N/A</v>
      </c>
    </row>
    <row r="50" spans="2:40" x14ac:dyDescent="0.45">
      <c r="S50" s="170">
        <f>'PubMatic Data'!A47</f>
        <v>46233</v>
      </c>
      <c r="T50" s="171">
        <f>'PubMatic Data'!B47</f>
        <v>12.74</v>
      </c>
      <c r="U50" s="171">
        <f>_xlfn.XLOOKUP(S50,'Trade Deck Data'!$A:$A,'Trade Deck Data'!$B:$B,NA())</f>
        <v>18.28</v>
      </c>
      <c r="V50" s="172">
        <f t="shared" si="0"/>
        <v>580307</v>
      </c>
      <c r="W50" s="172">
        <f t="shared" si="1"/>
        <v>460336</v>
      </c>
      <c r="X50" s="172">
        <f t="shared" si="2"/>
        <v>8642784.0000000019</v>
      </c>
      <c r="Y50" s="172">
        <f t="shared" si="3"/>
        <v>7157451.0000000019</v>
      </c>
      <c r="Z50" s="173">
        <f t="shared" si="4"/>
        <v>1.5919437278241564</v>
      </c>
      <c r="AA50" s="173">
        <f t="shared" si="5"/>
        <v>2.5225474820169245</v>
      </c>
      <c r="AB50" s="173">
        <f t="shared" si="6"/>
        <v>7.5250269722431096</v>
      </c>
      <c r="AC50" s="173">
        <f t="shared" si="7"/>
        <v>12.207414040114616</v>
      </c>
      <c r="AD50" s="173">
        <f t="shared" si="8"/>
        <v>0.93060375419276808</v>
      </c>
      <c r="AE50" s="173">
        <f t="shared" si="9"/>
        <v>4.682387067871506</v>
      </c>
      <c r="AI50" s="178" t="e">
        <f t="shared" si="10"/>
        <v>#N/A</v>
      </c>
      <c r="AJ50" s="178" t="e">
        <f t="shared" si="11"/>
        <v>#N/A</v>
      </c>
      <c r="AK50" s="178" t="e">
        <f t="shared" si="12"/>
        <v>#N/A</v>
      </c>
      <c r="AL50" s="178" t="e">
        <f t="shared" si="13"/>
        <v>#N/A</v>
      </c>
      <c r="AM50" s="166" t="e">
        <f t="shared" si="14"/>
        <v>#N/A</v>
      </c>
      <c r="AN50" s="166" t="e">
        <f t="shared" si="15"/>
        <v>#N/A</v>
      </c>
    </row>
    <row r="51" spans="2:40" x14ac:dyDescent="0.45">
      <c r="S51" s="170">
        <f>'PubMatic Data'!A48</f>
        <v>46232</v>
      </c>
      <c r="T51" s="171">
        <f>'PubMatic Data'!B48</f>
        <v>13.1</v>
      </c>
      <c r="U51" s="171">
        <f>_xlfn.XLOOKUP(S51,'Trade Deck Data'!$A:$A,'Trade Deck Data'!$B:$B,NA())</f>
        <v>19.09</v>
      </c>
      <c r="V51" s="172">
        <f t="shared" si="0"/>
        <v>596704.99999999988</v>
      </c>
      <c r="W51" s="172">
        <f t="shared" si="1"/>
        <v>476733.99999999988</v>
      </c>
      <c r="X51" s="172">
        <f t="shared" si="2"/>
        <v>9025752</v>
      </c>
      <c r="Y51" s="172">
        <f t="shared" si="3"/>
        <v>7540419</v>
      </c>
      <c r="Z51" s="173">
        <f t="shared" si="4"/>
        <v>1.6486516395426845</v>
      </c>
      <c r="AA51" s="173">
        <f t="shared" si="5"/>
        <v>2.6575194104441051</v>
      </c>
      <c r="AB51" s="173">
        <f t="shared" si="6"/>
        <v>7.7930820283126803</v>
      </c>
      <c r="AC51" s="173">
        <f t="shared" si="7"/>
        <v>12.860586369218174</v>
      </c>
      <c r="AD51" s="173">
        <f t="shared" si="8"/>
        <v>1.0088677709014207</v>
      </c>
      <c r="AE51" s="173">
        <f t="shared" si="9"/>
        <v>5.0675043409054936</v>
      </c>
      <c r="AI51" s="178" t="e">
        <f t="shared" si="10"/>
        <v>#N/A</v>
      </c>
      <c r="AJ51" s="178" t="e">
        <f t="shared" si="11"/>
        <v>#N/A</v>
      </c>
      <c r="AK51" s="178" t="e">
        <f t="shared" si="12"/>
        <v>#N/A</v>
      </c>
      <c r="AL51" s="178" t="e">
        <f t="shared" si="13"/>
        <v>#N/A</v>
      </c>
      <c r="AM51" s="166" t="e">
        <f t="shared" si="14"/>
        <v>#N/A</v>
      </c>
      <c r="AN51" s="166" t="e">
        <f t="shared" si="15"/>
        <v>#N/A</v>
      </c>
    </row>
    <row r="52" spans="2:40" x14ac:dyDescent="0.45">
      <c r="S52" s="170">
        <f>'PubMatic Data'!A49</f>
        <v>46231</v>
      </c>
      <c r="T52" s="171">
        <f>'PubMatic Data'!B49</f>
        <v>13.03</v>
      </c>
      <c r="U52" s="171">
        <f>_xlfn.XLOOKUP(S52,'Trade Deck Data'!$A:$A,'Trade Deck Data'!$B:$B,NA())</f>
        <v>18.91</v>
      </c>
      <c r="V52" s="172">
        <f t="shared" si="0"/>
        <v>593516.5</v>
      </c>
      <c r="W52" s="172">
        <f t="shared" si="1"/>
        <v>473545.5</v>
      </c>
      <c r="X52" s="172">
        <f t="shared" si="2"/>
        <v>8940648.0000000019</v>
      </c>
      <c r="Y52" s="172">
        <f t="shared" si="3"/>
        <v>7455315.0000000019</v>
      </c>
      <c r="Z52" s="173">
        <f t="shared" si="4"/>
        <v>1.637625101152971</v>
      </c>
      <c r="AA52" s="173">
        <f t="shared" si="5"/>
        <v>2.6275256485713991</v>
      </c>
      <c r="AB52" s="173">
        <f t="shared" si="6"/>
        <v>7.7409602118547092</v>
      </c>
      <c r="AC52" s="173">
        <f t="shared" si="7"/>
        <v>12.715436962750719</v>
      </c>
      <c r="AD52" s="173">
        <f t="shared" si="8"/>
        <v>0.98990054741842815</v>
      </c>
      <c r="AE52" s="173">
        <f t="shared" si="9"/>
        <v>4.9744767508960095</v>
      </c>
      <c r="AI52" s="178" t="e">
        <f t="shared" si="10"/>
        <v>#N/A</v>
      </c>
      <c r="AJ52" s="178" t="e">
        <f t="shared" si="11"/>
        <v>#N/A</v>
      </c>
      <c r="AK52" s="178" t="e">
        <f t="shared" si="12"/>
        <v>#N/A</v>
      </c>
      <c r="AL52" s="178" t="e">
        <f t="shared" si="13"/>
        <v>#N/A</v>
      </c>
      <c r="AM52" s="166" t="e">
        <f t="shared" si="14"/>
        <v>#N/A</v>
      </c>
      <c r="AN52" s="166" t="e">
        <f t="shared" si="15"/>
        <v>#N/A</v>
      </c>
    </row>
    <row r="53" spans="2:40" x14ac:dyDescent="0.45">
      <c r="B53" s="174" t="s">
        <v>707</v>
      </c>
      <c r="C53" s="175"/>
      <c r="D53" s="175"/>
      <c r="E53" s="175"/>
      <c r="F53" s="175"/>
      <c r="G53" s="175"/>
      <c r="H53" s="175"/>
      <c r="I53" s="175"/>
      <c r="J53" s="175"/>
      <c r="K53" s="175"/>
      <c r="L53" s="175"/>
      <c r="M53" s="175"/>
      <c r="N53" s="175"/>
      <c r="S53" s="170">
        <f>'PubMatic Data'!A50</f>
        <v>46230</v>
      </c>
      <c r="T53" s="171">
        <f>'PubMatic Data'!B50</f>
        <v>12.79</v>
      </c>
      <c r="U53" s="171">
        <f>_xlfn.XLOOKUP(S53,'Trade Deck Data'!$A:$A,'Trade Deck Data'!$B:$B,NA())</f>
        <v>17.88</v>
      </c>
      <c r="V53" s="172">
        <f t="shared" si="0"/>
        <v>582584.49999999988</v>
      </c>
      <c r="W53" s="172">
        <f t="shared" si="1"/>
        <v>462613.49999999988</v>
      </c>
      <c r="X53" s="172">
        <f t="shared" si="2"/>
        <v>8453663.9999999981</v>
      </c>
      <c r="Y53" s="172">
        <f t="shared" si="3"/>
        <v>6968330.9999999981</v>
      </c>
      <c r="Z53" s="173">
        <f t="shared" si="4"/>
        <v>1.5998198266739516</v>
      </c>
      <c r="AA53" s="173">
        <f t="shared" si="5"/>
        <v>2.4558946778553525</v>
      </c>
      <c r="AB53" s="173">
        <f t="shared" si="6"/>
        <v>7.56225684114166</v>
      </c>
      <c r="AC53" s="173">
        <f t="shared" si="7"/>
        <v>11.884859803520259</v>
      </c>
      <c r="AD53" s="173">
        <f t="shared" si="8"/>
        <v>0.85607485118140092</v>
      </c>
      <c r="AE53" s="173">
        <f t="shared" si="9"/>
        <v>4.3226029623785989</v>
      </c>
      <c r="AI53" s="178" t="e">
        <f t="shared" si="10"/>
        <v>#N/A</v>
      </c>
      <c r="AJ53" s="178" t="e">
        <f t="shared" si="11"/>
        <v>#N/A</v>
      </c>
      <c r="AK53" s="178" t="e">
        <f t="shared" si="12"/>
        <v>#N/A</v>
      </c>
      <c r="AL53" s="178" t="e">
        <f t="shared" si="13"/>
        <v>#N/A</v>
      </c>
      <c r="AM53" s="166" t="e">
        <f t="shared" si="14"/>
        <v>#N/A</v>
      </c>
      <c r="AN53" s="166" t="e">
        <f t="shared" si="15"/>
        <v>#N/A</v>
      </c>
    </row>
    <row r="54" spans="2:40" ht="30" customHeight="1" x14ac:dyDescent="0.45">
      <c r="B54" s="176" t="s">
        <v>702</v>
      </c>
      <c r="C54" s="176"/>
      <c r="D54" s="176"/>
      <c r="E54" s="176"/>
      <c r="F54" s="176"/>
      <c r="G54" s="176"/>
      <c r="H54" s="176"/>
      <c r="I54" s="176"/>
      <c r="J54" s="176"/>
      <c r="K54" s="176"/>
      <c r="L54" s="176"/>
      <c r="M54" s="176"/>
      <c r="N54" s="176"/>
      <c r="S54" s="170">
        <f>'PubMatic Data'!A51</f>
        <v>46227</v>
      </c>
      <c r="T54" s="171">
        <f>'PubMatic Data'!B51</f>
        <v>12.52</v>
      </c>
      <c r="U54" s="171">
        <f>_xlfn.XLOOKUP(S54,'Trade Deck Data'!$A:$A,'Trade Deck Data'!$B:$B,NA())</f>
        <v>17.29</v>
      </c>
      <c r="V54" s="172">
        <f t="shared" si="0"/>
        <v>570286</v>
      </c>
      <c r="W54" s="172">
        <f t="shared" si="1"/>
        <v>450315</v>
      </c>
      <c r="X54" s="172">
        <f t="shared" si="2"/>
        <v>8174712</v>
      </c>
      <c r="Y54" s="172">
        <f t="shared" si="3"/>
        <v>6689379</v>
      </c>
      <c r="Z54" s="173">
        <f t="shared" si="4"/>
        <v>1.5572888928850557</v>
      </c>
      <c r="AA54" s="173">
        <f t="shared" si="5"/>
        <v>2.3575817917170356</v>
      </c>
      <c r="AB54" s="173">
        <f t="shared" si="6"/>
        <v>7.3612155490894828</v>
      </c>
      <c r="AC54" s="173">
        <f t="shared" si="7"/>
        <v>11.409092304543593</v>
      </c>
      <c r="AD54" s="173">
        <f t="shared" si="8"/>
        <v>0.80029289883197996</v>
      </c>
      <c r="AE54" s="173">
        <f t="shared" si="9"/>
        <v>4.0478767554541104</v>
      </c>
      <c r="AI54" s="178" t="e">
        <f t="shared" si="10"/>
        <v>#N/A</v>
      </c>
      <c r="AJ54" s="178" t="e">
        <f t="shared" si="11"/>
        <v>#N/A</v>
      </c>
      <c r="AK54" s="178" t="e">
        <f t="shared" si="12"/>
        <v>#N/A</v>
      </c>
      <c r="AL54" s="178" t="e">
        <f t="shared" si="13"/>
        <v>#N/A</v>
      </c>
      <c r="AM54" s="166" t="e">
        <f t="shared" si="14"/>
        <v>#N/A</v>
      </c>
      <c r="AN54" s="166" t="e">
        <f t="shared" si="15"/>
        <v>#N/A</v>
      </c>
    </row>
    <row r="55" spans="2:40" x14ac:dyDescent="0.45">
      <c r="B55" s="176" t="s">
        <v>703</v>
      </c>
      <c r="C55" s="176"/>
      <c r="D55" s="176"/>
      <c r="E55" s="176"/>
      <c r="F55" s="176"/>
      <c r="G55" s="176"/>
      <c r="H55" s="176"/>
      <c r="I55" s="176"/>
      <c r="J55" s="176"/>
      <c r="K55" s="176"/>
      <c r="L55" s="176"/>
      <c r="M55" s="176"/>
      <c r="N55" s="176"/>
      <c r="S55" s="170">
        <f>'PubMatic Data'!A52</f>
        <v>46226</v>
      </c>
      <c r="T55" s="171">
        <f>'PubMatic Data'!B52</f>
        <v>12.3</v>
      </c>
      <c r="U55" s="171">
        <f>_xlfn.XLOOKUP(S55,'Trade Deck Data'!$A:$A,'Trade Deck Data'!$B:$B,NA())</f>
        <v>16.79</v>
      </c>
      <c r="V55" s="172">
        <f t="shared" si="0"/>
        <v>560265</v>
      </c>
      <c r="W55" s="172">
        <f t="shared" si="1"/>
        <v>440294</v>
      </c>
      <c r="X55" s="172">
        <f t="shared" si="2"/>
        <v>7938312</v>
      </c>
      <c r="Y55" s="172">
        <f t="shared" si="3"/>
        <v>6452979</v>
      </c>
      <c r="Z55" s="173">
        <f t="shared" si="4"/>
        <v>1.522634057945955</v>
      </c>
      <c r="AA55" s="173">
        <f t="shared" si="5"/>
        <v>2.2742657865150719</v>
      </c>
      <c r="AB55" s="173">
        <f t="shared" si="6"/>
        <v>7.1974041259358552</v>
      </c>
      <c r="AC55" s="173">
        <f t="shared" si="7"/>
        <v>11.005899508800654</v>
      </c>
      <c r="AD55" s="173">
        <f t="shared" si="8"/>
        <v>0.75163172856911697</v>
      </c>
      <c r="AE55" s="173">
        <f t="shared" si="9"/>
        <v>3.8084953828647992</v>
      </c>
      <c r="AI55" s="178" t="e">
        <f t="shared" si="10"/>
        <v>#N/A</v>
      </c>
      <c r="AJ55" s="178" t="e">
        <f t="shared" si="11"/>
        <v>#N/A</v>
      </c>
      <c r="AK55" s="178" t="e">
        <f t="shared" si="12"/>
        <v>#N/A</v>
      </c>
      <c r="AL55" s="178" t="e">
        <f t="shared" si="13"/>
        <v>#N/A</v>
      </c>
      <c r="AM55" s="166" t="e">
        <f t="shared" si="14"/>
        <v>#N/A</v>
      </c>
      <c r="AN55" s="166" t="e">
        <f t="shared" si="15"/>
        <v>#N/A</v>
      </c>
    </row>
    <row r="56" spans="2:40" x14ac:dyDescent="0.45">
      <c r="B56" s="176" t="s">
        <v>704</v>
      </c>
      <c r="C56" s="176"/>
      <c r="D56" s="176"/>
      <c r="E56" s="176"/>
      <c r="F56" s="176"/>
      <c r="G56" s="176"/>
      <c r="H56" s="176"/>
      <c r="I56" s="176"/>
      <c r="J56" s="176"/>
      <c r="K56" s="176"/>
      <c r="L56" s="176"/>
      <c r="M56" s="176"/>
      <c r="N56" s="176"/>
      <c r="S56" s="170">
        <f>'PubMatic Data'!A53</f>
        <v>46225</v>
      </c>
      <c r="T56" s="171">
        <f>'PubMatic Data'!B53</f>
        <v>12.65</v>
      </c>
      <c r="U56" s="171">
        <f>_xlfn.XLOOKUP(S56,'Trade Deck Data'!$A:$A,'Trade Deck Data'!$B:$B,NA())</f>
        <v>17.579999999999998</v>
      </c>
      <c r="V56" s="172">
        <f t="shared" si="0"/>
        <v>576207.5</v>
      </c>
      <c r="W56" s="172">
        <f t="shared" si="1"/>
        <v>456236.5</v>
      </c>
      <c r="X56" s="172">
        <f t="shared" si="2"/>
        <v>8311823.9999999991</v>
      </c>
      <c r="Y56" s="172">
        <f t="shared" si="3"/>
        <v>6826490.9999999991</v>
      </c>
      <c r="Z56" s="173">
        <f t="shared" si="4"/>
        <v>1.5777667498945243</v>
      </c>
      <c r="AA56" s="173">
        <f t="shared" si="5"/>
        <v>2.4059050747341746</v>
      </c>
      <c r="AB56" s="173">
        <f t="shared" si="6"/>
        <v>7.4580132082257169</v>
      </c>
      <c r="AC56" s="173">
        <f t="shared" si="7"/>
        <v>11.642944126074497</v>
      </c>
      <c r="AD56" s="173">
        <f t="shared" si="8"/>
        <v>0.82813832483965033</v>
      </c>
      <c r="AE56" s="173">
        <f t="shared" si="9"/>
        <v>4.1849309178487797</v>
      </c>
      <c r="AI56" s="178" t="e">
        <f t="shared" si="10"/>
        <v>#N/A</v>
      </c>
      <c r="AJ56" s="178" t="e">
        <f t="shared" si="11"/>
        <v>#N/A</v>
      </c>
      <c r="AK56" s="178" t="e">
        <f t="shared" si="12"/>
        <v>#N/A</v>
      </c>
      <c r="AL56" s="178" t="e">
        <f t="shared" si="13"/>
        <v>#N/A</v>
      </c>
      <c r="AM56" s="166" t="e">
        <f t="shared" si="14"/>
        <v>#N/A</v>
      </c>
      <c r="AN56" s="166" t="e">
        <f t="shared" si="15"/>
        <v>#N/A</v>
      </c>
    </row>
    <row r="57" spans="2:40" ht="30" customHeight="1" x14ac:dyDescent="0.45">
      <c r="B57" s="176" t="s">
        <v>720</v>
      </c>
      <c r="C57" s="176"/>
      <c r="D57" s="176"/>
      <c r="E57" s="176"/>
      <c r="F57" s="176"/>
      <c r="G57" s="176"/>
      <c r="H57" s="176"/>
      <c r="I57" s="176"/>
      <c r="J57" s="176"/>
      <c r="K57" s="176"/>
      <c r="L57" s="176"/>
      <c r="M57" s="176"/>
      <c r="N57" s="176"/>
      <c r="S57" s="170">
        <f>'PubMatic Data'!A54</f>
        <v>46224</v>
      </c>
      <c r="T57" s="171">
        <f>'PubMatic Data'!B54</f>
        <v>12.92</v>
      </c>
      <c r="U57" s="171">
        <f>_xlfn.XLOOKUP(S57,'Trade Deck Data'!$A:$A,'Trade Deck Data'!$B:$B,NA())</f>
        <v>18.25</v>
      </c>
      <c r="V57" s="172">
        <f t="shared" si="0"/>
        <v>588506</v>
      </c>
      <c r="W57" s="172">
        <f t="shared" si="1"/>
        <v>468535</v>
      </c>
      <c r="X57" s="172">
        <f t="shared" si="2"/>
        <v>8628600</v>
      </c>
      <c r="Y57" s="172">
        <f t="shared" si="3"/>
        <v>7143267</v>
      </c>
      <c r="Z57" s="173">
        <f t="shared" si="4"/>
        <v>1.6202976836834206</v>
      </c>
      <c r="AA57" s="173">
        <f t="shared" si="5"/>
        <v>2.5175485217048061</v>
      </c>
      <c r="AB57" s="173">
        <f t="shared" si="6"/>
        <v>7.6590545002778958</v>
      </c>
      <c r="AC57" s="173">
        <f t="shared" si="7"/>
        <v>12.183222472370037</v>
      </c>
      <c r="AD57" s="173">
        <f t="shared" si="8"/>
        <v>0.8972508380213855</v>
      </c>
      <c r="AE57" s="173">
        <f t="shared" si="9"/>
        <v>4.5241679720921413</v>
      </c>
      <c r="AI57" s="178" t="e">
        <f t="shared" si="10"/>
        <v>#N/A</v>
      </c>
      <c r="AJ57" s="178" t="e">
        <f t="shared" si="11"/>
        <v>#N/A</v>
      </c>
      <c r="AK57" s="178" t="e">
        <f t="shared" si="12"/>
        <v>#N/A</v>
      </c>
      <c r="AL57" s="178" t="e">
        <f t="shared" si="13"/>
        <v>#N/A</v>
      </c>
      <c r="AM57" s="166" t="e">
        <f t="shared" si="14"/>
        <v>#N/A</v>
      </c>
      <c r="AN57" s="166" t="e">
        <f t="shared" si="15"/>
        <v>#N/A</v>
      </c>
    </row>
    <row r="58" spans="2:40" ht="30" customHeight="1" x14ac:dyDescent="0.45">
      <c r="B58" s="176" t="s">
        <v>708</v>
      </c>
      <c r="C58" s="176"/>
      <c r="D58" s="176"/>
      <c r="E58" s="176"/>
      <c r="F58" s="176"/>
      <c r="G58" s="176"/>
      <c r="H58" s="176"/>
      <c r="I58" s="176"/>
      <c r="J58" s="176"/>
      <c r="K58" s="176"/>
      <c r="L58" s="176"/>
      <c r="M58" s="176"/>
      <c r="N58" s="176"/>
      <c r="S58" s="170">
        <f>'PubMatic Data'!A55</f>
        <v>46223</v>
      </c>
      <c r="T58" s="171">
        <f>'PubMatic Data'!B55</f>
        <v>13.09</v>
      </c>
      <c r="U58" s="171">
        <f>_xlfn.XLOOKUP(S58,'Trade Deck Data'!$A:$A,'Trade Deck Data'!$B:$B,NA())</f>
        <v>18.64</v>
      </c>
      <c r="V58" s="172">
        <f t="shared" si="0"/>
        <v>596249.5</v>
      </c>
      <c r="W58" s="172">
        <f t="shared" si="1"/>
        <v>476278.5</v>
      </c>
      <c r="X58" s="172">
        <f t="shared" si="2"/>
        <v>8812992</v>
      </c>
      <c r="Y58" s="172">
        <f t="shared" si="3"/>
        <v>7327659</v>
      </c>
      <c r="Z58" s="173">
        <f t="shared" si="4"/>
        <v>1.6470764197727257</v>
      </c>
      <c r="AA58" s="173">
        <f t="shared" si="5"/>
        <v>2.5825350057623377</v>
      </c>
      <c r="AB58" s="173">
        <f t="shared" si="6"/>
        <v>7.7856360545329713</v>
      </c>
      <c r="AC58" s="173">
        <f t="shared" si="7"/>
        <v>12.49771285304953</v>
      </c>
      <c r="AD58" s="173">
        <f t="shared" si="8"/>
        <v>0.93545858598961207</v>
      </c>
      <c r="AE58" s="173">
        <f t="shared" si="9"/>
        <v>4.7120767985165584</v>
      </c>
      <c r="AI58" s="178" t="e">
        <f t="shared" si="10"/>
        <v>#N/A</v>
      </c>
      <c r="AJ58" s="178" t="e">
        <f t="shared" si="11"/>
        <v>#N/A</v>
      </c>
      <c r="AK58" s="178" t="e">
        <f t="shared" si="12"/>
        <v>#N/A</v>
      </c>
      <c r="AL58" s="178" t="e">
        <f t="shared" si="13"/>
        <v>#N/A</v>
      </c>
      <c r="AM58" s="166" t="e">
        <f t="shared" si="14"/>
        <v>#N/A</v>
      </c>
      <c r="AN58" s="166" t="e">
        <f t="shared" si="15"/>
        <v>#N/A</v>
      </c>
    </row>
    <row r="59" spans="2:40" ht="45" customHeight="1" x14ac:dyDescent="0.45">
      <c r="B59" s="176" t="s">
        <v>721</v>
      </c>
      <c r="C59" s="176"/>
      <c r="D59" s="176"/>
      <c r="E59" s="176"/>
      <c r="F59" s="176"/>
      <c r="G59" s="176"/>
      <c r="H59" s="176"/>
      <c r="I59" s="176"/>
      <c r="J59" s="176"/>
      <c r="K59" s="176"/>
      <c r="L59" s="176"/>
      <c r="M59" s="176"/>
      <c r="N59" s="176"/>
      <c r="S59" s="170">
        <f>'PubMatic Data'!A56</f>
        <v>46220</v>
      </c>
      <c r="T59" s="171">
        <f>'PubMatic Data'!B56</f>
        <v>12.73</v>
      </c>
      <c r="U59" s="171">
        <f>_xlfn.XLOOKUP(S59,'Trade Deck Data'!$A:$A,'Trade Deck Data'!$B:$B,NA())</f>
        <v>18.59</v>
      </c>
      <c r="V59" s="172">
        <f t="shared" si="0"/>
        <v>579851.5</v>
      </c>
      <c r="W59" s="172">
        <f t="shared" si="1"/>
        <v>459880.5</v>
      </c>
      <c r="X59" s="172">
        <f t="shared" si="2"/>
        <v>8789352</v>
      </c>
      <c r="Y59" s="172">
        <f t="shared" si="3"/>
        <v>7304019</v>
      </c>
      <c r="Z59" s="173">
        <f t="shared" si="4"/>
        <v>1.5903685080541972</v>
      </c>
      <c r="AA59" s="173">
        <f t="shared" si="5"/>
        <v>2.5742034052421414</v>
      </c>
      <c r="AB59" s="173">
        <f t="shared" si="6"/>
        <v>7.5175809984633997</v>
      </c>
      <c r="AC59" s="173">
        <f t="shared" si="7"/>
        <v>12.457393573475235</v>
      </c>
      <c r="AD59" s="173">
        <f t="shared" si="8"/>
        <v>0.98383489718794426</v>
      </c>
      <c r="AE59" s="173">
        <f t="shared" si="9"/>
        <v>4.9398125750118353</v>
      </c>
      <c r="AI59" s="178" t="e">
        <f t="shared" si="10"/>
        <v>#N/A</v>
      </c>
      <c r="AJ59" s="178" t="e">
        <f t="shared" si="11"/>
        <v>#N/A</v>
      </c>
      <c r="AK59" s="178" t="e">
        <f t="shared" si="12"/>
        <v>#N/A</v>
      </c>
      <c r="AL59" s="178" t="e">
        <f t="shared" si="13"/>
        <v>#N/A</v>
      </c>
      <c r="AM59" s="166" t="e">
        <f t="shared" si="14"/>
        <v>#N/A</v>
      </c>
      <c r="AN59" s="166" t="e">
        <f t="shared" si="15"/>
        <v>#N/A</v>
      </c>
    </row>
    <row r="60" spans="2:40" ht="45" customHeight="1" x14ac:dyDescent="0.45">
      <c r="B60" s="176" t="s">
        <v>722</v>
      </c>
      <c r="C60" s="176"/>
      <c r="D60" s="176"/>
      <c r="E60" s="176"/>
      <c r="F60" s="176"/>
      <c r="G60" s="176"/>
      <c r="H60" s="176"/>
      <c r="I60" s="176"/>
      <c r="J60" s="176"/>
      <c r="K60" s="176"/>
      <c r="L60" s="176"/>
      <c r="M60" s="176"/>
      <c r="N60" s="176"/>
      <c r="S60" s="170">
        <f>'PubMatic Data'!A57</f>
        <v>46219</v>
      </c>
      <c r="T60" s="171">
        <f>'PubMatic Data'!B57</f>
        <v>13.63</v>
      </c>
      <c r="U60" s="171">
        <f>_xlfn.XLOOKUP(S60,'Trade Deck Data'!$A:$A,'Trade Deck Data'!$B:$B,NA())</f>
        <v>19.12</v>
      </c>
      <c r="V60" s="172">
        <f t="shared" si="0"/>
        <v>620846.5</v>
      </c>
      <c r="W60" s="172">
        <f t="shared" si="1"/>
        <v>500875.5</v>
      </c>
      <c r="X60" s="172">
        <f t="shared" si="2"/>
        <v>9039936.0000000019</v>
      </c>
      <c r="Y60" s="172">
        <f t="shared" si="3"/>
        <v>7554603.0000000019</v>
      </c>
      <c r="Z60" s="173">
        <f t="shared" si="4"/>
        <v>1.7321382873505184</v>
      </c>
      <c r="AA60" s="173">
        <f t="shared" si="5"/>
        <v>2.6625183707562239</v>
      </c>
      <c r="AB60" s="173">
        <f t="shared" si="6"/>
        <v>8.18771863863733</v>
      </c>
      <c r="AC60" s="173">
        <f t="shared" si="7"/>
        <v>12.884777936962754</v>
      </c>
      <c r="AD60" s="173">
        <f t="shared" si="8"/>
        <v>0.93038008340570544</v>
      </c>
      <c r="AE60" s="173">
        <f t="shared" si="9"/>
        <v>4.6970592983254242</v>
      </c>
      <c r="AI60" s="178" t="e">
        <f t="shared" si="10"/>
        <v>#N/A</v>
      </c>
      <c r="AJ60" s="178" t="e">
        <f t="shared" si="11"/>
        <v>#N/A</v>
      </c>
      <c r="AK60" s="178" t="e">
        <f t="shared" si="12"/>
        <v>#N/A</v>
      </c>
      <c r="AL60" s="178" t="e">
        <f t="shared" si="13"/>
        <v>#N/A</v>
      </c>
      <c r="AM60" s="166" t="e">
        <f t="shared" si="14"/>
        <v>#N/A</v>
      </c>
      <c r="AN60" s="166" t="e">
        <f t="shared" si="15"/>
        <v>#N/A</v>
      </c>
    </row>
    <row r="61" spans="2:40" x14ac:dyDescent="0.45">
      <c r="B61" s="176" t="s">
        <v>705</v>
      </c>
      <c r="C61" s="176"/>
      <c r="D61" s="176"/>
      <c r="E61" s="176"/>
      <c r="F61" s="176"/>
      <c r="G61" s="176"/>
      <c r="H61" s="176"/>
      <c r="I61" s="176"/>
      <c r="J61" s="176"/>
      <c r="K61" s="176"/>
      <c r="L61" s="176"/>
      <c r="M61" s="176"/>
      <c r="N61" s="176"/>
      <c r="S61" s="170">
        <f>'PubMatic Data'!A58</f>
        <v>46218</v>
      </c>
      <c r="T61" s="171">
        <f>'PubMatic Data'!B58</f>
        <v>13.8</v>
      </c>
      <c r="U61" s="171">
        <f>_xlfn.XLOOKUP(S61,'Trade Deck Data'!$A:$A,'Trade Deck Data'!$B:$B,NA())</f>
        <v>19.37</v>
      </c>
      <c r="V61" s="172">
        <f t="shared" si="0"/>
        <v>628590</v>
      </c>
      <c r="W61" s="172">
        <f t="shared" si="1"/>
        <v>508619</v>
      </c>
      <c r="X61" s="172">
        <f t="shared" si="2"/>
        <v>9158136</v>
      </c>
      <c r="Y61" s="172">
        <f t="shared" si="3"/>
        <v>7672803</v>
      </c>
      <c r="Z61" s="173">
        <f t="shared" si="4"/>
        <v>1.7589170234398235</v>
      </c>
      <c r="AA61" s="173">
        <f t="shared" si="5"/>
        <v>2.7041763733572051</v>
      </c>
      <c r="AB61" s="173">
        <f t="shared" si="6"/>
        <v>8.3143001928924054</v>
      </c>
      <c r="AC61" s="173">
        <f t="shared" si="7"/>
        <v>13.08637433483422</v>
      </c>
      <c r="AD61" s="173">
        <f t="shared" si="8"/>
        <v>0.94525934991738159</v>
      </c>
      <c r="AE61" s="173">
        <f t="shared" si="9"/>
        <v>4.7720741419418147</v>
      </c>
      <c r="AI61" s="178" t="e">
        <f t="shared" si="10"/>
        <v>#N/A</v>
      </c>
      <c r="AJ61" s="178" t="e">
        <f t="shared" si="11"/>
        <v>#N/A</v>
      </c>
      <c r="AK61" s="178" t="e">
        <f t="shared" si="12"/>
        <v>#N/A</v>
      </c>
      <c r="AL61" s="178" t="e">
        <f t="shared" si="13"/>
        <v>#N/A</v>
      </c>
      <c r="AM61" s="166" t="e">
        <f t="shared" si="14"/>
        <v>#N/A</v>
      </c>
      <c r="AN61" s="166" t="e">
        <f t="shared" si="15"/>
        <v>#N/A</v>
      </c>
    </row>
    <row r="62" spans="2:40" x14ac:dyDescent="0.45">
      <c r="B62" s="177" t="s">
        <v>706</v>
      </c>
      <c r="C62" s="176"/>
      <c r="D62" s="176"/>
      <c r="E62" s="176"/>
      <c r="F62" s="176"/>
      <c r="G62" s="176"/>
      <c r="H62" s="176"/>
      <c r="I62" s="176"/>
      <c r="J62" s="176"/>
      <c r="K62" s="176"/>
      <c r="L62" s="176"/>
      <c r="M62" s="176"/>
      <c r="N62" s="176"/>
      <c r="S62" s="170">
        <f>'PubMatic Data'!A59</f>
        <v>46217</v>
      </c>
      <c r="T62" s="171">
        <f>'PubMatic Data'!B59</f>
        <v>13.69</v>
      </c>
      <c r="U62" s="171">
        <f>_xlfn.XLOOKUP(S62,'Trade Deck Data'!$A:$A,'Trade Deck Data'!$B:$B,NA())</f>
        <v>18.940000000000001</v>
      </c>
      <c r="V62" s="172">
        <f t="shared" si="0"/>
        <v>623579.49999999988</v>
      </c>
      <c r="W62" s="172">
        <f t="shared" si="1"/>
        <v>503608.49999999988</v>
      </c>
      <c r="X62" s="172">
        <f t="shared" si="2"/>
        <v>8954832</v>
      </c>
      <c r="Y62" s="172">
        <f t="shared" si="3"/>
        <v>7469499</v>
      </c>
      <c r="Z62" s="173">
        <f t="shared" si="4"/>
        <v>1.7415896059702727</v>
      </c>
      <c r="AA62" s="173">
        <f t="shared" si="5"/>
        <v>2.6325246088835161</v>
      </c>
      <c r="AB62" s="173">
        <f t="shared" si="6"/>
        <v>8.2323944813155894</v>
      </c>
      <c r="AC62" s="173">
        <f t="shared" si="7"/>
        <v>12.739628530495292</v>
      </c>
      <c r="AD62" s="173">
        <f t="shared" si="8"/>
        <v>0.89093500291324346</v>
      </c>
      <c r="AE62" s="173">
        <f t="shared" si="9"/>
        <v>4.5072340491797025</v>
      </c>
      <c r="AI62" s="178" t="e">
        <f t="shared" si="10"/>
        <v>#N/A</v>
      </c>
      <c r="AJ62" s="178" t="e">
        <f t="shared" si="11"/>
        <v>#N/A</v>
      </c>
      <c r="AK62" s="178" t="e">
        <f t="shared" si="12"/>
        <v>#N/A</v>
      </c>
      <c r="AL62" s="178" t="e">
        <f t="shared" si="13"/>
        <v>#N/A</v>
      </c>
      <c r="AM62" s="166" t="e">
        <f t="shared" si="14"/>
        <v>#N/A</v>
      </c>
      <c r="AN62" s="166" t="e">
        <f t="shared" si="15"/>
        <v>#N/A</v>
      </c>
    </row>
    <row r="63" spans="2:40" x14ac:dyDescent="0.45">
      <c r="S63" s="170">
        <f>'PubMatic Data'!A60</f>
        <v>46216</v>
      </c>
      <c r="T63" s="171">
        <f>'PubMatic Data'!B60</f>
        <v>13.57</v>
      </c>
      <c r="U63" s="171">
        <f>_xlfn.XLOOKUP(S63,'Trade Deck Data'!$A:$A,'Trade Deck Data'!$B:$B,NA())</f>
        <v>19.79</v>
      </c>
      <c r="V63" s="172">
        <f t="shared" si="0"/>
        <v>618113.49999999988</v>
      </c>
      <c r="W63" s="172">
        <f t="shared" si="1"/>
        <v>498142.49999999988</v>
      </c>
      <c r="X63" s="172">
        <f t="shared" si="2"/>
        <v>9356712</v>
      </c>
      <c r="Y63" s="172">
        <f t="shared" si="3"/>
        <v>7871379</v>
      </c>
      <c r="Z63" s="173">
        <f t="shared" si="4"/>
        <v>1.7226869687307633</v>
      </c>
      <c r="AA63" s="173">
        <f t="shared" si="5"/>
        <v>2.7741618177268546</v>
      </c>
      <c r="AB63" s="173">
        <f t="shared" si="6"/>
        <v>8.1430427959590652</v>
      </c>
      <c r="AC63" s="173">
        <f t="shared" si="7"/>
        <v>13.425056283258289</v>
      </c>
      <c r="AD63" s="173">
        <f t="shared" si="8"/>
        <v>1.0514748489960912</v>
      </c>
      <c r="AE63" s="173">
        <f t="shared" si="9"/>
        <v>5.2820134872992242</v>
      </c>
      <c r="AI63" s="178" t="e">
        <f t="shared" si="10"/>
        <v>#N/A</v>
      </c>
      <c r="AJ63" s="178" t="e">
        <f t="shared" si="11"/>
        <v>#N/A</v>
      </c>
      <c r="AK63" s="178" t="e">
        <f t="shared" si="12"/>
        <v>#N/A</v>
      </c>
      <c r="AL63" s="178" t="e">
        <f t="shared" si="13"/>
        <v>#N/A</v>
      </c>
      <c r="AM63" s="166" t="e">
        <f t="shared" si="14"/>
        <v>#N/A</v>
      </c>
      <c r="AN63" s="166" t="e">
        <f t="shared" si="15"/>
        <v>#N/A</v>
      </c>
    </row>
    <row r="64" spans="2:40" x14ac:dyDescent="0.45">
      <c r="S64" s="170">
        <f>'PubMatic Data'!A61</f>
        <v>46213</v>
      </c>
      <c r="T64" s="171">
        <f>'PubMatic Data'!B61</f>
        <v>13.55</v>
      </c>
      <c r="U64" s="171">
        <f>_xlfn.XLOOKUP(S64,'Trade Deck Data'!$A:$A,'Trade Deck Data'!$B:$B,NA())</f>
        <v>19.53</v>
      </c>
      <c r="V64" s="172">
        <f t="shared" si="0"/>
        <v>617202.5</v>
      </c>
      <c r="W64" s="172">
        <f t="shared" si="1"/>
        <v>497231.5</v>
      </c>
      <c r="X64" s="172">
        <f t="shared" si="2"/>
        <v>9233784.0000000019</v>
      </c>
      <c r="Y64" s="172">
        <f t="shared" si="3"/>
        <v>7748451.0000000019</v>
      </c>
      <c r="Z64" s="173">
        <f t="shared" si="4"/>
        <v>1.7195365291908453</v>
      </c>
      <c r="AA64" s="173">
        <f t="shared" si="5"/>
        <v>2.7308374950218339</v>
      </c>
      <c r="AB64" s="173">
        <f t="shared" si="6"/>
        <v>8.1281508483996472</v>
      </c>
      <c r="AC64" s="173">
        <f t="shared" si="7"/>
        <v>13.215396029471965</v>
      </c>
      <c r="AD64" s="173">
        <f t="shared" si="8"/>
        <v>1.0113009658309886</v>
      </c>
      <c r="AE64" s="173">
        <f t="shared" si="9"/>
        <v>5.0872451810723174</v>
      </c>
      <c r="AI64" s="178" t="e">
        <f t="shared" si="10"/>
        <v>#N/A</v>
      </c>
      <c r="AJ64" s="178" t="e">
        <f t="shared" si="11"/>
        <v>#N/A</v>
      </c>
      <c r="AK64" s="178" t="e">
        <f t="shared" si="12"/>
        <v>#N/A</v>
      </c>
      <c r="AL64" s="178" t="e">
        <f t="shared" si="13"/>
        <v>#N/A</v>
      </c>
      <c r="AM64" s="166" t="e">
        <f t="shared" si="14"/>
        <v>#N/A</v>
      </c>
      <c r="AN64" s="166" t="e">
        <f t="shared" si="15"/>
        <v>#N/A</v>
      </c>
    </row>
    <row r="65" spans="19:40" x14ac:dyDescent="0.45">
      <c r="S65" s="170">
        <f>'PubMatic Data'!A62</f>
        <v>46212</v>
      </c>
      <c r="T65" s="171">
        <f>'PubMatic Data'!B62</f>
        <v>13.56</v>
      </c>
      <c r="U65" s="171">
        <f>_xlfn.XLOOKUP(S65,'Trade Deck Data'!$A:$A,'Trade Deck Data'!$B:$B,NA())</f>
        <v>19.75</v>
      </c>
      <c r="V65" s="172">
        <f t="shared" si="0"/>
        <v>617658</v>
      </c>
      <c r="W65" s="172">
        <f t="shared" si="1"/>
        <v>497687</v>
      </c>
      <c r="X65" s="172">
        <f t="shared" si="2"/>
        <v>9337800.0000000019</v>
      </c>
      <c r="Y65" s="172">
        <f t="shared" si="3"/>
        <v>7852467.0000000019</v>
      </c>
      <c r="Z65" s="173">
        <f t="shared" si="4"/>
        <v>1.7211117489608045</v>
      </c>
      <c r="AA65" s="173">
        <f t="shared" si="5"/>
        <v>2.7674965373106981</v>
      </c>
      <c r="AB65" s="173">
        <f t="shared" si="6"/>
        <v>8.1355968221793571</v>
      </c>
      <c r="AC65" s="173">
        <f t="shared" si="7"/>
        <v>13.392800859598857</v>
      </c>
      <c r="AD65" s="173">
        <f t="shared" si="8"/>
        <v>1.0463847883498936</v>
      </c>
      <c r="AE65" s="173">
        <f t="shared" si="9"/>
        <v>5.2572040374195002</v>
      </c>
      <c r="AI65" s="178" t="e">
        <f t="shared" si="10"/>
        <v>#N/A</v>
      </c>
      <c r="AJ65" s="178" t="e">
        <f t="shared" si="11"/>
        <v>#N/A</v>
      </c>
      <c r="AK65" s="178" t="e">
        <f t="shared" si="12"/>
        <v>#N/A</v>
      </c>
      <c r="AL65" s="178" t="e">
        <f t="shared" si="13"/>
        <v>#N/A</v>
      </c>
      <c r="AM65" s="166" t="e">
        <f t="shared" si="14"/>
        <v>#N/A</v>
      </c>
      <c r="AN65" s="166" t="e">
        <f t="shared" si="15"/>
        <v>#N/A</v>
      </c>
    </row>
    <row r="66" spans="19:40" x14ac:dyDescent="0.45">
      <c r="S66" s="170">
        <f>'PubMatic Data'!A63</f>
        <v>46211</v>
      </c>
      <c r="T66" s="171">
        <f>'PubMatic Data'!B63</f>
        <v>13.16</v>
      </c>
      <c r="U66" s="171">
        <f>_xlfn.XLOOKUP(S66,'Trade Deck Data'!$A:$A,'Trade Deck Data'!$B:$B,NA())</f>
        <v>19.07</v>
      </c>
      <c r="V66" s="172">
        <f t="shared" si="0"/>
        <v>599438</v>
      </c>
      <c r="W66" s="172">
        <f t="shared" si="1"/>
        <v>479467</v>
      </c>
      <c r="X66" s="172">
        <f t="shared" si="2"/>
        <v>9016296</v>
      </c>
      <c r="Y66" s="172">
        <f t="shared" si="3"/>
        <v>7530963</v>
      </c>
      <c r="Z66" s="173">
        <f t="shared" si="4"/>
        <v>1.6581029581624396</v>
      </c>
      <c r="AA66" s="173">
        <f t="shared" si="5"/>
        <v>2.6541867702360267</v>
      </c>
      <c r="AB66" s="173">
        <f t="shared" si="6"/>
        <v>7.8377578709909441</v>
      </c>
      <c r="AC66" s="173">
        <f t="shared" si="7"/>
        <v>12.844458657388456</v>
      </c>
      <c r="AD66" s="173">
        <f t="shared" si="8"/>
        <v>0.99608381207358709</v>
      </c>
      <c r="AE66" s="173">
        <f t="shared" si="9"/>
        <v>5.0067007863975119</v>
      </c>
      <c r="AI66" s="178" t="e">
        <f t="shared" si="10"/>
        <v>#N/A</v>
      </c>
      <c r="AJ66" s="178" t="e">
        <f t="shared" si="11"/>
        <v>#N/A</v>
      </c>
      <c r="AK66" s="178" t="e">
        <f t="shared" si="12"/>
        <v>#N/A</v>
      </c>
      <c r="AL66" s="178" t="e">
        <f t="shared" si="13"/>
        <v>#N/A</v>
      </c>
      <c r="AM66" s="166" t="e">
        <f t="shared" si="14"/>
        <v>#N/A</v>
      </c>
      <c r="AN66" s="166" t="e">
        <f t="shared" si="15"/>
        <v>#N/A</v>
      </c>
    </row>
    <row r="67" spans="19:40" x14ac:dyDescent="0.45">
      <c r="S67" s="170">
        <f>'PubMatic Data'!A64</f>
        <v>46210</v>
      </c>
      <c r="T67" s="171">
        <f>'PubMatic Data'!B64</f>
        <v>13.32</v>
      </c>
      <c r="U67" s="171">
        <f>_xlfn.XLOOKUP(S67,'Trade Deck Data'!$A:$A,'Trade Deck Data'!$B:$B,NA())</f>
        <v>19.18</v>
      </c>
      <c r="V67" s="172">
        <f t="shared" si="0"/>
        <v>606726</v>
      </c>
      <c r="W67" s="172">
        <f t="shared" si="1"/>
        <v>486755</v>
      </c>
      <c r="X67" s="172">
        <f t="shared" si="2"/>
        <v>9068304</v>
      </c>
      <c r="Y67" s="172">
        <f t="shared" si="3"/>
        <v>7582971</v>
      </c>
      <c r="Z67" s="173">
        <f t="shared" si="4"/>
        <v>1.6833064744817856</v>
      </c>
      <c r="AA67" s="173">
        <f t="shared" si="5"/>
        <v>2.6725162913804588</v>
      </c>
      <c r="AB67" s="173">
        <f t="shared" si="6"/>
        <v>7.9568934514663088</v>
      </c>
      <c r="AC67" s="173">
        <f t="shared" si="7"/>
        <v>12.933161072451904</v>
      </c>
      <c r="AD67" s="173">
        <f t="shared" si="8"/>
        <v>0.98920981689867316</v>
      </c>
      <c r="AE67" s="173">
        <f t="shared" si="9"/>
        <v>4.9762676209855954</v>
      </c>
      <c r="AI67" s="178" t="e">
        <f t="shared" si="10"/>
        <v>#N/A</v>
      </c>
      <c r="AJ67" s="178" t="e">
        <f t="shared" si="11"/>
        <v>#N/A</v>
      </c>
      <c r="AK67" s="178" t="e">
        <f t="shared" si="12"/>
        <v>#N/A</v>
      </c>
      <c r="AL67" s="178" t="e">
        <f t="shared" si="13"/>
        <v>#N/A</v>
      </c>
      <c r="AM67" s="166" t="e">
        <f t="shared" si="14"/>
        <v>#N/A</v>
      </c>
      <c r="AN67" s="166" t="e">
        <f t="shared" si="15"/>
        <v>#N/A</v>
      </c>
    </row>
    <row r="68" spans="19:40" x14ac:dyDescent="0.45">
      <c r="S68" s="170">
        <f>'PubMatic Data'!A65</f>
        <v>46209</v>
      </c>
      <c r="T68" s="171">
        <f>'PubMatic Data'!B65</f>
        <v>13.52</v>
      </c>
      <c r="U68" s="171">
        <f>_xlfn.XLOOKUP(S68,'Trade Deck Data'!$A:$A,'Trade Deck Data'!$B:$B,NA())</f>
        <v>19.309999999999999</v>
      </c>
      <c r="V68" s="172">
        <f t="shared" si="0"/>
        <v>615835.99999999988</v>
      </c>
      <c r="W68" s="172">
        <f t="shared" si="1"/>
        <v>495864.99999999988</v>
      </c>
      <c r="X68" s="172">
        <f t="shared" si="2"/>
        <v>9129768</v>
      </c>
      <c r="Y68" s="172">
        <f t="shared" si="3"/>
        <v>7644435</v>
      </c>
      <c r="Z68" s="173">
        <f t="shared" si="4"/>
        <v>1.7148108698809676</v>
      </c>
      <c r="AA68" s="173">
        <f t="shared" si="5"/>
        <v>2.6941784527329693</v>
      </c>
      <c r="AB68" s="173">
        <f t="shared" si="6"/>
        <v>8.1058129270605139</v>
      </c>
      <c r="AC68" s="173">
        <f t="shared" si="7"/>
        <v>13.037991199345068</v>
      </c>
      <c r="AD68" s="173">
        <f t="shared" si="8"/>
        <v>0.97936758285200165</v>
      </c>
      <c r="AE68" s="173">
        <f t="shared" si="9"/>
        <v>4.9321782722845544</v>
      </c>
      <c r="AI68" s="178" t="e">
        <f t="shared" si="10"/>
        <v>#N/A</v>
      </c>
      <c r="AJ68" s="178" t="e">
        <f t="shared" si="11"/>
        <v>#N/A</v>
      </c>
      <c r="AK68" s="178" t="e">
        <f t="shared" si="12"/>
        <v>#N/A</v>
      </c>
      <c r="AL68" s="178" t="e">
        <f t="shared" si="13"/>
        <v>#N/A</v>
      </c>
      <c r="AM68" s="166" t="e">
        <f t="shared" si="14"/>
        <v>#N/A</v>
      </c>
      <c r="AN68" s="166" t="e">
        <f t="shared" si="15"/>
        <v>#N/A</v>
      </c>
    </row>
    <row r="69" spans="19:40" x14ac:dyDescent="0.45">
      <c r="S69" s="170">
        <f>'PubMatic Data'!A66</f>
        <v>46205</v>
      </c>
      <c r="T69" s="171">
        <f>'PubMatic Data'!B66</f>
        <v>13.55</v>
      </c>
      <c r="U69" s="171">
        <f>_xlfn.XLOOKUP(S69,'Trade Deck Data'!$A:$A,'Trade Deck Data'!$B:$B,NA())</f>
        <v>19.100000000000001</v>
      </c>
      <c r="V69" s="172">
        <f t="shared" si="0"/>
        <v>617202.5</v>
      </c>
      <c r="W69" s="172">
        <f t="shared" si="1"/>
        <v>497231.5</v>
      </c>
      <c r="X69" s="172">
        <f t="shared" si="2"/>
        <v>9030480.0000000019</v>
      </c>
      <c r="Y69" s="172">
        <f t="shared" si="3"/>
        <v>7545147.0000000019</v>
      </c>
      <c r="Z69" s="173">
        <f t="shared" si="4"/>
        <v>1.7195365291908453</v>
      </c>
      <c r="AA69" s="173">
        <f t="shared" si="5"/>
        <v>2.6591857305481454</v>
      </c>
      <c r="AB69" s="173">
        <f t="shared" si="6"/>
        <v>8.1281508483996472</v>
      </c>
      <c r="AC69" s="173">
        <f t="shared" si="7"/>
        <v>12.868650225133036</v>
      </c>
      <c r="AD69" s="173">
        <f t="shared" si="8"/>
        <v>0.93964920135730012</v>
      </c>
      <c r="AE69" s="173">
        <f t="shared" si="9"/>
        <v>4.7404993767333892</v>
      </c>
      <c r="AI69" s="178" t="e">
        <f t="shared" si="10"/>
        <v>#N/A</v>
      </c>
      <c r="AJ69" s="178" t="e">
        <f t="shared" si="11"/>
        <v>#N/A</v>
      </c>
      <c r="AK69" s="178" t="e">
        <f t="shared" si="12"/>
        <v>#N/A</v>
      </c>
      <c r="AL69" s="178" t="e">
        <f t="shared" si="13"/>
        <v>#N/A</v>
      </c>
      <c r="AM69" s="166" t="e">
        <f t="shared" si="14"/>
        <v>#N/A</v>
      </c>
      <c r="AN69" s="166" t="e">
        <f t="shared" si="15"/>
        <v>#N/A</v>
      </c>
    </row>
    <row r="70" spans="19:40" x14ac:dyDescent="0.45">
      <c r="S70" s="170">
        <f>'PubMatic Data'!A67</f>
        <v>46204</v>
      </c>
      <c r="T70" s="171">
        <f>'PubMatic Data'!B67</f>
        <v>13.83</v>
      </c>
      <c r="U70" s="171">
        <f>_xlfn.XLOOKUP(S70,'Trade Deck Data'!$A:$A,'Trade Deck Data'!$B:$B,NA())</f>
        <v>19.149999999999999</v>
      </c>
      <c r="V70" s="172">
        <f t="shared" ref="V70:V133" si="16">T70*$E$4*1000</f>
        <v>629956.5</v>
      </c>
      <c r="W70" s="172">
        <f t="shared" ref="W70:W133" si="17">V70+$C$4-$D$4</f>
        <v>509985.5</v>
      </c>
      <c r="X70" s="172">
        <f t="shared" ref="X70:X133" si="18">U70*$E$5*1000</f>
        <v>9054119.9999999981</v>
      </c>
      <c r="Y70" s="172">
        <f t="shared" ref="Y70:Y133" si="19">X70+$C$5-$D$5</f>
        <v>7568786.9999999981</v>
      </c>
      <c r="Z70" s="173">
        <f t="shared" ref="Z70:Z133" si="20">W70/$P$4</f>
        <v>1.7636426827497009</v>
      </c>
      <c r="AA70" s="173">
        <f t="shared" ref="AA70:AA133" si="21">Y70/$P$5</f>
        <v>2.6675173310683404</v>
      </c>
      <c r="AB70" s="173">
        <f t="shared" ref="AB70:AB133" si="22">W70/$Q$4</f>
        <v>8.3366381142315369</v>
      </c>
      <c r="AC70" s="173">
        <f t="shared" ref="AC70:AC133" si="23">Y70/$Q$5</f>
        <v>12.908969504707324</v>
      </c>
      <c r="AD70" s="173">
        <f t="shared" ref="AD70:AD133" si="24">AA70-Z70</f>
        <v>0.90387464831863951</v>
      </c>
      <c r="AE70" s="173">
        <f t="shared" ref="AE70:AE133" si="25">AC70-AB70</f>
        <v>4.572331390475787</v>
      </c>
      <c r="AI70" s="178" t="e">
        <f t="shared" ref="AI70:AI133" si="26">IF(COUNTIFS($AP$4:$AP$20,"PUBM",$AR$4:$AR$20,$S70)&gt;0,Z70,NA())</f>
        <v>#N/A</v>
      </c>
      <c r="AJ70" s="178" t="e">
        <f t="shared" ref="AJ70:AJ133" si="27">IF(COUNTIFS($AP$4:$AP$20,"TTD",$AR$4:$AR$20,$S70)&gt;0,AA70,NA())</f>
        <v>#N/A</v>
      </c>
      <c r="AK70" s="178" t="e">
        <f t="shared" ref="AK70:AK133" si="28">IF(COUNTIFS($AP$4:$AP$20,"PUBM",$AR$4:$AR$20,$S70)&gt;0,AB70,NA())</f>
        <v>#N/A</v>
      </c>
      <c r="AL70" s="178" t="e">
        <f t="shared" ref="AL70:AL133" si="29">IF(COUNTIFS($AP$4:$AP$20,"TTD",$AR$4:$AR$20,$S70)&gt;0,AC70,NA())</f>
        <v>#N/A</v>
      </c>
      <c r="AM70" s="166" t="e">
        <f t="shared" ref="AM70:AM133" si="30">IF(COUNTIFS($AP$4:$AP$20,"PUBM",$AR$4:$AR$20,$S70)&gt;0,T70,NA())</f>
        <v>#N/A</v>
      </c>
      <c r="AN70" s="166" t="e">
        <f t="shared" ref="AN70:AN133" si="31">IF(COUNTIFS($AP$4:$AP$20,"TTD",$AR$4:$AR$20,$S70)&gt;0,U70,NA())</f>
        <v>#N/A</v>
      </c>
    </row>
    <row r="71" spans="19:40" x14ac:dyDescent="0.45">
      <c r="S71" s="170">
        <f>'PubMatic Data'!A68</f>
        <v>46203</v>
      </c>
      <c r="T71" s="171">
        <f>'PubMatic Data'!B68</f>
        <v>13.12</v>
      </c>
      <c r="U71" s="171">
        <f>_xlfn.XLOOKUP(S71,'Trade Deck Data'!$A:$A,'Trade Deck Data'!$B:$B,NA())</f>
        <v>18.079999999999998</v>
      </c>
      <c r="V71" s="172">
        <f t="shared" si="16"/>
        <v>597615.99999999988</v>
      </c>
      <c r="W71" s="172">
        <f t="shared" si="17"/>
        <v>477644.99999999988</v>
      </c>
      <c r="X71" s="172">
        <f t="shared" si="18"/>
        <v>8548224</v>
      </c>
      <c r="Y71" s="172">
        <f t="shared" si="19"/>
        <v>7062891</v>
      </c>
      <c r="Z71" s="173">
        <f t="shared" si="20"/>
        <v>1.6518020790826027</v>
      </c>
      <c r="AA71" s="173">
        <f t="shared" si="21"/>
        <v>2.4892210799361383</v>
      </c>
      <c r="AB71" s="173">
        <f t="shared" si="22"/>
        <v>7.807973975872101</v>
      </c>
      <c r="AC71" s="173">
        <f t="shared" si="23"/>
        <v>12.046136921817437</v>
      </c>
      <c r="AD71" s="173">
        <f t="shared" si="24"/>
        <v>0.8374190008535356</v>
      </c>
      <c r="AE71" s="173">
        <f t="shared" si="25"/>
        <v>4.2381629459453363</v>
      </c>
      <c r="AI71" s="178" t="e">
        <f t="shared" si="26"/>
        <v>#N/A</v>
      </c>
      <c r="AJ71" s="178" t="e">
        <f t="shared" si="27"/>
        <v>#N/A</v>
      </c>
      <c r="AK71" s="178" t="e">
        <f t="shared" si="28"/>
        <v>#N/A</v>
      </c>
      <c r="AL71" s="178" t="e">
        <f t="shared" si="29"/>
        <v>#N/A</v>
      </c>
      <c r="AM71" s="166" t="e">
        <f t="shared" si="30"/>
        <v>#N/A</v>
      </c>
      <c r="AN71" s="166" t="e">
        <f t="shared" si="31"/>
        <v>#N/A</v>
      </c>
    </row>
    <row r="72" spans="19:40" x14ac:dyDescent="0.45">
      <c r="S72" s="170">
        <f>'PubMatic Data'!A69</f>
        <v>46202</v>
      </c>
      <c r="T72" s="171">
        <f>'PubMatic Data'!B69</f>
        <v>13.07</v>
      </c>
      <c r="U72" s="171">
        <f>_xlfn.XLOOKUP(S72,'Trade Deck Data'!$A:$A,'Trade Deck Data'!$B:$B,NA())</f>
        <v>18.649999999999999</v>
      </c>
      <c r="V72" s="172">
        <f t="shared" si="16"/>
        <v>595338.5</v>
      </c>
      <c r="W72" s="172">
        <f t="shared" si="17"/>
        <v>475367.5</v>
      </c>
      <c r="X72" s="172">
        <f t="shared" si="18"/>
        <v>8817720</v>
      </c>
      <c r="Y72" s="172">
        <f t="shared" si="19"/>
        <v>7332387</v>
      </c>
      <c r="Z72" s="173">
        <f t="shared" si="20"/>
        <v>1.6439259802328074</v>
      </c>
      <c r="AA72" s="173">
        <f t="shared" si="21"/>
        <v>2.5842013258663772</v>
      </c>
      <c r="AB72" s="173">
        <f t="shared" si="22"/>
        <v>7.7707441069735506</v>
      </c>
      <c r="AC72" s="173">
        <f t="shared" si="23"/>
        <v>12.505776708964389</v>
      </c>
      <c r="AD72" s="173">
        <f t="shared" si="24"/>
        <v>0.94027534563356974</v>
      </c>
      <c r="AE72" s="173">
        <f t="shared" si="25"/>
        <v>4.735032601990838</v>
      </c>
      <c r="AI72" s="178" t="e">
        <f t="shared" si="26"/>
        <v>#N/A</v>
      </c>
      <c r="AJ72" s="178" t="e">
        <f t="shared" si="27"/>
        <v>#N/A</v>
      </c>
      <c r="AK72" s="178" t="e">
        <f t="shared" si="28"/>
        <v>#N/A</v>
      </c>
      <c r="AL72" s="178" t="e">
        <f t="shared" si="29"/>
        <v>#N/A</v>
      </c>
      <c r="AM72" s="166" t="e">
        <f t="shared" si="30"/>
        <v>#N/A</v>
      </c>
      <c r="AN72" s="166" t="e">
        <f t="shared" si="31"/>
        <v>#N/A</v>
      </c>
    </row>
    <row r="73" spans="19:40" x14ac:dyDescent="0.45">
      <c r="S73" s="170">
        <f>'PubMatic Data'!A70</f>
        <v>46199</v>
      </c>
      <c r="T73" s="171">
        <f>'PubMatic Data'!B70</f>
        <v>12.65</v>
      </c>
      <c r="U73" s="171">
        <f>_xlfn.XLOOKUP(S73,'Trade Deck Data'!$A:$A,'Trade Deck Data'!$B:$B,NA())</f>
        <v>18.37</v>
      </c>
      <c r="V73" s="172">
        <f t="shared" si="16"/>
        <v>576207.5</v>
      </c>
      <c r="W73" s="172">
        <f t="shared" si="17"/>
        <v>456236.5</v>
      </c>
      <c r="X73" s="172">
        <f t="shared" si="18"/>
        <v>8685336.0000000019</v>
      </c>
      <c r="Y73" s="172">
        <f t="shared" si="19"/>
        <v>7200003.0000000019</v>
      </c>
      <c r="Z73" s="173">
        <f t="shared" si="20"/>
        <v>1.5777667498945243</v>
      </c>
      <c r="AA73" s="173">
        <f t="shared" si="21"/>
        <v>2.5375443629532781</v>
      </c>
      <c r="AB73" s="173">
        <f t="shared" si="22"/>
        <v>7.4580132082257169</v>
      </c>
      <c r="AC73" s="173">
        <f t="shared" si="23"/>
        <v>12.279988743348346</v>
      </c>
      <c r="AD73" s="173">
        <f t="shared" si="24"/>
        <v>0.95977761305875386</v>
      </c>
      <c r="AE73" s="173">
        <f t="shared" si="25"/>
        <v>4.821975535122629</v>
      </c>
      <c r="AI73" s="178" t="e">
        <f t="shared" si="26"/>
        <v>#N/A</v>
      </c>
      <c r="AJ73" s="178" t="e">
        <f t="shared" si="27"/>
        <v>#N/A</v>
      </c>
      <c r="AK73" s="178" t="e">
        <f t="shared" si="28"/>
        <v>#N/A</v>
      </c>
      <c r="AL73" s="178" t="e">
        <f t="shared" si="29"/>
        <v>#N/A</v>
      </c>
      <c r="AM73" s="166" t="e">
        <f t="shared" si="30"/>
        <v>#N/A</v>
      </c>
      <c r="AN73" s="166" t="e">
        <f t="shared" si="31"/>
        <v>#N/A</v>
      </c>
    </row>
    <row r="74" spans="19:40" x14ac:dyDescent="0.45">
      <c r="S74" s="170">
        <f>'PubMatic Data'!A71</f>
        <v>46198</v>
      </c>
      <c r="T74" s="171">
        <f>'PubMatic Data'!B71</f>
        <v>11.51</v>
      </c>
      <c r="U74" s="171">
        <f>_xlfn.XLOOKUP(S74,'Trade Deck Data'!$A:$A,'Trade Deck Data'!$B:$B,NA())</f>
        <v>17.329999999999998</v>
      </c>
      <c r="V74" s="172">
        <f t="shared" si="16"/>
        <v>524280.49999999994</v>
      </c>
      <c r="W74" s="172">
        <f t="shared" si="17"/>
        <v>404309.49999999994</v>
      </c>
      <c r="X74" s="172">
        <f t="shared" si="18"/>
        <v>8193624</v>
      </c>
      <c r="Y74" s="172">
        <f t="shared" si="19"/>
        <v>6708291</v>
      </c>
      <c r="Z74" s="173">
        <f t="shared" si="20"/>
        <v>1.398191696119184</v>
      </c>
      <c r="AA74" s="173">
        <f t="shared" si="21"/>
        <v>2.364247072133193</v>
      </c>
      <c r="AB74" s="173">
        <f t="shared" si="22"/>
        <v>6.6091721973387374</v>
      </c>
      <c r="AC74" s="173">
        <f t="shared" si="23"/>
        <v>11.441347728203029</v>
      </c>
      <c r="AD74" s="173">
        <f t="shared" si="24"/>
        <v>0.96605537601400893</v>
      </c>
      <c r="AE74" s="173">
        <f t="shared" si="25"/>
        <v>4.8321755308642915</v>
      </c>
      <c r="AI74" s="178" t="e">
        <f t="shared" si="26"/>
        <v>#N/A</v>
      </c>
      <c r="AJ74" s="178" t="e">
        <f t="shared" si="27"/>
        <v>#N/A</v>
      </c>
      <c r="AK74" s="178" t="e">
        <f t="shared" si="28"/>
        <v>#N/A</v>
      </c>
      <c r="AL74" s="178" t="e">
        <f t="shared" si="29"/>
        <v>#N/A</v>
      </c>
      <c r="AM74" s="166" t="e">
        <f t="shared" si="30"/>
        <v>#N/A</v>
      </c>
      <c r="AN74" s="166" t="e">
        <f t="shared" si="31"/>
        <v>#N/A</v>
      </c>
    </row>
    <row r="75" spans="19:40" x14ac:dyDescent="0.45">
      <c r="S75" s="170">
        <f>'PubMatic Data'!A72</f>
        <v>46197</v>
      </c>
      <c r="T75" s="171">
        <f>'PubMatic Data'!B72</f>
        <v>11.92</v>
      </c>
      <c r="U75" s="171">
        <f>_xlfn.XLOOKUP(S75,'Trade Deck Data'!$A:$A,'Trade Deck Data'!$B:$B,NA())</f>
        <v>17.7</v>
      </c>
      <c r="V75" s="172">
        <f t="shared" si="16"/>
        <v>542956</v>
      </c>
      <c r="W75" s="172">
        <f t="shared" si="17"/>
        <v>422985</v>
      </c>
      <c r="X75" s="172">
        <f t="shared" si="18"/>
        <v>8368559.9999999991</v>
      </c>
      <c r="Y75" s="172">
        <f t="shared" si="19"/>
        <v>6883226.9999999991</v>
      </c>
      <c r="Z75" s="173">
        <f t="shared" si="20"/>
        <v>1.4627757066875082</v>
      </c>
      <c r="AA75" s="173">
        <f t="shared" si="21"/>
        <v>2.4259009159826457</v>
      </c>
      <c r="AB75" s="173">
        <f t="shared" si="22"/>
        <v>6.914457122306862</v>
      </c>
      <c r="AC75" s="173">
        <f t="shared" si="23"/>
        <v>11.739710397052802</v>
      </c>
      <c r="AD75" s="173">
        <f t="shared" si="24"/>
        <v>0.96312520929513745</v>
      </c>
      <c r="AE75" s="173">
        <f t="shared" si="25"/>
        <v>4.8252532747459398</v>
      </c>
      <c r="AI75" s="178" t="e">
        <f t="shared" si="26"/>
        <v>#N/A</v>
      </c>
      <c r="AJ75" s="178" t="e">
        <f t="shared" si="27"/>
        <v>#N/A</v>
      </c>
      <c r="AK75" s="178" t="e">
        <f t="shared" si="28"/>
        <v>#N/A</v>
      </c>
      <c r="AL75" s="178" t="e">
        <f t="shared" si="29"/>
        <v>#N/A</v>
      </c>
      <c r="AM75" s="166" t="e">
        <f t="shared" si="30"/>
        <v>#N/A</v>
      </c>
      <c r="AN75" s="166" t="e">
        <f t="shared" si="31"/>
        <v>#N/A</v>
      </c>
    </row>
    <row r="76" spans="19:40" x14ac:dyDescent="0.45">
      <c r="S76" s="170">
        <f>'PubMatic Data'!A73</f>
        <v>46196</v>
      </c>
      <c r="T76" s="171">
        <f>'PubMatic Data'!B73</f>
        <v>11.51</v>
      </c>
      <c r="U76" s="171">
        <f>_xlfn.XLOOKUP(S76,'Trade Deck Data'!$A:$A,'Trade Deck Data'!$B:$B,NA())</f>
        <v>17.93</v>
      </c>
      <c r="V76" s="172">
        <f t="shared" si="16"/>
        <v>524280.49999999994</v>
      </c>
      <c r="W76" s="172">
        <f t="shared" si="17"/>
        <v>404309.49999999994</v>
      </c>
      <c r="X76" s="172">
        <f t="shared" si="18"/>
        <v>8477304</v>
      </c>
      <c r="Y76" s="172">
        <f t="shared" si="19"/>
        <v>6991971</v>
      </c>
      <c r="Z76" s="173">
        <f t="shared" si="20"/>
        <v>1.398191696119184</v>
      </c>
      <c r="AA76" s="173">
        <f t="shared" si="21"/>
        <v>2.4642262783755493</v>
      </c>
      <c r="AB76" s="173">
        <f t="shared" si="22"/>
        <v>6.6091721973387374</v>
      </c>
      <c r="AC76" s="173">
        <f t="shared" si="23"/>
        <v>11.925179083094555</v>
      </c>
      <c r="AD76" s="173">
        <f t="shared" si="24"/>
        <v>1.0660345822563653</v>
      </c>
      <c r="AE76" s="173">
        <f t="shared" si="25"/>
        <v>5.3160068857558178</v>
      </c>
      <c r="AI76" s="178" t="e">
        <f t="shared" si="26"/>
        <v>#N/A</v>
      </c>
      <c r="AJ76" s="178" t="e">
        <f t="shared" si="27"/>
        <v>#N/A</v>
      </c>
      <c r="AK76" s="178" t="e">
        <f t="shared" si="28"/>
        <v>#N/A</v>
      </c>
      <c r="AL76" s="178" t="e">
        <f t="shared" si="29"/>
        <v>#N/A</v>
      </c>
      <c r="AM76" s="166" t="e">
        <f t="shared" si="30"/>
        <v>#N/A</v>
      </c>
      <c r="AN76" s="166" t="e">
        <f t="shared" si="31"/>
        <v>#N/A</v>
      </c>
    </row>
    <row r="77" spans="19:40" x14ac:dyDescent="0.45">
      <c r="S77" s="170">
        <f>'PubMatic Data'!A74</f>
        <v>46195</v>
      </c>
      <c r="T77" s="171">
        <f>'PubMatic Data'!B74</f>
        <v>11.3</v>
      </c>
      <c r="U77" s="171">
        <f>_xlfn.XLOOKUP(S77,'Trade Deck Data'!$A:$A,'Trade Deck Data'!$B:$B,NA())</f>
        <v>18.02</v>
      </c>
      <c r="V77" s="172">
        <f t="shared" si="16"/>
        <v>514715.00000000006</v>
      </c>
      <c r="W77" s="172">
        <f t="shared" si="17"/>
        <v>394744.00000000006</v>
      </c>
      <c r="X77" s="172">
        <f t="shared" si="18"/>
        <v>8519856</v>
      </c>
      <c r="Y77" s="172">
        <f t="shared" si="19"/>
        <v>7034523</v>
      </c>
      <c r="Z77" s="173">
        <f t="shared" si="20"/>
        <v>1.3651120809500428</v>
      </c>
      <c r="AA77" s="173">
        <f t="shared" si="21"/>
        <v>2.479223159311903</v>
      </c>
      <c r="AB77" s="173">
        <f t="shared" si="22"/>
        <v>6.4528067479648223</v>
      </c>
      <c r="AC77" s="173">
        <f t="shared" si="23"/>
        <v>11.997753786328285</v>
      </c>
      <c r="AD77" s="173">
        <f t="shared" si="24"/>
        <v>1.1141110783618602</v>
      </c>
      <c r="AE77" s="173">
        <f t="shared" si="25"/>
        <v>5.5449470383634631</v>
      </c>
      <c r="AI77" s="178" t="e">
        <f t="shared" si="26"/>
        <v>#N/A</v>
      </c>
      <c r="AJ77" s="178" t="e">
        <f t="shared" si="27"/>
        <v>#N/A</v>
      </c>
      <c r="AK77" s="178" t="e">
        <f t="shared" si="28"/>
        <v>#N/A</v>
      </c>
      <c r="AL77" s="178" t="e">
        <f t="shared" si="29"/>
        <v>#N/A</v>
      </c>
      <c r="AM77" s="166" t="e">
        <f t="shared" si="30"/>
        <v>#N/A</v>
      </c>
      <c r="AN77" s="166" t="e">
        <f t="shared" si="31"/>
        <v>#N/A</v>
      </c>
    </row>
    <row r="78" spans="19:40" x14ac:dyDescent="0.45">
      <c r="S78" s="170">
        <f>'PubMatic Data'!A75</f>
        <v>46191</v>
      </c>
      <c r="T78" s="171">
        <f>'PubMatic Data'!B75</f>
        <v>11.3</v>
      </c>
      <c r="U78" s="171">
        <f>_xlfn.XLOOKUP(S78,'Trade Deck Data'!$A:$A,'Trade Deck Data'!$B:$B,NA())</f>
        <v>18.510000000000002</v>
      </c>
      <c r="V78" s="172">
        <f t="shared" si="16"/>
        <v>514715.00000000006</v>
      </c>
      <c r="W78" s="172">
        <f t="shared" si="17"/>
        <v>394744.00000000006</v>
      </c>
      <c r="X78" s="172">
        <f t="shared" si="18"/>
        <v>8751528</v>
      </c>
      <c r="Y78" s="172">
        <f t="shared" si="19"/>
        <v>7266195</v>
      </c>
      <c r="Z78" s="173">
        <f t="shared" si="20"/>
        <v>1.3651120809500428</v>
      </c>
      <c r="AA78" s="173">
        <f t="shared" si="21"/>
        <v>2.5608728444098272</v>
      </c>
      <c r="AB78" s="173">
        <f t="shared" si="22"/>
        <v>6.4528067479648223</v>
      </c>
      <c r="AC78" s="173">
        <f t="shared" si="23"/>
        <v>12.392882726156365</v>
      </c>
      <c r="AD78" s="173">
        <f t="shared" si="24"/>
        <v>1.1957607634597844</v>
      </c>
      <c r="AE78" s="173">
        <f t="shared" si="25"/>
        <v>5.9400759781915431</v>
      </c>
      <c r="AI78" s="178" t="e">
        <f t="shared" si="26"/>
        <v>#N/A</v>
      </c>
      <c r="AJ78" s="178" t="e">
        <f t="shared" si="27"/>
        <v>#N/A</v>
      </c>
      <c r="AK78" s="178" t="e">
        <f t="shared" si="28"/>
        <v>#N/A</v>
      </c>
      <c r="AL78" s="178" t="e">
        <f t="shared" si="29"/>
        <v>#N/A</v>
      </c>
      <c r="AM78" s="166" t="e">
        <f t="shared" si="30"/>
        <v>#N/A</v>
      </c>
      <c r="AN78" s="166" t="e">
        <f t="shared" si="31"/>
        <v>#N/A</v>
      </c>
    </row>
    <row r="79" spans="19:40" x14ac:dyDescent="0.45">
      <c r="S79" s="170">
        <f>'PubMatic Data'!A76</f>
        <v>46190</v>
      </c>
      <c r="T79" s="171">
        <f>'PubMatic Data'!B76</f>
        <v>11.3</v>
      </c>
      <c r="U79" s="171">
        <f>_xlfn.XLOOKUP(S79,'Trade Deck Data'!$A:$A,'Trade Deck Data'!$B:$B,NA())</f>
        <v>18.16</v>
      </c>
      <c r="V79" s="172">
        <f t="shared" si="16"/>
        <v>514715.00000000006</v>
      </c>
      <c r="W79" s="172">
        <f t="shared" si="17"/>
        <v>394744.00000000006</v>
      </c>
      <c r="X79" s="172">
        <f t="shared" si="18"/>
        <v>8586048</v>
      </c>
      <c r="Y79" s="172">
        <f t="shared" si="19"/>
        <v>7100715</v>
      </c>
      <c r="Z79" s="173">
        <f t="shared" si="20"/>
        <v>1.3651120809500428</v>
      </c>
      <c r="AA79" s="173">
        <f t="shared" si="21"/>
        <v>2.5025516407684525</v>
      </c>
      <c r="AB79" s="173">
        <f t="shared" si="22"/>
        <v>6.4528067479648223</v>
      </c>
      <c r="AC79" s="173">
        <f t="shared" si="23"/>
        <v>12.110647769136309</v>
      </c>
      <c r="AD79" s="173">
        <f t="shared" si="24"/>
        <v>1.1374395598184097</v>
      </c>
      <c r="AE79" s="173">
        <f t="shared" si="25"/>
        <v>5.6578410211714862</v>
      </c>
      <c r="AI79" s="178" t="e">
        <f t="shared" si="26"/>
        <v>#N/A</v>
      </c>
      <c r="AJ79" s="178" t="e">
        <f t="shared" si="27"/>
        <v>#N/A</v>
      </c>
      <c r="AK79" s="178" t="e">
        <f t="shared" si="28"/>
        <v>#N/A</v>
      </c>
      <c r="AL79" s="178" t="e">
        <f t="shared" si="29"/>
        <v>#N/A</v>
      </c>
      <c r="AM79" s="166" t="e">
        <f t="shared" si="30"/>
        <v>#N/A</v>
      </c>
      <c r="AN79" s="166" t="e">
        <f t="shared" si="31"/>
        <v>#N/A</v>
      </c>
    </row>
    <row r="80" spans="19:40" x14ac:dyDescent="0.45">
      <c r="S80" s="170">
        <f>'PubMatic Data'!A77</f>
        <v>46189</v>
      </c>
      <c r="T80" s="171">
        <f>'PubMatic Data'!B77</f>
        <v>11.58</v>
      </c>
      <c r="U80" s="171">
        <f>_xlfn.XLOOKUP(S80,'Trade Deck Data'!$A:$A,'Trade Deck Data'!$B:$B,NA())</f>
        <v>18.96</v>
      </c>
      <c r="V80" s="172">
        <f t="shared" si="16"/>
        <v>527468.99999999988</v>
      </c>
      <c r="W80" s="172">
        <f t="shared" si="17"/>
        <v>407497.99999999988</v>
      </c>
      <c r="X80" s="172">
        <f t="shared" si="18"/>
        <v>8964288</v>
      </c>
      <c r="Y80" s="172">
        <f t="shared" si="19"/>
        <v>7478955</v>
      </c>
      <c r="Z80" s="173">
        <f t="shared" si="20"/>
        <v>1.4092182345088975</v>
      </c>
      <c r="AA80" s="173">
        <f t="shared" si="21"/>
        <v>2.6358572490915946</v>
      </c>
      <c r="AB80" s="173">
        <f t="shared" si="22"/>
        <v>6.6612940137967094</v>
      </c>
      <c r="AC80" s="173">
        <f t="shared" si="23"/>
        <v>12.75575624232501</v>
      </c>
      <c r="AD80" s="173">
        <f t="shared" si="24"/>
        <v>1.2266390145826971</v>
      </c>
      <c r="AE80" s="173">
        <f t="shared" si="25"/>
        <v>6.0944622285283003</v>
      </c>
      <c r="AI80" s="178" t="e">
        <f t="shared" si="26"/>
        <v>#N/A</v>
      </c>
      <c r="AJ80" s="178" t="e">
        <f t="shared" si="27"/>
        <v>#N/A</v>
      </c>
      <c r="AK80" s="178" t="e">
        <f t="shared" si="28"/>
        <v>#N/A</v>
      </c>
      <c r="AL80" s="178" t="e">
        <f t="shared" si="29"/>
        <v>#N/A</v>
      </c>
      <c r="AM80" s="166" t="e">
        <f t="shared" si="30"/>
        <v>#N/A</v>
      </c>
      <c r="AN80" s="166" t="e">
        <f t="shared" si="31"/>
        <v>#N/A</v>
      </c>
    </row>
    <row r="81" spans="19:40" x14ac:dyDescent="0.45">
      <c r="S81" s="170">
        <f>'PubMatic Data'!A78</f>
        <v>46188</v>
      </c>
      <c r="T81" s="171">
        <f>'PubMatic Data'!B78</f>
        <v>11.47</v>
      </c>
      <c r="U81" s="171">
        <f>_xlfn.XLOOKUP(S81,'Trade Deck Data'!$A:$A,'Trade Deck Data'!$B:$B,NA())</f>
        <v>19.27</v>
      </c>
      <c r="V81" s="172">
        <f t="shared" si="16"/>
        <v>522458.49999999994</v>
      </c>
      <c r="W81" s="172">
        <f t="shared" si="17"/>
        <v>402487.49999999994</v>
      </c>
      <c r="X81" s="172">
        <f t="shared" si="18"/>
        <v>9110856</v>
      </c>
      <c r="Y81" s="172">
        <f t="shared" si="19"/>
        <v>7625523</v>
      </c>
      <c r="Z81" s="173">
        <f t="shared" si="20"/>
        <v>1.3918908170393474</v>
      </c>
      <c r="AA81" s="173">
        <f t="shared" si="21"/>
        <v>2.6875131723168124</v>
      </c>
      <c r="AB81" s="173">
        <f t="shared" si="22"/>
        <v>6.579388302219896</v>
      </c>
      <c r="AC81" s="173">
        <f t="shared" si="23"/>
        <v>13.005735775685633</v>
      </c>
      <c r="AD81" s="173">
        <f t="shared" si="24"/>
        <v>1.2956223552774651</v>
      </c>
      <c r="AE81" s="173">
        <f t="shared" si="25"/>
        <v>6.4263474734657366</v>
      </c>
      <c r="AI81" s="178" t="e">
        <f t="shared" si="26"/>
        <v>#N/A</v>
      </c>
      <c r="AJ81" s="178" t="e">
        <f t="shared" si="27"/>
        <v>#N/A</v>
      </c>
      <c r="AK81" s="178" t="e">
        <f t="shared" si="28"/>
        <v>#N/A</v>
      </c>
      <c r="AL81" s="178" t="e">
        <f t="shared" si="29"/>
        <v>#N/A</v>
      </c>
      <c r="AM81" s="166" t="e">
        <f t="shared" si="30"/>
        <v>#N/A</v>
      </c>
      <c r="AN81" s="166" t="e">
        <f t="shared" si="31"/>
        <v>#N/A</v>
      </c>
    </row>
    <row r="82" spans="19:40" x14ac:dyDescent="0.45">
      <c r="S82" s="170">
        <f>'PubMatic Data'!A79</f>
        <v>46185</v>
      </c>
      <c r="T82" s="171">
        <f>'PubMatic Data'!B79</f>
        <v>11.35</v>
      </c>
      <c r="U82" s="171">
        <f>_xlfn.XLOOKUP(S82,'Trade Deck Data'!$A:$A,'Trade Deck Data'!$B:$B,NA())</f>
        <v>19.28</v>
      </c>
      <c r="V82" s="172">
        <f t="shared" si="16"/>
        <v>516992.49999999994</v>
      </c>
      <c r="W82" s="172">
        <f t="shared" si="17"/>
        <v>397021.49999999994</v>
      </c>
      <c r="X82" s="172">
        <f t="shared" si="18"/>
        <v>9115584</v>
      </c>
      <c r="Y82" s="172">
        <f t="shared" si="19"/>
        <v>7630251</v>
      </c>
      <c r="Z82" s="173">
        <f t="shared" si="20"/>
        <v>1.372988179799838</v>
      </c>
      <c r="AA82" s="173">
        <f t="shared" si="21"/>
        <v>2.6891794924208514</v>
      </c>
      <c r="AB82" s="173">
        <f t="shared" si="22"/>
        <v>6.4900366168633727</v>
      </c>
      <c r="AC82" s="173">
        <f t="shared" si="23"/>
        <v>13.013799631600492</v>
      </c>
      <c r="AD82" s="173">
        <f t="shared" si="24"/>
        <v>1.3161913126210134</v>
      </c>
      <c r="AE82" s="173">
        <f t="shared" si="25"/>
        <v>6.5237630147371188</v>
      </c>
      <c r="AI82" s="178" t="e">
        <f t="shared" si="26"/>
        <v>#N/A</v>
      </c>
      <c r="AJ82" s="178" t="e">
        <f t="shared" si="27"/>
        <v>#N/A</v>
      </c>
      <c r="AK82" s="178" t="e">
        <f t="shared" si="28"/>
        <v>#N/A</v>
      </c>
      <c r="AL82" s="178" t="e">
        <f t="shared" si="29"/>
        <v>#N/A</v>
      </c>
      <c r="AM82" s="166" t="e">
        <f t="shared" si="30"/>
        <v>#N/A</v>
      </c>
      <c r="AN82" s="166" t="e">
        <f t="shared" si="31"/>
        <v>#N/A</v>
      </c>
    </row>
    <row r="83" spans="19:40" x14ac:dyDescent="0.45">
      <c r="S83" s="170">
        <f>'PubMatic Data'!A80</f>
        <v>46184</v>
      </c>
      <c r="T83" s="171">
        <f>'PubMatic Data'!B80</f>
        <v>11.27</v>
      </c>
      <c r="U83" s="171">
        <f>_xlfn.XLOOKUP(S83,'Trade Deck Data'!$A:$A,'Trade Deck Data'!$B:$B,NA())</f>
        <v>18.899999999999999</v>
      </c>
      <c r="V83" s="172">
        <f t="shared" si="16"/>
        <v>513348.49999999994</v>
      </c>
      <c r="W83" s="172">
        <f t="shared" si="17"/>
        <v>393377.49999999994</v>
      </c>
      <c r="X83" s="172">
        <f t="shared" si="18"/>
        <v>8935920</v>
      </c>
      <c r="Y83" s="172">
        <f t="shared" si="19"/>
        <v>7450587</v>
      </c>
      <c r="Z83" s="173">
        <f t="shared" si="20"/>
        <v>1.3603864216401649</v>
      </c>
      <c r="AA83" s="173">
        <f t="shared" si="21"/>
        <v>2.6258593284673593</v>
      </c>
      <c r="AB83" s="173">
        <f t="shared" si="22"/>
        <v>6.43046882662569</v>
      </c>
      <c r="AC83" s="173">
        <f t="shared" si="23"/>
        <v>12.707373106835858</v>
      </c>
      <c r="AD83" s="173">
        <f t="shared" si="24"/>
        <v>1.2654729068271944</v>
      </c>
      <c r="AE83" s="173">
        <f t="shared" si="25"/>
        <v>6.276904280210168</v>
      </c>
      <c r="AI83" s="178" t="e">
        <f t="shared" si="26"/>
        <v>#N/A</v>
      </c>
      <c r="AJ83" s="178" t="e">
        <f t="shared" si="27"/>
        <v>#N/A</v>
      </c>
      <c r="AK83" s="178" t="e">
        <f t="shared" si="28"/>
        <v>#N/A</v>
      </c>
      <c r="AL83" s="178" t="e">
        <f t="shared" si="29"/>
        <v>#N/A</v>
      </c>
      <c r="AM83" s="166" t="e">
        <f t="shared" si="30"/>
        <v>#N/A</v>
      </c>
      <c r="AN83" s="166" t="e">
        <f t="shared" si="31"/>
        <v>#N/A</v>
      </c>
    </row>
    <row r="84" spans="19:40" x14ac:dyDescent="0.45">
      <c r="S84" s="170">
        <f>'PubMatic Data'!A81</f>
        <v>46183</v>
      </c>
      <c r="T84" s="171">
        <f>'PubMatic Data'!B81</f>
        <v>11.18</v>
      </c>
      <c r="U84" s="171">
        <f>_xlfn.XLOOKUP(S84,'Trade Deck Data'!$A:$A,'Trade Deck Data'!$B:$B,NA())</f>
        <v>19.29</v>
      </c>
      <c r="V84" s="172">
        <f t="shared" si="16"/>
        <v>509248.99999999994</v>
      </c>
      <c r="W84" s="172">
        <f t="shared" si="17"/>
        <v>389277.99999999994</v>
      </c>
      <c r="X84" s="172">
        <f t="shared" si="18"/>
        <v>9120312</v>
      </c>
      <c r="Y84" s="172">
        <f t="shared" si="19"/>
        <v>7634979</v>
      </c>
      <c r="Z84" s="173">
        <f t="shared" si="20"/>
        <v>1.3462094437105327</v>
      </c>
      <c r="AA84" s="173">
        <f t="shared" si="21"/>
        <v>2.6908458125248909</v>
      </c>
      <c r="AB84" s="173">
        <f t="shared" si="22"/>
        <v>6.3634550626082964</v>
      </c>
      <c r="AC84" s="173">
        <f t="shared" si="23"/>
        <v>13.02186348751535</v>
      </c>
      <c r="AD84" s="173">
        <f t="shared" si="24"/>
        <v>1.3446363688143581</v>
      </c>
      <c r="AE84" s="173">
        <f t="shared" si="25"/>
        <v>6.6584084249070541</v>
      </c>
      <c r="AI84" s="178" t="e">
        <f t="shared" si="26"/>
        <v>#N/A</v>
      </c>
      <c r="AJ84" s="178" t="e">
        <f t="shared" si="27"/>
        <v>#N/A</v>
      </c>
      <c r="AK84" s="178" t="e">
        <f t="shared" si="28"/>
        <v>#N/A</v>
      </c>
      <c r="AL84" s="178" t="e">
        <f t="shared" si="29"/>
        <v>#N/A</v>
      </c>
      <c r="AM84" s="166" t="e">
        <f t="shared" si="30"/>
        <v>#N/A</v>
      </c>
      <c r="AN84" s="166" t="e">
        <f t="shared" si="31"/>
        <v>#N/A</v>
      </c>
    </row>
    <row r="85" spans="19:40" x14ac:dyDescent="0.45">
      <c r="S85" s="170">
        <f>'PubMatic Data'!A82</f>
        <v>46182</v>
      </c>
      <c r="T85" s="171">
        <f>'PubMatic Data'!B82</f>
        <v>11.51</v>
      </c>
      <c r="U85" s="171">
        <f>_xlfn.XLOOKUP(S85,'Trade Deck Data'!$A:$A,'Trade Deck Data'!$B:$B,NA())</f>
        <v>19.89</v>
      </c>
      <c r="V85" s="172">
        <f t="shared" si="16"/>
        <v>524280.49999999994</v>
      </c>
      <c r="W85" s="172">
        <f t="shared" si="17"/>
        <v>404309.49999999994</v>
      </c>
      <c r="X85" s="172">
        <f t="shared" si="18"/>
        <v>9403992</v>
      </c>
      <c r="Y85" s="172">
        <f t="shared" si="19"/>
        <v>7918659</v>
      </c>
      <c r="Z85" s="173">
        <f t="shared" si="20"/>
        <v>1.398191696119184</v>
      </c>
      <c r="AA85" s="173">
        <f t="shared" si="21"/>
        <v>2.7908250187672472</v>
      </c>
      <c r="AB85" s="173">
        <f t="shared" si="22"/>
        <v>6.6091721973387374</v>
      </c>
      <c r="AC85" s="173">
        <f t="shared" si="23"/>
        <v>13.505694842406877</v>
      </c>
      <c r="AD85" s="173">
        <f t="shared" si="24"/>
        <v>1.3926333226480632</v>
      </c>
      <c r="AE85" s="173">
        <f t="shared" si="25"/>
        <v>6.8965226450681394</v>
      </c>
      <c r="AI85" s="178" t="e">
        <f t="shared" si="26"/>
        <v>#N/A</v>
      </c>
      <c r="AJ85" s="178" t="e">
        <f t="shared" si="27"/>
        <v>#N/A</v>
      </c>
      <c r="AK85" s="178" t="e">
        <f t="shared" si="28"/>
        <v>#N/A</v>
      </c>
      <c r="AL85" s="178" t="e">
        <f t="shared" si="29"/>
        <v>#N/A</v>
      </c>
      <c r="AM85" s="166" t="e">
        <f t="shared" si="30"/>
        <v>#N/A</v>
      </c>
      <c r="AN85" s="166" t="e">
        <f t="shared" si="31"/>
        <v>#N/A</v>
      </c>
    </row>
    <row r="86" spans="19:40" x14ac:dyDescent="0.45">
      <c r="S86" s="170">
        <f>'PubMatic Data'!A83</f>
        <v>46181</v>
      </c>
      <c r="T86" s="171">
        <f>'PubMatic Data'!B83</f>
        <v>11.24</v>
      </c>
      <c r="U86" s="171">
        <f>_xlfn.XLOOKUP(S86,'Trade Deck Data'!$A:$A,'Trade Deck Data'!$B:$B,NA())</f>
        <v>19.43</v>
      </c>
      <c r="V86" s="172">
        <f t="shared" si="16"/>
        <v>511982</v>
      </c>
      <c r="W86" s="172">
        <f t="shared" si="17"/>
        <v>392011</v>
      </c>
      <c r="X86" s="172">
        <f t="shared" si="18"/>
        <v>9186504</v>
      </c>
      <c r="Y86" s="172">
        <f t="shared" si="19"/>
        <v>7701171</v>
      </c>
      <c r="Z86" s="173">
        <f t="shared" si="20"/>
        <v>1.3556607623302879</v>
      </c>
      <c r="AA86" s="173">
        <f t="shared" si="21"/>
        <v>2.7141742939814408</v>
      </c>
      <c r="AB86" s="173">
        <f t="shared" si="22"/>
        <v>6.4081309052865594</v>
      </c>
      <c r="AC86" s="173">
        <f t="shared" si="23"/>
        <v>13.134757470323374</v>
      </c>
      <c r="AD86" s="173">
        <f t="shared" si="24"/>
        <v>1.358513531651153</v>
      </c>
      <c r="AE86" s="173">
        <f t="shared" si="25"/>
        <v>6.7266265650368142</v>
      </c>
      <c r="AI86" s="178" t="e">
        <f t="shared" si="26"/>
        <v>#N/A</v>
      </c>
      <c r="AJ86" s="178" t="e">
        <f t="shared" si="27"/>
        <v>#N/A</v>
      </c>
      <c r="AK86" s="178" t="e">
        <f t="shared" si="28"/>
        <v>#N/A</v>
      </c>
      <c r="AL86" s="178" t="e">
        <f t="shared" si="29"/>
        <v>#N/A</v>
      </c>
      <c r="AM86" s="166" t="e">
        <f t="shared" si="30"/>
        <v>#N/A</v>
      </c>
      <c r="AN86" s="166" t="e">
        <f t="shared" si="31"/>
        <v>#N/A</v>
      </c>
    </row>
    <row r="87" spans="19:40" x14ac:dyDescent="0.45">
      <c r="S87" s="170">
        <f>'PubMatic Data'!A84</f>
        <v>46178</v>
      </c>
      <c r="T87" s="171">
        <f>'PubMatic Data'!B84</f>
        <v>11.54</v>
      </c>
      <c r="U87" s="171">
        <f>_xlfn.XLOOKUP(S87,'Trade Deck Data'!$A:$A,'Trade Deck Data'!$B:$B,NA())</f>
        <v>19.95</v>
      </c>
      <c r="V87" s="172">
        <f t="shared" si="16"/>
        <v>525646.99999999988</v>
      </c>
      <c r="W87" s="172">
        <f t="shared" si="17"/>
        <v>405675.99999999988</v>
      </c>
      <c r="X87" s="172">
        <f t="shared" si="18"/>
        <v>9432360</v>
      </c>
      <c r="Y87" s="172">
        <f t="shared" si="19"/>
        <v>7947027</v>
      </c>
      <c r="Z87" s="173">
        <f t="shared" si="20"/>
        <v>1.402917355429061</v>
      </c>
      <c r="AA87" s="173">
        <f t="shared" si="21"/>
        <v>2.800822939391483</v>
      </c>
      <c r="AB87" s="173">
        <f t="shared" si="22"/>
        <v>6.631510118677868</v>
      </c>
      <c r="AC87" s="173">
        <f t="shared" si="23"/>
        <v>13.55407797789603</v>
      </c>
      <c r="AD87" s="173">
        <f t="shared" si="24"/>
        <v>1.3979055839624219</v>
      </c>
      <c r="AE87" s="173">
        <f t="shared" si="25"/>
        <v>6.9225678592181623</v>
      </c>
      <c r="AI87" s="178" t="e">
        <f t="shared" si="26"/>
        <v>#N/A</v>
      </c>
      <c r="AJ87" s="178" t="e">
        <f t="shared" si="27"/>
        <v>#N/A</v>
      </c>
      <c r="AK87" s="178" t="e">
        <f t="shared" si="28"/>
        <v>#N/A</v>
      </c>
      <c r="AL87" s="178" t="e">
        <f t="shared" si="29"/>
        <v>#N/A</v>
      </c>
      <c r="AM87" s="166" t="e">
        <f t="shared" si="30"/>
        <v>#N/A</v>
      </c>
      <c r="AN87" s="166" t="e">
        <f t="shared" si="31"/>
        <v>#N/A</v>
      </c>
    </row>
    <row r="88" spans="19:40" x14ac:dyDescent="0.45">
      <c r="S88" s="170">
        <f>'PubMatic Data'!A85</f>
        <v>46177</v>
      </c>
      <c r="T88" s="171">
        <f>'PubMatic Data'!B85</f>
        <v>11.88</v>
      </c>
      <c r="U88" s="171">
        <f>_xlfn.XLOOKUP(S88,'Trade Deck Data'!$A:$A,'Trade Deck Data'!$B:$B,NA())</f>
        <v>21.03</v>
      </c>
      <c r="V88" s="172">
        <f t="shared" si="16"/>
        <v>541134</v>
      </c>
      <c r="W88" s="172">
        <f t="shared" si="17"/>
        <v>421163</v>
      </c>
      <c r="X88" s="172">
        <f t="shared" si="18"/>
        <v>9942984</v>
      </c>
      <c r="Y88" s="172">
        <f t="shared" si="19"/>
        <v>8457651</v>
      </c>
      <c r="Z88" s="173">
        <f t="shared" si="20"/>
        <v>1.4564748276076718</v>
      </c>
      <c r="AA88" s="173">
        <f t="shared" si="21"/>
        <v>2.9807855106277246</v>
      </c>
      <c r="AB88" s="173">
        <f t="shared" si="22"/>
        <v>6.8846732271880207</v>
      </c>
      <c r="AC88" s="173">
        <f t="shared" si="23"/>
        <v>14.424974416700778</v>
      </c>
      <c r="AD88" s="173">
        <f t="shared" si="24"/>
        <v>1.5243106830200528</v>
      </c>
      <c r="AE88" s="173">
        <f t="shared" si="25"/>
        <v>7.540301189512757</v>
      </c>
      <c r="AI88" s="178" t="e">
        <f t="shared" si="26"/>
        <v>#N/A</v>
      </c>
      <c r="AJ88" s="178" t="e">
        <f t="shared" si="27"/>
        <v>#N/A</v>
      </c>
      <c r="AK88" s="178" t="e">
        <f t="shared" si="28"/>
        <v>#N/A</v>
      </c>
      <c r="AL88" s="178" t="e">
        <f t="shared" si="29"/>
        <v>#N/A</v>
      </c>
      <c r="AM88" s="166" t="e">
        <f t="shared" si="30"/>
        <v>#N/A</v>
      </c>
      <c r="AN88" s="166" t="e">
        <f t="shared" si="31"/>
        <v>#N/A</v>
      </c>
    </row>
    <row r="89" spans="19:40" x14ac:dyDescent="0.45">
      <c r="S89" s="170">
        <f>'PubMatic Data'!A86</f>
        <v>46176</v>
      </c>
      <c r="T89" s="171">
        <f>'PubMatic Data'!B86</f>
        <v>11.38</v>
      </c>
      <c r="U89" s="171">
        <f>_xlfn.XLOOKUP(S89,'Trade Deck Data'!$A:$A,'Trade Deck Data'!$B:$B,NA())</f>
        <v>20.56</v>
      </c>
      <c r="V89" s="172">
        <f t="shared" si="16"/>
        <v>518359.00000000006</v>
      </c>
      <c r="W89" s="172">
        <f t="shared" si="17"/>
        <v>398388.00000000006</v>
      </c>
      <c r="X89" s="172">
        <f t="shared" si="18"/>
        <v>9720768</v>
      </c>
      <c r="Y89" s="172">
        <f t="shared" si="19"/>
        <v>8235435</v>
      </c>
      <c r="Z89" s="173">
        <f t="shared" si="20"/>
        <v>1.3777138391097157</v>
      </c>
      <c r="AA89" s="173">
        <f t="shared" si="21"/>
        <v>2.9024684657378788</v>
      </c>
      <c r="AB89" s="173">
        <f t="shared" si="22"/>
        <v>6.5123745382025051</v>
      </c>
      <c r="AC89" s="173">
        <f t="shared" si="23"/>
        <v>14.045973188702416</v>
      </c>
      <c r="AD89" s="173">
        <f t="shared" si="24"/>
        <v>1.5247546266281631</v>
      </c>
      <c r="AE89" s="173">
        <f t="shared" si="25"/>
        <v>7.5335986504999104</v>
      </c>
      <c r="AI89" s="178" t="e">
        <f t="shared" si="26"/>
        <v>#N/A</v>
      </c>
      <c r="AJ89" s="178" t="e">
        <f t="shared" si="27"/>
        <v>#N/A</v>
      </c>
      <c r="AK89" s="178" t="e">
        <f t="shared" si="28"/>
        <v>#N/A</v>
      </c>
      <c r="AL89" s="178" t="e">
        <f t="shared" si="29"/>
        <v>#N/A</v>
      </c>
      <c r="AM89" s="166" t="e">
        <f t="shared" si="30"/>
        <v>#N/A</v>
      </c>
      <c r="AN89" s="166" t="e">
        <f t="shared" si="31"/>
        <v>#N/A</v>
      </c>
    </row>
    <row r="90" spans="19:40" x14ac:dyDescent="0.45">
      <c r="S90" s="170">
        <f>'PubMatic Data'!A87</f>
        <v>46175</v>
      </c>
      <c r="T90" s="171">
        <f>'PubMatic Data'!B87</f>
        <v>12.04</v>
      </c>
      <c r="U90" s="171">
        <f>_xlfn.XLOOKUP(S90,'Trade Deck Data'!$A:$A,'Trade Deck Data'!$B:$B,NA())</f>
        <v>21.1</v>
      </c>
      <c r="V90" s="172">
        <f t="shared" si="16"/>
        <v>548421.99999999988</v>
      </c>
      <c r="W90" s="172">
        <f t="shared" si="17"/>
        <v>428450.99999999988</v>
      </c>
      <c r="X90" s="172">
        <f t="shared" si="18"/>
        <v>9976080.0000000019</v>
      </c>
      <c r="Y90" s="172">
        <f t="shared" si="19"/>
        <v>8490747.0000000019</v>
      </c>
      <c r="Z90" s="173">
        <f t="shared" si="20"/>
        <v>1.4816783439270174</v>
      </c>
      <c r="AA90" s="173">
        <f t="shared" si="21"/>
        <v>2.9924497513560002</v>
      </c>
      <c r="AB90" s="173">
        <f t="shared" si="22"/>
        <v>7.0038088076633844</v>
      </c>
      <c r="AC90" s="173">
        <f t="shared" si="23"/>
        <v>14.481421408104792</v>
      </c>
      <c r="AD90" s="173">
        <f t="shared" si="24"/>
        <v>1.5107714074289829</v>
      </c>
      <c r="AE90" s="173">
        <f t="shared" si="25"/>
        <v>7.4776126004414074</v>
      </c>
      <c r="AI90" s="178" t="e">
        <f t="shared" si="26"/>
        <v>#N/A</v>
      </c>
      <c r="AJ90" s="178" t="e">
        <f t="shared" si="27"/>
        <v>#N/A</v>
      </c>
      <c r="AK90" s="178" t="e">
        <f t="shared" si="28"/>
        <v>#N/A</v>
      </c>
      <c r="AL90" s="178" t="e">
        <f t="shared" si="29"/>
        <v>#N/A</v>
      </c>
      <c r="AM90" s="166" t="e">
        <f t="shared" si="30"/>
        <v>#N/A</v>
      </c>
      <c r="AN90" s="166" t="e">
        <f t="shared" si="31"/>
        <v>#N/A</v>
      </c>
    </row>
    <row r="91" spans="19:40" x14ac:dyDescent="0.45">
      <c r="S91" s="170">
        <f>'PubMatic Data'!A88</f>
        <v>46174</v>
      </c>
      <c r="T91" s="171">
        <f>'PubMatic Data'!B88</f>
        <v>12.22</v>
      </c>
      <c r="U91" s="171">
        <f>_xlfn.XLOOKUP(S91,'Trade Deck Data'!$A:$A,'Trade Deck Data'!$B:$B,NA())</f>
        <v>23.22</v>
      </c>
      <c r="V91" s="172">
        <f t="shared" si="16"/>
        <v>556621</v>
      </c>
      <c r="W91" s="172">
        <f t="shared" si="17"/>
        <v>436650</v>
      </c>
      <c r="X91" s="172">
        <f t="shared" si="18"/>
        <v>10978416</v>
      </c>
      <c r="Y91" s="172">
        <f t="shared" si="19"/>
        <v>9493083</v>
      </c>
      <c r="Z91" s="173">
        <f t="shared" si="20"/>
        <v>1.5100322997862818</v>
      </c>
      <c r="AA91" s="173">
        <f t="shared" si="21"/>
        <v>3.3457096134123261</v>
      </c>
      <c r="AB91" s="173">
        <f t="shared" si="22"/>
        <v>7.1378363356981724</v>
      </c>
      <c r="AC91" s="173">
        <f t="shared" si="23"/>
        <v>16.190958862054849</v>
      </c>
      <c r="AD91" s="173">
        <f t="shared" si="24"/>
        <v>1.8356773136260442</v>
      </c>
      <c r="AE91" s="173">
        <f t="shared" si="25"/>
        <v>9.0531225263566775</v>
      </c>
      <c r="AI91" s="178" t="e">
        <f t="shared" si="26"/>
        <v>#N/A</v>
      </c>
      <c r="AJ91" s="178" t="e">
        <f t="shared" si="27"/>
        <v>#N/A</v>
      </c>
      <c r="AK91" s="178" t="e">
        <f t="shared" si="28"/>
        <v>#N/A</v>
      </c>
      <c r="AL91" s="178" t="e">
        <f t="shared" si="29"/>
        <v>#N/A</v>
      </c>
      <c r="AM91" s="166" t="e">
        <f t="shared" si="30"/>
        <v>#N/A</v>
      </c>
      <c r="AN91" s="166" t="e">
        <f t="shared" si="31"/>
        <v>#N/A</v>
      </c>
    </row>
    <row r="92" spans="19:40" x14ac:dyDescent="0.45">
      <c r="S92" s="170">
        <f>'PubMatic Data'!A89</f>
        <v>46171</v>
      </c>
      <c r="T92" s="171">
        <f>'PubMatic Data'!B89</f>
        <v>11.68</v>
      </c>
      <c r="U92" s="171">
        <f>_xlfn.XLOOKUP(S92,'Trade Deck Data'!$A:$A,'Trade Deck Data'!$B:$B,NA())</f>
        <v>21.56</v>
      </c>
      <c r="V92" s="172">
        <f t="shared" si="16"/>
        <v>532024</v>
      </c>
      <c r="W92" s="172">
        <f t="shared" si="17"/>
        <v>412053</v>
      </c>
      <c r="X92" s="172">
        <f t="shared" si="18"/>
        <v>10193568</v>
      </c>
      <c r="Y92" s="172">
        <f t="shared" si="19"/>
        <v>8708235</v>
      </c>
      <c r="Z92" s="173">
        <f t="shared" si="20"/>
        <v>1.4249704322084893</v>
      </c>
      <c r="AA92" s="173">
        <f t="shared" si="21"/>
        <v>3.0691004761418066</v>
      </c>
      <c r="AB92" s="173">
        <f t="shared" si="22"/>
        <v>6.7357537515938146</v>
      </c>
      <c r="AC92" s="173">
        <f t="shared" si="23"/>
        <v>14.852358780188293</v>
      </c>
      <c r="AD92" s="173">
        <f t="shared" si="24"/>
        <v>1.6441300439333173</v>
      </c>
      <c r="AE92" s="173">
        <f t="shared" si="25"/>
        <v>8.1166050285944777</v>
      </c>
      <c r="AI92" s="178" t="e">
        <f t="shared" si="26"/>
        <v>#N/A</v>
      </c>
      <c r="AJ92" s="178" t="e">
        <f t="shared" si="27"/>
        <v>#N/A</v>
      </c>
      <c r="AK92" s="178" t="e">
        <f t="shared" si="28"/>
        <v>#N/A</v>
      </c>
      <c r="AL92" s="178" t="e">
        <f t="shared" si="29"/>
        <v>#N/A</v>
      </c>
      <c r="AM92" s="166" t="e">
        <f t="shared" si="30"/>
        <v>#N/A</v>
      </c>
      <c r="AN92" s="166" t="e">
        <f t="shared" si="31"/>
        <v>#N/A</v>
      </c>
    </row>
    <row r="93" spans="19:40" x14ac:dyDescent="0.45">
      <c r="S93" s="170">
        <f>'PubMatic Data'!A90</f>
        <v>46170</v>
      </c>
      <c r="T93" s="171">
        <f>'PubMatic Data'!B90</f>
        <v>11.44</v>
      </c>
      <c r="U93" s="171">
        <f>_xlfn.XLOOKUP(S93,'Trade Deck Data'!$A:$A,'Trade Deck Data'!$B:$B,NA())</f>
        <v>21.15</v>
      </c>
      <c r="V93" s="172">
        <f t="shared" si="16"/>
        <v>521092</v>
      </c>
      <c r="W93" s="172">
        <f t="shared" si="17"/>
        <v>401121</v>
      </c>
      <c r="X93" s="172">
        <f t="shared" si="18"/>
        <v>9999720</v>
      </c>
      <c r="Y93" s="172">
        <f t="shared" si="19"/>
        <v>8514387</v>
      </c>
      <c r="Z93" s="173">
        <f t="shared" si="20"/>
        <v>1.3871651577294704</v>
      </c>
      <c r="AA93" s="173">
        <f t="shared" si="21"/>
        <v>3.0007813518761961</v>
      </c>
      <c r="AB93" s="173">
        <f t="shared" si="22"/>
        <v>6.5570503808807663</v>
      </c>
      <c r="AC93" s="173">
        <f t="shared" si="23"/>
        <v>14.521740687679083</v>
      </c>
      <c r="AD93" s="173">
        <f t="shared" si="24"/>
        <v>1.6136161941467257</v>
      </c>
      <c r="AE93" s="173">
        <f t="shared" si="25"/>
        <v>7.9646903067983166</v>
      </c>
      <c r="AI93" s="178" t="e">
        <f t="shared" si="26"/>
        <v>#N/A</v>
      </c>
      <c r="AJ93" s="178" t="e">
        <f t="shared" si="27"/>
        <v>#N/A</v>
      </c>
      <c r="AK93" s="178" t="e">
        <f t="shared" si="28"/>
        <v>#N/A</v>
      </c>
      <c r="AL93" s="178" t="e">
        <f t="shared" si="29"/>
        <v>#N/A</v>
      </c>
      <c r="AM93" s="166" t="e">
        <f t="shared" si="30"/>
        <v>#N/A</v>
      </c>
      <c r="AN93" s="166" t="e">
        <f t="shared" si="31"/>
        <v>#N/A</v>
      </c>
    </row>
    <row r="94" spans="19:40" x14ac:dyDescent="0.45">
      <c r="S94" s="170">
        <f>'PubMatic Data'!A91</f>
        <v>46169</v>
      </c>
      <c r="T94" s="171">
        <f>'PubMatic Data'!B91</f>
        <v>11.05</v>
      </c>
      <c r="U94" s="171">
        <f>_xlfn.XLOOKUP(S94,'Trade Deck Data'!$A:$A,'Trade Deck Data'!$B:$B,NA())</f>
        <v>22.29</v>
      </c>
      <c r="V94" s="172">
        <f t="shared" si="16"/>
        <v>503327.5</v>
      </c>
      <c r="W94" s="172">
        <f t="shared" si="17"/>
        <v>383356.5</v>
      </c>
      <c r="X94" s="172">
        <f t="shared" si="18"/>
        <v>10538712</v>
      </c>
      <c r="Y94" s="172">
        <f t="shared" si="19"/>
        <v>9053379</v>
      </c>
      <c r="Z94" s="173">
        <f t="shared" si="20"/>
        <v>1.3257315867010644</v>
      </c>
      <c r="AA94" s="173">
        <f t="shared" si="21"/>
        <v>3.1907418437366735</v>
      </c>
      <c r="AB94" s="173">
        <f t="shared" si="22"/>
        <v>6.2666574034720632</v>
      </c>
      <c r="AC94" s="173">
        <f t="shared" si="23"/>
        <v>15.441020261972984</v>
      </c>
      <c r="AD94" s="173">
        <f t="shared" si="24"/>
        <v>1.8650102570356091</v>
      </c>
      <c r="AE94" s="173">
        <f t="shared" si="25"/>
        <v>9.1743628585009205</v>
      </c>
      <c r="AI94" s="178" t="e">
        <f t="shared" si="26"/>
        <v>#N/A</v>
      </c>
      <c r="AJ94" s="178" t="e">
        <f t="shared" si="27"/>
        <v>#N/A</v>
      </c>
      <c r="AK94" s="178" t="e">
        <f t="shared" si="28"/>
        <v>#N/A</v>
      </c>
      <c r="AL94" s="178" t="e">
        <f t="shared" si="29"/>
        <v>#N/A</v>
      </c>
      <c r="AM94" s="166" t="e">
        <f t="shared" si="30"/>
        <v>#N/A</v>
      </c>
      <c r="AN94" s="166" t="e">
        <f t="shared" si="31"/>
        <v>#N/A</v>
      </c>
    </row>
    <row r="95" spans="19:40" x14ac:dyDescent="0.45">
      <c r="S95" s="170">
        <f>'PubMatic Data'!A92</f>
        <v>46168</v>
      </c>
      <c r="T95" s="171">
        <f>'PubMatic Data'!B92</f>
        <v>10.54</v>
      </c>
      <c r="U95" s="171">
        <f>_xlfn.XLOOKUP(S95,'Trade Deck Data'!$A:$A,'Trade Deck Data'!$B:$B,NA())</f>
        <v>22.18</v>
      </c>
      <c r="V95" s="172">
        <f t="shared" si="16"/>
        <v>480096.99999999994</v>
      </c>
      <c r="W95" s="172">
        <f t="shared" si="17"/>
        <v>360125.99999999994</v>
      </c>
      <c r="X95" s="172">
        <f t="shared" si="18"/>
        <v>10486704</v>
      </c>
      <c r="Y95" s="172">
        <f t="shared" si="19"/>
        <v>9001371</v>
      </c>
      <c r="Z95" s="173">
        <f t="shared" si="20"/>
        <v>1.2453953784331488</v>
      </c>
      <c r="AA95" s="173">
        <f t="shared" si="21"/>
        <v>3.1724123225922414</v>
      </c>
      <c r="AB95" s="173">
        <f t="shared" si="22"/>
        <v>5.8869127407068351</v>
      </c>
      <c r="AC95" s="173">
        <f t="shared" si="23"/>
        <v>15.352317846909537</v>
      </c>
      <c r="AD95" s="173">
        <f t="shared" si="24"/>
        <v>1.9270169441590925</v>
      </c>
      <c r="AE95" s="173">
        <f t="shared" si="25"/>
        <v>9.4654051062027023</v>
      </c>
      <c r="AI95" s="178" t="e">
        <f t="shared" si="26"/>
        <v>#N/A</v>
      </c>
      <c r="AJ95" s="178" t="e">
        <f t="shared" si="27"/>
        <v>#N/A</v>
      </c>
      <c r="AK95" s="178" t="e">
        <f t="shared" si="28"/>
        <v>#N/A</v>
      </c>
      <c r="AL95" s="178" t="e">
        <f t="shared" si="29"/>
        <v>#N/A</v>
      </c>
      <c r="AM95" s="166" t="e">
        <f t="shared" si="30"/>
        <v>#N/A</v>
      </c>
      <c r="AN95" s="166" t="e">
        <f t="shared" si="31"/>
        <v>#N/A</v>
      </c>
    </row>
    <row r="96" spans="19:40" x14ac:dyDescent="0.45">
      <c r="S96" s="170">
        <f>'PubMatic Data'!A93</f>
        <v>46164</v>
      </c>
      <c r="T96" s="171">
        <f>'PubMatic Data'!B93</f>
        <v>10.36</v>
      </c>
      <c r="U96" s="171">
        <f>_xlfn.XLOOKUP(S96,'Trade Deck Data'!$A:$A,'Trade Deck Data'!$B:$B,NA())</f>
        <v>22.38</v>
      </c>
      <c r="V96" s="172">
        <f t="shared" si="16"/>
        <v>471897.99999999994</v>
      </c>
      <c r="W96" s="172">
        <f t="shared" si="17"/>
        <v>351926.99999999994</v>
      </c>
      <c r="X96" s="172">
        <f t="shared" si="18"/>
        <v>10581264</v>
      </c>
      <c r="Y96" s="172">
        <f t="shared" si="19"/>
        <v>9095931</v>
      </c>
      <c r="Z96" s="173">
        <f t="shared" si="20"/>
        <v>1.2170414225738846</v>
      </c>
      <c r="AA96" s="173">
        <f t="shared" si="21"/>
        <v>3.2057387246730271</v>
      </c>
      <c r="AB96" s="173">
        <f t="shared" si="22"/>
        <v>5.7528852126720489</v>
      </c>
      <c r="AC96" s="173">
        <f t="shared" si="23"/>
        <v>15.513594965206712</v>
      </c>
      <c r="AD96" s="173">
        <f t="shared" si="24"/>
        <v>1.9886973020991425</v>
      </c>
      <c r="AE96" s="173">
        <f t="shared" si="25"/>
        <v>9.7607097525346624</v>
      </c>
      <c r="AI96" s="178" t="e">
        <f t="shared" si="26"/>
        <v>#N/A</v>
      </c>
      <c r="AJ96" s="178" t="e">
        <f t="shared" si="27"/>
        <v>#N/A</v>
      </c>
      <c r="AK96" s="178" t="e">
        <f t="shared" si="28"/>
        <v>#N/A</v>
      </c>
      <c r="AL96" s="178" t="e">
        <f t="shared" si="29"/>
        <v>#N/A</v>
      </c>
      <c r="AM96" s="166" t="e">
        <f t="shared" si="30"/>
        <v>#N/A</v>
      </c>
      <c r="AN96" s="166" t="e">
        <f t="shared" si="31"/>
        <v>#N/A</v>
      </c>
    </row>
    <row r="97" spans="19:40" x14ac:dyDescent="0.45">
      <c r="S97" s="170">
        <f>'PubMatic Data'!A94</f>
        <v>46163</v>
      </c>
      <c r="T97" s="171">
        <f>'PubMatic Data'!B94</f>
        <v>10.210000000000001</v>
      </c>
      <c r="U97" s="171">
        <f>_xlfn.XLOOKUP(S97,'Trade Deck Data'!$A:$A,'Trade Deck Data'!$B:$B,NA())</f>
        <v>21.28</v>
      </c>
      <c r="V97" s="172">
        <f t="shared" si="16"/>
        <v>465065.5</v>
      </c>
      <c r="W97" s="172">
        <f t="shared" si="17"/>
        <v>345094.5</v>
      </c>
      <c r="X97" s="172">
        <f t="shared" si="18"/>
        <v>10061184.000000002</v>
      </c>
      <c r="Y97" s="172">
        <f t="shared" si="19"/>
        <v>8575851.0000000019</v>
      </c>
      <c r="Z97" s="173">
        <f t="shared" si="20"/>
        <v>1.193413126024498</v>
      </c>
      <c r="AA97" s="173">
        <f t="shared" si="21"/>
        <v>3.0224435132287075</v>
      </c>
      <c r="AB97" s="173">
        <f t="shared" si="22"/>
        <v>5.641195605976395</v>
      </c>
      <c r="AC97" s="173">
        <f t="shared" si="23"/>
        <v>14.626570814572251</v>
      </c>
      <c r="AD97" s="173">
        <f t="shared" si="24"/>
        <v>1.8290303872042095</v>
      </c>
      <c r="AE97" s="173">
        <f t="shared" si="25"/>
        <v>8.9853752085958547</v>
      </c>
      <c r="AI97" s="178" t="e">
        <f t="shared" si="26"/>
        <v>#N/A</v>
      </c>
      <c r="AJ97" s="178" t="e">
        <f t="shared" si="27"/>
        <v>#N/A</v>
      </c>
      <c r="AK97" s="178" t="e">
        <f t="shared" si="28"/>
        <v>#N/A</v>
      </c>
      <c r="AL97" s="178" t="e">
        <f t="shared" si="29"/>
        <v>#N/A</v>
      </c>
      <c r="AM97" s="166" t="e">
        <f t="shared" si="30"/>
        <v>#N/A</v>
      </c>
      <c r="AN97" s="166" t="e">
        <f t="shared" si="31"/>
        <v>#N/A</v>
      </c>
    </row>
    <row r="98" spans="19:40" x14ac:dyDescent="0.45">
      <c r="S98" s="170">
        <f>'PubMatic Data'!A95</f>
        <v>46162</v>
      </c>
      <c r="T98" s="171">
        <f>'PubMatic Data'!B95</f>
        <v>9.8800000000000008</v>
      </c>
      <c r="U98" s="171">
        <f>_xlfn.XLOOKUP(S98,'Trade Deck Data'!$A:$A,'Trade Deck Data'!$B:$B,NA())</f>
        <v>21.02</v>
      </c>
      <c r="V98" s="172">
        <f t="shared" si="16"/>
        <v>450034</v>
      </c>
      <c r="W98" s="172">
        <f t="shared" si="17"/>
        <v>330063</v>
      </c>
      <c r="X98" s="172">
        <f t="shared" si="18"/>
        <v>9938256</v>
      </c>
      <c r="Y98" s="172">
        <f t="shared" si="19"/>
        <v>8452923</v>
      </c>
      <c r="Z98" s="173">
        <f t="shared" si="20"/>
        <v>1.1414308736158469</v>
      </c>
      <c r="AA98" s="173">
        <f t="shared" si="21"/>
        <v>2.9791191905236856</v>
      </c>
      <c r="AB98" s="173">
        <f t="shared" si="22"/>
        <v>5.395478471245954</v>
      </c>
      <c r="AC98" s="173">
        <f t="shared" si="23"/>
        <v>14.416910560785919</v>
      </c>
      <c r="AD98" s="173">
        <f t="shared" si="24"/>
        <v>1.8376883169078386</v>
      </c>
      <c r="AE98" s="173">
        <f t="shared" si="25"/>
        <v>9.0214320895399638</v>
      </c>
      <c r="AI98" s="178" t="e">
        <f t="shared" si="26"/>
        <v>#N/A</v>
      </c>
      <c r="AJ98" s="178" t="e">
        <f t="shared" si="27"/>
        <v>#N/A</v>
      </c>
      <c r="AK98" s="178" t="e">
        <f t="shared" si="28"/>
        <v>#N/A</v>
      </c>
      <c r="AL98" s="178" t="e">
        <f t="shared" si="29"/>
        <v>#N/A</v>
      </c>
      <c r="AM98" s="166" t="e">
        <f t="shared" si="30"/>
        <v>#N/A</v>
      </c>
      <c r="AN98" s="166" t="e">
        <f t="shared" si="31"/>
        <v>#N/A</v>
      </c>
    </row>
    <row r="99" spans="19:40" x14ac:dyDescent="0.45">
      <c r="S99" s="170">
        <f>'PubMatic Data'!A96</f>
        <v>46161</v>
      </c>
      <c r="T99" s="171">
        <f>'PubMatic Data'!B96</f>
        <v>10.06</v>
      </c>
      <c r="U99" s="171">
        <f>_xlfn.XLOOKUP(S99,'Trade Deck Data'!$A:$A,'Trade Deck Data'!$B:$B,NA())</f>
        <v>21.16</v>
      </c>
      <c r="V99" s="172">
        <f t="shared" si="16"/>
        <v>458233</v>
      </c>
      <c r="W99" s="172">
        <f t="shared" si="17"/>
        <v>338262</v>
      </c>
      <c r="X99" s="172">
        <f t="shared" si="18"/>
        <v>10004448</v>
      </c>
      <c r="Y99" s="172">
        <f t="shared" si="19"/>
        <v>8519115</v>
      </c>
      <c r="Z99" s="173">
        <f t="shared" si="20"/>
        <v>1.1697848294751112</v>
      </c>
      <c r="AA99" s="173">
        <f t="shared" si="21"/>
        <v>3.0024476719802355</v>
      </c>
      <c r="AB99" s="173">
        <f t="shared" si="22"/>
        <v>5.5295059992807403</v>
      </c>
      <c r="AC99" s="173">
        <f t="shared" si="23"/>
        <v>14.529804543593942</v>
      </c>
      <c r="AD99" s="173">
        <f t="shared" si="24"/>
        <v>1.8326628425051243</v>
      </c>
      <c r="AE99" s="173">
        <f t="shared" si="25"/>
        <v>9.0002985443132015</v>
      </c>
      <c r="AI99" s="178" t="e">
        <f t="shared" si="26"/>
        <v>#N/A</v>
      </c>
      <c r="AJ99" s="178" t="e">
        <f t="shared" si="27"/>
        <v>#N/A</v>
      </c>
      <c r="AK99" s="178" t="e">
        <f t="shared" si="28"/>
        <v>#N/A</v>
      </c>
      <c r="AL99" s="178" t="e">
        <f t="shared" si="29"/>
        <v>#N/A</v>
      </c>
      <c r="AM99" s="166" t="e">
        <f t="shared" si="30"/>
        <v>#N/A</v>
      </c>
      <c r="AN99" s="166" t="e">
        <f t="shared" si="31"/>
        <v>#N/A</v>
      </c>
    </row>
    <row r="100" spans="19:40" x14ac:dyDescent="0.45">
      <c r="S100" s="170">
        <f>'PubMatic Data'!A97</f>
        <v>46160</v>
      </c>
      <c r="T100" s="171">
        <f>'PubMatic Data'!B97</f>
        <v>9.91</v>
      </c>
      <c r="U100" s="171">
        <f>_xlfn.XLOOKUP(S100,'Trade Deck Data'!$A:$A,'Trade Deck Data'!$B:$B,NA())</f>
        <v>22.27</v>
      </c>
      <c r="V100" s="172">
        <f t="shared" si="16"/>
        <v>451400.49999999994</v>
      </c>
      <c r="W100" s="172">
        <f t="shared" si="17"/>
        <v>331429.49999999994</v>
      </c>
      <c r="X100" s="172">
        <f t="shared" si="18"/>
        <v>10529256</v>
      </c>
      <c r="Y100" s="172">
        <f t="shared" si="19"/>
        <v>9043923</v>
      </c>
      <c r="Z100" s="173">
        <f t="shared" si="20"/>
        <v>1.1461565329257242</v>
      </c>
      <c r="AA100" s="173">
        <f t="shared" si="21"/>
        <v>3.187409203528595</v>
      </c>
      <c r="AB100" s="173">
        <f t="shared" si="22"/>
        <v>5.4178163925850846</v>
      </c>
      <c r="AC100" s="173">
        <f t="shared" si="23"/>
        <v>15.424892550143266</v>
      </c>
      <c r="AD100" s="173">
        <f t="shared" si="24"/>
        <v>2.0412526706028711</v>
      </c>
      <c r="AE100" s="173">
        <f t="shared" si="25"/>
        <v>10.007076157558181</v>
      </c>
      <c r="AI100" s="178" t="e">
        <f t="shared" si="26"/>
        <v>#N/A</v>
      </c>
      <c r="AJ100" s="178" t="e">
        <f t="shared" si="27"/>
        <v>#N/A</v>
      </c>
      <c r="AK100" s="178" t="e">
        <f t="shared" si="28"/>
        <v>#N/A</v>
      </c>
      <c r="AL100" s="178" t="e">
        <f t="shared" si="29"/>
        <v>#N/A</v>
      </c>
      <c r="AM100" s="166" t="e">
        <f t="shared" si="30"/>
        <v>#N/A</v>
      </c>
      <c r="AN100" s="166" t="e">
        <f t="shared" si="31"/>
        <v>#N/A</v>
      </c>
    </row>
    <row r="101" spans="19:40" x14ac:dyDescent="0.45">
      <c r="S101" s="170">
        <f>'PubMatic Data'!A98</f>
        <v>46157</v>
      </c>
      <c r="T101" s="171">
        <f>'PubMatic Data'!B98</f>
        <v>9.7200000000000006</v>
      </c>
      <c r="U101" s="171">
        <f>_xlfn.XLOOKUP(S101,'Trade Deck Data'!$A:$A,'Trade Deck Data'!$B:$B,NA())</f>
        <v>21.15</v>
      </c>
      <c r="V101" s="172">
        <f t="shared" si="16"/>
        <v>442746</v>
      </c>
      <c r="W101" s="172">
        <f t="shared" si="17"/>
        <v>322775</v>
      </c>
      <c r="X101" s="172">
        <f t="shared" si="18"/>
        <v>9999720</v>
      </c>
      <c r="Y101" s="172">
        <f t="shared" si="19"/>
        <v>8514387</v>
      </c>
      <c r="Z101" s="173">
        <f t="shared" si="20"/>
        <v>1.1162273572965009</v>
      </c>
      <c r="AA101" s="173">
        <f t="shared" si="21"/>
        <v>3.0007813518761961</v>
      </c>
      <c r="AB101" s="173">
        <f t="shared" si="22"/>
        <v>5.2763428907705885</v>
      </c>
      <c r="AC101" s="173">
        <f t="shared" si="23"/>
        <v>14.521740687679083</v>
      </c>
      <c r="AD101" s="173">
        <f t="shared" si="24"/>
        <v>1.8845539945796952</v>
      </c>
      <c r="AE101" s="173">
        <f t="shared" si="25"/>
        <v>9.2453977969084953</v>
      </c>
      <c r="AI101" s="178" t="e">
        <f t="shared" si="26"/>
        <v>#N/A</v>
      </c>
      <c r="AJ101" s="178" t="e">
        <f t="shared" si="27"/>
        <v>#N/A</v>
      </c>
      <c r="AK101" s="178" t="e">
        <f t="shared" si="28"/>
        <v>#N/A</v>
      </c>
      <c r="AL101" s="178" t="e">
        <f t="shared" si="29"/>
        <v>#N/A</v>
      </c>
      <c r="AM101" s="166" t="e">
        <f t="shared" si="30"/>
        <v>#N/A</v>
      </c>
      <c r="AN101" s="166" t="e">
        <f t="shared" si="31"/>
        <v>#N/A</v>
      </c>
    </row>
    <row r="102" spans="19:40" x14ac:dyDescent="0.45">
      <c r="S102" s="170">
        <f>'PubMatic Data'!A99</f>
        <v>46156</v>
      </c>
      <c r="T102" s="171">
        <f>'PubMatic Data'!B99</f>
        <v>9.52</v>
      </c>
      <c r="U102" s="171">
        <f>_xlfn.XLOOKUP(S102,'Trade Deck Data'!$A:$A,'Trade Deck Data'!$B:$B,NA())</f>
        <v>20.41</v>
      </c>
      <c r="V102" s="172">
        <f t="shared" si="16"/>
        <v>433635.99999999994</v>
      </c>
      <c r="W102" s="172">
        <f t="shared" si="17"/>
        <v>313664.99999999994</v>
      </c>
      <c r="X102" s="172">
        <f t="shared" si="18"/>
        <v>9649848</v>
      </c>
      <c r="Y102" s="172">
        <f t="shared" si="19"/>
        <v>8164515</v>
      </c>
      <c r="Z102" s="173">
        <f t="shared" si="20"/>
        <v>1.0847229618973182</v>
      </c>
      <c r="AA102" s="173">
        <f t="shared" si="21"/>
        <v>2.8774736641772898</v>
      </c>
      <c r="AB102" s="173">
        <f t="shared" si="22"/>
        <v>5.1274234151763816</v>
      </c>
      <c r="AC102" s="173">
        <f t="shared" si="23"/>
        <v>13.925015349979533</v>
      </c>
      <c r="AD102" s="173">
        <f t="shared" si="24"/>
        <v>1.7927507022799716</v>
      </c>
      <c r="AE102" s="173">
        <f t="shared" si="25"/>
        <v>8.797591934803151</v>
      </c>
      <c r="AI102" s="178" t="e">
        <f t="shared" si="26"/>
        <v>#N/A</v>
      </c>
      <c r="AJ102" s="178" t="e">
        <f t="shared" si="27"/>
        <v>#N/A</v>
      </c>
      <c r="AK102" s="178" t="e">
        <f t="shared" si="28"/>
        <v>#N/A</v>
      </c>
      <c r="AL102" s="178" t="e">
        <f t="shared" si="29"/>
        <v>#N/A</v>
      </c>
      <c r="AM102" s="166" t="e">
        <f t="shared" si="30"/>
        <v>#N/A</v>
      </c>
      <c r="AN102" s="166" t="e">
        <f t="shared" si="31"/>
        <v>#N/A</v>
      </c>
    </row>
    <row r="103" spans="19:40" x14ac:dyDescent="0.45">
      <c r="S103" s="170">
        <f>'PubMatic Data'!A100</f>
        <v>46155</v>
      </c>
      <c r="T103" s="171">
        <f>'PubMatic Data'!B100</f>
        <v>9.48</v>
      </c>
      <c r="U103" s="171">
        <f>_xlfn.XLOOKUP(S103,'Trade Deck Data'!$A:$A,'Trade Deck Data'!$B:$B,NA())</f>
        <v>20.49</v>
      </c>
      <c r="V103" s="172">
        <f t="shared" si="16"/>
        <v>431813.99999999994</v>
      </c>
      <c r="W103" s="172">
        <f t="shared" si="17"/>
        <v>311842.99999999994</v>
      </c>
      <c r="X103" s="172">
        <f t="shared" si="18"/>
        <v>9687671.9999999981</v>
      </c>
      <c r="Y103" s="172">
        <f t="shared" si="19"/>
        <v>8202338.9999999981</v>
      </c>
      <c r="Z103" s="173">
        <f t="shared" si="20"/>
        <v>1.0784220828174818</v>
      </c>
      <c r="AA103" s="173">
        <f t="shared" si="21"/>
        <v>2.8908042250096031</v>
      </c>
      <c r="AB103" s="173">
        <f t="shared" si="22"/>
        <v>5.0976395200575402</v>
      </c>
      <c r="AC103" s="173">
        <f t="shared" si="23"/>
        <v>13.989526197298401</v>
      </c>
      <c r="AD103" s="173">
        <f t="shared" si="24"/>
        <v>1.8123821421921213</v>
      </c>
      <c r="AE103" s="173">
        <f t="shared" si="25"/>
        <v>8.891886677240862</v>
      </c>
      <c r="AI103" s="178" t="e">
        <f t="shared" si="26"/>
        <v>#N/A</v>
      </c>
      <c r="AJ103" s="178" t="e">
        <f t="shared" si="27"/>
        <v>#N/A</v>
      </c>
      <c r="AK103" s="178" t="e">
        <f t="shared" si="28"/>
        <v>#N/A</v>
      </c>
      <c r="AL103" s="178" t="e">
        <f t="shared" si="29"/>
        <v>#N/A</v>
      </c>
      <c r="AM103" s="166" t="e">
        <f t="shared" si="30"/>
        <v>#N/A</v>
      </c>
      <c r="AN103" s="166" t="e">
        <f t="shared" si="31"/>
        <v>#N/A</v>
      </c>
    </row>
    <row r="104" spans="19:40" x14ac:dyDescent="0.45">
      <c r="S104" s="170">
        <f>'PubMatic Data'!A101</f>
        <v>46154</v>
      </c>
      <c r="T104" s="171">
        <f>'PubMatic Data'!B101</f>
        <v>9.7799999999999994</v>
      </c>
      <c r="U104" s="171">
        <f>_xlfn.XLOOKUP(S104,'Trade Deck Data'!$A:$A,'Trade Deck Data'!$B:$B,NA())</f>
        <v>21.14</v>
      </c>
      <c r="V104" s="172">
        <f t="shared" si="16"/>
        <v>445478.99999999994</v>
      </c>
      <c r="W104" s="172">
        <f t="shared" si="17"/>
        <v>325507.99999999994</v>
      </c>
      <c r="X104" s="172">
        <f t="shared" si="18"/>
        <v>9994992</v>
      </c>
      <c r="Y104" s="172">
        <f t="shared" si="19"/>
        <v>8509659</v>
      </c>
      <c r="Z104" s="173">
        <f t="shared" si="20"/>
        <v>1.1256786759162556</v>
      </c>
      <c r="AA104" s="173">
        <f t="shared" si="21"/>
        <v>2.9991150317721567</v>
      </c>
      <c r="AB104" s="173">
        <f t="shared" si="22"/>
        <v>5.3210187334488497</v>
      </c>
      <c r="AC104" s="173">
        <f t="shared" si="23"/>
        <v>14.513676831764224</v>
      </c>
      <c r="AD104" s="173">
        <f t="shared" si="24"/>
        <v>1.8734363558559011</v>
      </c>
      <c r="AE104" s="173">
        <f t="shared" si="25"/>
        <v>9.1926580983153734</v>
      </c>
      <c r="AI104" s="178" t="e">
        <f t="shared" si="26"/>
        <v>#N/A</v>
      </c>
      <c r="AJ104" s="178" t="e">
        <f t="shared" si="27"/>
        <v>#N/A</v>
      </c>
      <c r="AK104" s="178" t="e">
        <f t="shared" si="28"/>
        <v>#N/A</v>
      </c>
      <c r="AL104" s="178" t="e">
        <f t="shared" si="29"/>
        <v>#N/A</v>
      </c>
      <c r="AM104" s="166" t="e">
        <f t="shared" si="30"/>
        <v>#N/A</v>
      </c>
      <c r="AN104" s="166" t="e">
        <f t="shared" si="31"/>
        <v>#N/A</v>
      </c>
    </row>
    <row r="105" spans="19:40" x14ac:dyDescent="0.45">
      <c r="S105" s="170">
        <f>'PubMatic Data'!A102</f>
        <v>46153</v>
      </c>
      <c r="T105" s="171">
        <f>'PubMatic Data'!B102</f>
        <v>9.8800000000000008</v>
      </c>
      <c r="U105" s="171">
        <f>_xlfn.XLOOKUP(S105,'Trade Deck Data'!$A:$A,'Trade Deck Data'!$B:$B,NA())</f>
        <v>21.52</v>
      </c>
      <c r="V105" s="172">
        <f t="shared" si="16"/>
        <v>450034</v>
      </c>
      <c r="W105" s="172">
        <f t="shared" si="17"/>
        <v>330063</v>
      </c>
      <c r="X105" s="172">
        <f t="shared" si="18"/>
        <v>10174656</v>
      </c>
      <c r="Y105" s="172">
        <f t="shared" si="19"/>
        <v>8689323</v>
      </c>
      <c r="Z105" s="173">
        <f t="shared" si="20"/>
        <v>1.1414308736158469</v>
      </c>
      <c r="AA105" s="173">
        <f t="shared" si="21"/>
        <v>3.0624351957256493</v>
      </c>
      <c r="AB105" s="173">
        <f t="shared" si="22"/>
        <v>5.395478471245954</v>
      </c>
      <c r="AC105" s="173">
        <f t="shared" si="23"/>
        <v>14.820103356528858</v>
      </c>
      <c r="AD105" s="173">
        <f t="shared" si="24"/>
        <v>1.9210043221098023</v>
      </c>
      <c r="AE105" s="173">
        <f t="shared" si="25"/>
        <v>9.4246248852829027</v>
      </c>
      <c r="AI105" s="178" t="e">
        <f t="shared" si="26"/>
        <v>#N/A</v>
      </c>
      <c r="AJ105" s="178" t="e">
        <f t="shared" si="27"/>
        <v>#N/A</v>
      </c>
      <c r="AK105" s="178" t="e">
        <f t="shared" si="28"/>
        <v>#N/A</v>
      </c>
      <c r="AL105" s="178" t="e">
        <f t="shared" si="29"/>
        <v>#N/A</v>
      </c>
      <c r="AM105" s="166" t="e">
        <f t="shared" si="30"/>
        <v>#N/A</v>
      </c>
      <c r="AN105" s="166" t="e">
        <f t="shared" si="31"/>
        <v>#N/A</v>
      </c>
    </row>
    <row r="106" spans="19:40" x14ac:dyDescent="0.45">
      <c r="S106" s="170">
        <f>'PubMatic Data'!A103</f>
        <v>46150</v>
      </c>
      <c r="T106" s="171">
        <f>'PubMatic Data'!B103</f>
        <v>10.74</v>
      </c>
      <c r="U106" s="171">
        <f>_xlfn.XLOOKUP(S106,'Trade Deck Data'!$A:$A,'Trade Deck Data'!$B:$B,NA())</f>
        <v>23.08</v>
      </c>
      <c r="V106" s="172">
        <f t="shared" si="16"/>
        <v>489207</v>
      </c>
      <c r="W106" s="172">
        <f t="shared" si="17"/>
        <v>369236</v>
      </c>
      <c r="X106" s="172">
        <f t="shared" si="18"/>
        <v>10912224</v>
      </c>
      <c r="Y106" s="172">
        <f t="shared" si="19"/>
        <v>9426891</v>
      </c>
      <c r="Z106" s="173">
        <f t="shared" si="20"/>
        <v>1.2768997738323316</v>
      </c>
      <c r="AA106" s="173">
        <f t="shared" si="21"/>
        <v>3.3223811319557761</v>
      </c>
      <c r="AB106" s="173">
        <f t="shared" si="22"/>
        <v>6.0358322163010429</v>
      </c>
      <c r="AC106" s="173">
        <f t="shared" si="23"/>
        <v>16.078064879246828</v>
      </c>
      <c r="AD106" s="173">
        <f t="shared" si="24"/>
        <v>2.0454813581234443</v>
      </c>
      <c r="AE106" s="173">
        <f t="shared" si="25"/>
        <v>10.042232662945786</v>
      </c>
      <c r="AI106" s="178" t="e">
        <f t="shared" si="26"/>
        <v>#N/A</v>
      </c>
      <c r="AJ106" s="178" t="e">
        <f t="shared" si="27"/>
        <v>#N/A</v>
      </c>
      <c r="AK106" s="178" t="e">
        <f t="shared" si="28"/>
        <v>#N/A</v>
      </c>
      <c r="AL106" s="178" t="e">
        <f t="shared" si="29"/>
        <v>#N/A</v>
      </c>
      <c r="AM106" s="166" t="e">
        <f t="shared" si="30"/>
        <v>#N/A</v>
      </c>
      <c r="AN106" s="166" t="e">
        <f t="shared" si="31"/>
        <v>#N/A</v>
      </c>
    </row>
    <row r="107" spans="19:40" x14ac:dyDescent="0.45">
      <c r="S107" s="170">
        <f>'PubMatic Data'!A104</f>
        <v>46149</v>
      </c>
      <c r="T107" s="171">
        <f>'PubMatic Data'!B104</f>
        <v>10.24</v>
      </c>
      <c r="U107" s="171">
        <f>_xlfn.XLOOKUP(S107,'Trade Deck Data'!$A:$A,'Trade Deck Data'!$B:$B,NA())</f>
        <v>23.49</v>
      </c>
      <c r="V107" s="172">
        <f t="shared" si="16"/>
        <v>466431.99999999994</v>
      </c>
      <c r="W107" s="172">
        <f t="shared" si="17"/>
        <v>346460.99999999994</v>
      </c>
      <c r="X107" s="172">
        <f t="shared" si="18"/>
        <v>11106072</v>
      </c>
      <c r="Y107" s="172">
        <f t="shared" si="19"/>
        <v>9620739</v>
      </c>
      <c r="Z107" s="173">
        <f t="shared" si="20"/>
        <v>1.1981387853343752</v>
      </c>
      <c r="AA107" s="173">
        <f t="shared" si="21"/>
        <v>3.3907002562213866</v>
      </c>
      <c r="AB107" s="173">
        <f t="shared" si="22"/>
        <v>5.6635335273155256</v>
      </c>
      <c r="AC107" s="173">
        <f t="shared" si="23"/>
        <v>16.408682971756036</v>
      </c>
      <c r="AD107" s="173">
        <f t="shared" si="24"/>
        <v>2.1925614708870116</v>
      </c>
      <c r="AE107" s="173">
        <f t="shared" si="25"/>
        <v>10.745149444440511</v>
      </c>
      <c r="AI107" s="178">
        <f t="shared" si="26"/>
        <v>1.1981387853343752</v>
      </c>
      <c r="AJ107" s="178">
        <f t="shared" si="27"/>
        <v>3.3907002562213866</v>
      </c>
      <c r="AK107" s="178">
        <f t="shared" si="28"/>
        <v>5.6635335273155256</v>
      </c>
      <c r="AL107" s="178">
        <f t="shared" si="29"/>
        <v>16.408682971756036</v>
      </c>
      <c r="AM107" s="166">
        <f t="shared" si="30"/>
        <v>10.24</v>
      </c>
      <c r="AN107" s="166">
        <f t="shared" si="31"/>
        <v>23.49</v>
      </c>
    </row>
    <row r="108" spans="19:40" x14ac:dyDescent="0.45">
      <c r="S108" s="170">
        <f>'PubMatic Data'!A105</f>
        <v>46148</v>
      </c>
      <c r="T108" s="171">
        <f>'PubMatic Data'!B105</f>
        <v>10.14</v>
      </c>
      <c r="U108" s="171">
        <f>_xlfn.XLOOKUP(S108,'Trade Deck Data'!$A:$A,'Trade Deck Data'!$B:$B,NA())</f>
        <v>24.01</v>
      </c>
      <c r="V108" s="172">
        <f t="shared" si="16"/>
        <v>461877</v>
      </c>
      <c r="W108" s="172">
        <f t="shared" si="17"/>
        <v>341906</v>
      </c>
      <c r="X108" s="172">
        <f t="shared" si="18"/>
        <v>11351928.000000002</v>
      </c>
      <c r="Y108" s="172">
        <f t="shared" si="19"/>
        <v>9866595.0000000019</v>
      </c>
      <c r="Z108" s="173">
        <f t="shared" si="20"/>
        <v>1.1823865876347841</v>
      </c>
      <c r="AA108" s="173">
        <f t="shared" si="21"/>
        <v>3.4773489016314296</v>
      </c>
      <c r="AB108" s="173">
        <f t="shared" si="22"/>
        <v>5.589073789518423</v>
      </c>
      <c r="AC108" s="173">
        <f t="shared" si="23"/>
        <v>16.828003479328697</v>
      </c>
      <c r="AD108" s="173">
        <f t="shared" si="24"/>
        <v>2.2949623139966455</v>
      </c>
      <c r="AE108" s="173">
        <f t="shared" si="25"/>
        <v>11.238929689810274</v>
      </c>
      <c r="AI108" s="178" t="e">
        <f t="shared" si="26"/>
        <v>#N/A</v>
      </c>
      <c r="AJ108" s="178" t="e">
        <f t="shared" si="27"/>
        <v>#N/A</v>
      </c>
      <c r="AK108" s="178" t="e">
        <f t="shared" si="28"/>
        <v>#N/A</v>
      </c>
      <c r="AL108" s="178" t="e">
        <f t="shared" si="29"/>
        <v>#N/A</v>
      </c>
      <c r="AM108" s="166" t="e">
        <f t="shared" si="30"/>
        <v>#N/A</v>
      </c>
      <c r="AN108" s="166" t="e">
        <f t="shared" si="31"/>
        <v>#N/A</v>
      </c>
    </row>
    <row r="109" spans="19:40" x14ac:dyDescent="0.45">
      <c r="S109" s="170">
        <f>'PubMatic Data'!A106</f>
        <v>46147</v>
      </c>
      <c r="T109" s="171">
        <f>'PubMatic Data'!B106</f>
        <v>10.4</v>
      </c>
      <c r="U109" s="171">
        <f>_xlfn.XLOOKUP(S109,'Trade Deck Data'!$A:$A,'Trade Deck Data'!$B:$B,NA())</f>
        <v>24.61</v>
      </c>
      <c r="V109" s="172">
        <f t="shared" si="16"/>
        <v>473719.99999999994</v>
      </c>
      <c r="W109" s="172">
        <f t="shared" si="17"/>
        <v>353748.99999999994</v>
      </c>
      <c r="X109" s="172">
        <f t="shared" si="18"/>
        <v>11635608</v>
      </c>
      <c r="Y109" s="172">
        <f t="shared" si="19"/>
        <v>10150275</v>
      </c>
      <c r="Z109" s="173">
        <f t="shared" si="20"/>
        <v>1.2233423016537213</v>
      </c>
      <c r="AA109" s="173">
        <f t="shared" si="21"/>
        <v>3.5773281078737855</v>
      </c>
      <c r="AB109" s="173">
        <f t="shared" si="22"/>
        <v>5.7826691077908903</v>
      </c>
      <c r="AC109" s="173">
        <f t="shared" si="23"/>
        <v>17.311834834220221</v>
      </c>
      <c r="AD109" s="173">
        <f t="shared" si="24"/>
        <v>2.3539858062200643</v>
      </c>
      <c r="AE109" s="173">
        <f t="shared" si="25"/>
        <v>11.52916572642933</v>
      </c>
      <c r="AI109" s="178" t="e">
        <f t="shared" si="26"/>
        <v>#N/A</v>
      </c>
      <c r="AJ109" s="178" t="e">
        <f t="shared" si="27"/>
        <v>#N/A</v>
      </c>
      <c r="AK109" s="178" t="e">
        <f t="shared" si="28"/>
        <v>#N/A</v>
      </c>
      <c r="AL109" s="178" t="e">
        <f t="shared" si="29"/>
        <v>#N/A</v>
      </c>
      <c r="AM109" s="166" t="e">
        <f t="shared" si="30"/>
        <v>#N/A</v>
      </c>
      <c r="AN109" s="166" t="e">
        <f t="shared" si="31"/>
        <v>#N/A</v>
      </c>
    </row>
    <row r="110" spans="19:40" x14ac:dyDescent="0.45">
      <c r="S110" s="170">
        <f>'PubMatic Data'!A107</f>
        <v>46146</v>
      </c>
      <c r="T110" s="171">
        <f>'PubMatic Data'!B107</f>
        <v>10.25</v>
      </c>
      <c r="U110" s="171">
        <f>_xlfn.XLOOKUP(S110,'Trade Deck Data'!$A:$A,'Trade Deck Data'!$B:$B,NA())</f>
        <v>24.1</v>
      </c>
      <c r="V110" s="172">
        <f t="shared" si="16"/>
        <v>466887.5</v>
      </c>
      <c r="W110" s="172">
        <f t="shared" si="17"/>
        <v>346916.5</v>
      </c>
      <c r="X110" s="172">
        <f t="shared" si="18"/>
        <v>11394480.000000002</v>
      </c>
      <c r="Y110" s="172">
        <f t="shared" si="19"/>
        <v>9909147.0000000019</v>
      </c>
      <c r="Z110" s="173">
        <f t="shared" si="20"/>
        <v>1.1997140051043345</v>
      </c>
      <c r="AA110" s="173">
        <f t="shared" si="21"/>
        <v>3.4923457825677828</v>
      </c>
      <c r="AB110" s="173">
        <f t="shared" si="22"/>
        <v>5.6709795010952364</v>
      </c>
      <c r="AC110" s="173">
        <f t="shared" si="23"/>
        <v>16.900578182562427</v>
      </c>
      <c r="AD110" s="173">
        <f t="shared" si="24"/>
        <v>2.2926317774634484</v>
      </c>
      <c r="AE110" s="173">
        <f t="shared" si="25"/>
        <v>11.229598681467191</v>
      </c>
      <c r="AI110" s="178" t="e">
        <f t="shared" si="26"/>
        <v>#N/A</v>
      </c>
      <c r="AJ110" s="178" t="e">
        <f t="shared" si="27"/>
        <v>#N/A</v>
      </c>
      <c r="AK110" s="178" t="e">
        <f t="shared" si="28"/>
        <v>#N/A</v>
      </c>
      <c r="AL110" s="178" t="e">
        <f t="shared" si="29"/>
        <v>#N/A</v>
      </c>
      <c r="AM110" s="166" t="e">
        <f t="shared" si="30"/>
        <v>#N/A</v>
      </c>
      <c r="AN110" s="166" t="e">
        <f t="shared" si="31"/>
        <v>#N/A</v>
      </c>
    </row>
    <row r="111" spans="19:40" x14ac:dyDescent="0.45">
      <c r="S111" s="170">
        <f>'PubMatic Data'!A108</f>
        <v>46143</v>
      </c>
      <c r="T111" s="171">
        <f>'PubMatic Data'!B108</f>
        <v>10.23</v>
      </c>
      <c r="U111" s="171">
        <f>_xlfn.XLOOKUP(S111,'Trade Deck Data'!$A:$A,'Trade Deck Data'!$B:$B,NA())</f>
        <v>24.24</v>
      </c>
      <c r="V111" s="172">
        <f t="shared" si="16"/>
        <v>465976.5</v>
      </c>
      <c r="W111" s="172">
        <f t="shared" si="17"/>
        <v>346005.5</v>
      </c>
      <c r="X111" s="172">
        <f t="shared" si="18"/>
        <v>11460671.999999998</v>
      </c>
      <c r="Y111" s="172">
        <f t="shared" si="19"/>
        <v>9975338.9999999981</v>
      </c>
      <c r="Z111" s="173">
        <f t="shared" si="20"/>
        <v>1.1965635655644162</v>
      </c>
      <c r="AA111" s="173">
        <f t="shared" si="21"/>
        <v>3.5156742640243315</v>
      </c>
      <c r="AB111" s="173">
        <f t="shared" si="22"/>
        <v>5.6560875535358157</v>
      </c>
      <c r="AC111" s="173">
        <f t="shared" si="23"/>
        <v>17.013472165370445</v>
      </c>
      <c r="AD111" s="173">
        <f t="shared" si="24"/>
        <v>2.319110698459915</v>
      </c>
      <c r="AE111" s="173">
        <f t="shared" si="25"/>
        <v>11.357384611834629</v>
      </c>
      <c r="AI111" s="178" t="e">
        <f t="shared" si="26"/>
        <v>#N/A</v>
      </c>
      <c r="AJ111" s="178" t="e">
        <f t="shared" si="27"/>
        <v>#N/A</v>
      </c>
      <c r="AK111" s="178" t="e">
        <f t="shared" si="28"/>
        <v>#N/A</v>
      </c>
      <c r="AL111" s="178" t="e">
        <f t="shared" si="29"/>
        <v>#N/A</v>
      </c>
      <c r="AM111" s="166" t="e">
        <f t="shared" si="30"/>
        <v>#N/A</v>
      </c>
      <c r="AN111" s="166" t="e">
        <f t="shared" si="31"/>
        <v>#N/A</v>
      </c>
    </row>
    <row r="112" spans="19:40" x14ac:dyDescent="0.45">
      <c r="S112" s="170">
        <f>'PubMatic Data'!A109</f>
        <v>46142</v>
      </c>
      <c r="T112" s="171">
        <f>'PubMatic Data'!B109</f>
        <v>9.7799999999999994</v>
      </c>
      <c r="U112" s="171">
        <f>_xlfn.XLOOKUP(S112,'Trade Deck Data'!$A:$A,'Trade Deck Data'!$B:$B,NA())</f>
        <v>23.59</v>
      </c>
      <c r="V112" s="172">
        <f t="shared" si="16"/>
        <v>445478.99999999994</v>
      </c>
      <c r="W112" s="172">
        <f t="shared" si="17"/>
        <v>325507.99999999994</v>
      </c>
      <c r="X112" s="172">
        <f t="shared" si="18"/>
        <v>11153352</v>
      </c>
      <c r="Y112" s="172">
        <f t="shared" si="19"/>
        <v>9668019</v>
      </c>
      <c r="Z112" s="173">
        <f t="shared" si="20"/>
        <v>1.1256786759162556</v>
      </c>
      <c r="AA112" s="173">
        <f t="shared" si="21"/>
        <v>3.4073634572617792</v>
      </c>
      <c r="AB112" s="173">
        <f t="shared" si="22"/>
        <v>5.3210187334488497</v>
      </c>
      <c r="AC112" s="173">
        <f t="shared" si="23"/>
        <v>16.489321530904625</v>
      </c>
      <c r="AD112" s="173">
        <f t="shared" si="24"/>
        <v>2.2816847813455237</v>
      </c>
      <c r="AE112" s="173">
        <f t="shared" si="25"/>
        <v>11.168302797455777</v>
      </c>
      <c r="AI112" s="178" t="e">
        <f t="shared" si="26"/>
        <v>#N/A</v>
      </c>
      <c r="AJ112" s="178" t="e">
        <f t="shared" si="27"/>
        <v>#N/A</v>
      </c>
      <c r="AK112" s="178" t="e">
        <f t="shared" si="28"/>
        <v>#N/A</v>
      </c>
      <c r="AL112" s="178" t="e">
        <f t="shared" si="29"/>
        <v>#N/A</v>
      </c>
      <c r="AM112" s="166" t="e">
        <f t="shared" si="30"/>
        <v>#N/A</v>
      </c>
      <c r="AN112" s="166" t="e">
        <f t="shared" si="31"/>
        <v>#N/A</v>
      </c>
    </row>
    <row r="113" spans="19:40" x14ac:dyDescent="0.45">
      <c r="S113" s="170">
        <f>'PubMatic Data'!A110</f>
        <v>46141</v>
      </c>
      <c r="T113" s="171">
        <f>'PubMatic Data'!B110</f>
        <v>9.7200000000000006</v>
      </c>
      <c r="U113" s="171">
        <f>_xlfn.XLOOKUP(S113,'Trade Deck Data'!$A:$A,'Trade Deck Data'!$B:$B,NA())</f>
        <v>24.37</v>
      </c>
      <c r="V113" s="172">
        <f t="shared" si="16"/>
        <v>442746</v>
      </c>
      <c r="W113" s="172">
        <f t="shared" si="17"/>
        <v>322775</v>
      </c>
      <c r="X113" s="172">
        <f t="shared" si="18"/>
        <v>11522136</v>
      </c>
      <c r="Y113" s="172">
        <f t="shared" si="19"/>
        <v>10036803</v>
      </c>
      <c r="Z113" s="173">
        <f t="shared" si="20"/>
        <v>1.1162273572965009</v>
      </c>
      <c r="AA113" s="173">
        <f t="shared" si="21"/>
        <v>3.5373364253768429</v>
      </c>
      <c r="AB113" s="173">
        <f t="shared" si="22"/>
        <v>5.2763428907705885</v>
      </c>
      <c r="AC113" s="173">
        <f t="shared" si="23"/>
        <v>17.118302292263611</v>
      </c>
      <c r="AD113" s="173">
        <f t="shared" si="24"/>
        <v>2.4211090680803418</v>
      </c>
      <c r="AE113" s="173">
        <f t="shared" si="25"/>
        <v>11.841959401493021</v>
      </c>
      <c r="AI113" s="178" t="e">
        <f t="shared" si="26"/>
        <v>#N/A</v>
      </c>
      <c r="AJ113" s="178" t="e">
        <f t="shared" si="27"/>
        <v>#N/A</v>
      </c>
      <c r="AK113" s="178" t="e">
        <f t="shared" si="28"/>
        <v>#N/A</v>
      </c>
      <c r="AL113" s="178" t="e">
        <f t="shared" si="29"/>
        <v>#N/A</v>
      </c>
      <c r="AM113" s="166" t="e">
        <f t="shared" si="30"/>
        <v>#N/A</v>
      </c>
      <c r="AN113" s="166" t="e">
        <f t="shared" si="31"/>
        <v>#N/A</v>
      </c>
    </row>
    <row r="114" spans="19:40" x14ac:dyDescent="0.45">
      <c r="S114" s="170">
        <f>'PubMatic Data'!A111</f>
        <v>46140</v>
      </c>
      <c r="T114" s="171">
        <f>'PubMatic Data'!B111</f>
        <v>9.7799999999999994</v>
      </c>
      <c r="U114" s="171">
        <f>_xlfn.XLOOKUP(S114,'Trade Deck Data'!$A:$A,'Trade Deck Data'!$B:$B,NA())</f>
        <v>23.23</v>
      </c>
      <c r="V114" s="172">
        <f t="shared" si="16"/>
        <v>445478.99999999994</v>
      </c>
      <c r="W114" s="172">
        <f t="shared" si="17"/>
        <v>325507.99999999994</v>
      </c>
      <c r="X114" s="172">
        <f t="shared" si="18"/>
        <v>10983144</v>
      </c>
      <c r="Y114" s="172">
        <f t="shared" si="19"/>
        <v>9497811</v>
      </c>
      <c r="Z114" s="173">
        <f t="shared" si="20"/>
        <v>1.1256786759162556</v>
      </c>
      <c r="AA114" s="173">
        <f t="shared" si="21"/>
        <v>3.3473759335163655</v>
      </c>
      <c r="AB114" s="173">
        <f t="shared" si="22"/>
        <v>5.3210187334488497</v>
      </c>
      <c r="AC114" s="173">
        <f t="shared" si="23"/>
        <v>16.199022717969708</v>
      </c>
      <c r="AD114" s="173">
        <f t="shared" si="24"/>
        <v>2.2216972576001099</v>
      </c>
      <c r="AE114" s="173">
        <f t="shared" si="25"/>
        <v>10.878003984520859</v>
      </c>
      <c r="AI114" s="178" t="e">
        <f t="shared" si="26"/>
        <v>#N/A</v>
      </c>
      <c r="AJ114" s="178" t="e">
        <f t="shared" si="27"/>
        <v>#N/A</v>
      </c>
      <c r="AK114" s="178" t="e">
        <f t="shared" si="28"/>
        <v>#N/A</v>
      </c>
      <c r="AL114" s="178" t="e">
        <f t="shared" si="29"/>
        <v>#N/A</v>
      </c>
      <c r="AM114" s="166" t="e">
        <f t="shared" si="30"/>
        <v>#N/A</v>
      </c>
      <c r="AN114" s="166" t="e">
        <f t="shared" si="31"/>
        <v>#N/A</v>
      </c>
    </row>
    <row r="115" spans="19:40" x14ac:dyDescent="0.45">
      <c r="S115" s="170">
        <f>'PubMatic Data'!A112</f>
        <v>46139</v>
      </c>
      <c r="T115" s="171">
        <f>'PubMatic Data'!B112</f>
        <v>9.73</v>
      </c>
      <c r="U115" s="171">
        <f>_xlfn.XLOOKUP(S115,'Trade Deck Data'!$A:$A,'Trade Deck Data'!$B:$B,NA())</f>
        <v>23.14</v>
      </c>
      <c r="V115" s="172">
        <f t="shared" si="16"/>
        <v>443201.5</v>
      </c>
      <c r="W115" s="172">
        <f t="shared" si="17"/>
        <v>323230.5</v>
      </c>
      <c r="X115" s="172">
        <f t="shared" si="18"/>
        <v>10940592</v>
      </c>
      <c r="Y115" s="172">
        <f t="shared" si="19"/>
        <v>9455259</v>
      </c>
      <c r="Z115" s="173">
        <f t="shared" si="20"/>
        <v>1.1178025770664601</v>
      </c>
      <c r="AA115" s="173">
        <f t="shared" si="21"/>
        <v>3.3323790525800119</v>
      </c>
      <c r="AB115" s="173">
        <f t="shared" si="22"/>
        <v>5.2837888645502993</v>
      </c>
      <c r="AC115" s="173">
        <f t="shared" si="23"/>
        <v>16.126448014735981</v>
      </c>
      <c r="AD115" s="173">
        <f t="shared" si="24"/>
        <v>2.2145764755135517</v>
      </c>
      <c r="AE115" s="173">
        <f t="shared" si="25"/>
        <v>10.842659150185682</v>
      </c>
      <c r="AI115" s="178" t="e">
        <f t="shared" si="26"/>
        <v>#N/A</v>
      </c>
      <c r="AJ115" s="178" t="e">
        <f t="shared" si="27"/>
        <v>#N/A</v>
      </c>
      <c r="AK115" s="178" t="e">
        <f t="shared" si="28"/>
        <v>#N/A</v>
      </c>
      <c r="AL115" s="178" t="e">
        <f t="shared" si="29"/>
        <v>#N/A</v>
      </c>
      <c r="AM115" s="166" t="e">
        <f t="shared" si="30"/>
        <v>#N/A</v>
      </c>
      <c r="AN115" s="166" t="e">
        <f t="shared" si="31"/>
        <v>#N/A</v>
      </c>
    </row>
    <row r="116" spans="19:40" x14ac:dyDescent="0.45">
      <c r="S116" s="170">
        <f>'PubMatic Data'!A113</f>
        <v>46136</v>
      </c>
      <c r="T116" s="171">
        <f>'PubMatic Data'!B113</f>
        <v>9.6199999999999992</v>
      </c>
      <c r="U116" s="171">
        <f>_xlfn.XLOOKUP(S116,'Trade Deck Data'!$A:$A,'Trade Deck Data'!$B:$B,NA())</f>
        <v>23.97</v>
      </c>
      <c r="V116" s="172">
        <f t="shared" si="16"/>
        <v>438190.99999999994</v>
      </c>
      <c r="W116" s="172">
        <f t="shared" si="17"/>
        <v>318219.99999999994</v>
      </c>
      <c r="X116" s="172">
        <f t="shared" si="18"/>
        <v>11333016</v>
      </c>
      <c r="Y116" s="172">
        <f t="shared" si="19"/>
        <v>9847683</v>
      </c>
      <c r="Z116" s="173">
        <f t="shared" si="20"/>
        <v>1.1004751595969096</v>
      </c>
      <c r="AA116" s="173">
        <f t="shared" si="21"/>
        <v>3.4706836212152719</v>
      </c>
      <c r="AB116" s="173">
        <f t="shared" si="22"/>
        <v>5.2018831529734841</v>
      </c>
      <c r="AC116" s="173">
        <f t="shared" si="23"/>
        <v>16.795748055669261</v>
      </c>
      <c r="AD116" s="173">
        <f t="shared" si="24"/>
        <v>2.3702084616183621</v>
      </c>
      <c r="AE116" s="173">
        <f t="shared" si="25"/>
        <v>11.593864902695778</v>
      </c>
      <c r="AI116" s="178" t="e">
        <f t="shared" si="26"/>
        <v>#N/A</v>
      </c>
      <c r="AJ116" s="178" t="e">
        <f t="shared" si="27"/>
        <v>#N/A</v>
      </c>
      <c r="AK116" s="178" t="e">
        <f t="shared" si="28"/>
        <v>#N/A</v>
      </c>
      <c r="AL116" s="178" t="e">
        <f t="shared" si="29"/>
        <v>#N/A</v>
      </c>
      <c r="AM116" s="166" t="e">
        <f t="shared" si="30"/>
        <v>#N/A</v>
      </c>
      <c r="AN116" s="166" t="e">
        <f t="shared" si="31"/>
        <v>#N/A</v>
      </c>
    </row>
    <row r="117" spans="19:40" x14ac:dyDescent="0.45">
      <c r="S117" s="170">
        <f>'PubMatic Data'!A114</f>
        <v>46135</v>
      </c>
      <c r="T117" s="171">
        <f>'PubMatic Data'!B114</f>
        <v>9.16</v>
      </c>
      <c r="U117" s="171">
        <f>_xlfn.XLOOKUP(S117,'Trade Deck Data'!$A:$A,'Trade Deck Data'!$B:$B,NA())</f>
        <v>22.62</v>
      </c>
      <c r="V117" s="172">
        <f t="shared" si="16"/>
        <v>417238</v>
      </c>
      <c r="W117" s="172">
        <f t="shared" si="17"/>
        <v>297267</v>
      </c>
      <c r="X117" s="172">
        <f t="shared" si="18"/>
        <v>10694736</v>
      </c>
      <c r="Y117" s="172">
        <f t="shared" si="19"/>
        <v>9209403</v>
      </c>
      <c r="Z117" s="173">
        <f t="shared" si="20"/>
        <v>1.0280150501787901</v>
      </c>
      <c r="AA117" s="173">
        <f t="shared" si="21"/>
        <v>3.2457304071699697</v>
      </c>
      <c r="AB117" s="173">
        <f t="shared" si="22"/>
        <v>4.85936835910681</v>
      </c>
      <c r="AC117" s="173">
        <f t="shared" si="23"/>
        <v>15.707127507163325</v>
      </c>
      <c r="AD117" s="173">
        <f t="shared" si="24"/>
        <v>2.2177153569911798</v>
      </c>
      <c r="AE117" s="173">
        <f t="shared" si="25"/>
        <v>10.847759148056515</v>
      </c>
      <c r="AI117" s="178" t="e">
        <f t="shared" si="26"/>
        <v>#N/A</v>
      </c>
      <c r="AJ117" s="178" t="e">
        <f t="shared" si="27"/>
        <v>#N/A</v>
      </c>
      <c r="AK117" s="178" t="e">
        <f t="shared" si="28"/>
        <v>#N/A</v>
      </c>
      <c r="AL117" s="178" t="e">
        <f t="shared" si="29"/>
        <v>#N/A</v>
      </c>
      <c r="AM117" s="166" t="e">
        <f t="shared" si="30"/>
        <v>#N/A</v>
      </c>
      <c r="AN117" s="166" t="e">
        <f t="shared" si="31"/>
        <v>#N/A</v>
      </c>
    </row>
    <row r="118" spans="19:40" x14ac:dyDescent="0.45">
      <c r="S118" s="170">
        <f>'PubMatic Data'!A115</f>
        <v>46134</v>
      </c>
      <c r="T118" s="171">
        <f>'PubMatic Data'!B115</f>
        <v>9.52</v>
      </c>
      <c r="U118" s="171">
        <f>_xlfn.XLOOKUP(S118,'Trade Deck Data'!$A:$A,'Trade Deck Data'!$B:$B,NA())</f>
        <v>23.56</v>
      </c>
      <c r="V118" s="172">
        <f t="shared" si="16"/>
        <v>433635.99999999994</v>
      </c>
      <c r="W118" s="172">
        <f t="shared" si="17"/>
        <v>313664.99999999994</v>
      </c>
      <c r="X118" s="172">
        <f t="shared" si="18"/>
        <v>11139168</v>
      </c>
      <c r="Y118" s="172">
        <f t="shared" si="19"/>
        <v>9653835</v>
      </c>
      <c r="Z118" s="173">
        <f t="shared" si="20"/>
        <v>1.0847229618973182</v>
      </c>
      <c r="AA118" s="173">
        <f t="shared" si="21"/>
        <v>3.4023644969496614</v>
      </c>
      <c r="AB118" s="173">
        <f t="shared" si="22"/>
        <v>5.1274234151763816</v>
      </c>
      <c r="AC118" s="173">
        <f t="shared" si="23"/>
        <v>16.465129963160049</v>
      </c>
      <c r="AD118" s="173">
        <f t="shared" si="24"/>
        <v>2.3176415350523429</v>
      </c>
      <c r="AE118" s="173">
        <f t="shared" si="25"/>
        <v>11.337706547983668</v>
      </c>
      <c r="AI118" s="178" t="e">
        <f t="shared" si="26"/>
        <v>#N/A</v>
      </c>
      <c r="AJ118" s="178" t="e">
        <f t="shared" si="27"/>
        <v>#N/A</v>
      </c>
      <c r="AK118" s="178" t="e">
        <f t="shared" si="28"/>
        <v>#N/A</v>
      </c>
      <c r="AL118" s="178" t="e">
        <f t="shared" si="29"/>
        <v>#N/A</v>
      </c>
      <c r="AM118" s="166" t="e">
        <f t="shared" si="30"/>
        <v>#N/A</v>
      </c>
      <c r="AN118" s="166" t="e">
        <f t="shared" si="31"/>
        <v>#N/A</v>
      </c>
    </row>
    <row r="119" spans="19:40" x14ac:dyDescent="0.45">
      <c r="S119" s="170">
        <f>'PubMatic Data'!A116</f>
        <v>46133</v>
      </c>
      <c r="T119" s="171">
        <f>'PubMatic Data'!B116</f>
        <v>9.4700000000000006</v>
      </c>
      <c r="U119" s="171">
        <f>_xlfn.XLOOKUP(S119,'Trade Deck Data'!$A:$A,'Trade Deck Data'!$B:$B,NA())</f>
        <v>23.2</v>
      </c>
      <c r="V119" s="172">
        <f t="shared" si="16"/>
        <v>431358.5</v>
      </c>
      <c r="W119" s="172">
        <f t="shared" si="17"/>
        <v>311387.5</v>
      </c>
      <c r="X119" s="172">
        <f t="shared" si="18"/>
        <v>10968960</v>
      </c>
      <c r="Y119" s="172">
        <f t="shared" si="19"/>
        <v>9483627</v>
      </c>
      <c r="Z119" s="173">
        <f t="shared" si="20"/>
        <v>1.076846863047523</v>
      </c>
      <c r="AA119" s="173">
        <f t="shared" si="21"/>
        <v>3.3423769732042476</v>
      </c>
      <c r="AB119" s="173">
        <f t="shared" si="22"/>
        <v>5.0901935462778303</v>
      </c>
      <c r="AC119" s="173">
        <f t="shared" si="23"/>
        <v>16.174831150225135</v>
      </c>
      <c r="AD119" s="173">
        <f t="shared" si="24"/>
        <v>2.2655301101567247</v>
      </c>
      <c r="AE119" s="173">
        <f t="shared" si="25"/>
        <v>11.084637603947304</v>
      </c>
      <c r="AI119" s="178" t="e">
        <f t="shared" si="26"/>
        <v>#N/A</v>
      </c>
      <c r="AJ119" s="178" t="e">
        <f t="shared" si="27"/>
        <v>#N/A</v>
      </c>
      <c r="AK119" s="178" t="e">
        <f t="shared" si="28"/>
        <v>#N/A</v>
      </c>
      <c r="AL119" s="178" t="e">
        <f t="shared" si="29"/>
        <v>#N/A</v>
      </c>
      <c r="AM119" s="166" t="e">
        <f t="shared" si="30"/>
        <v>#N/A</v>
      </c>
      <c r="AN119" s="166" t="e">
        <f t="shared" si="31"/>
        <v>#N/A</v>
      </c>
    </row>
    <row r="120" spans="19:40" x14ac:dyDescent="0.45">
      <c r="S120" s="170">
        <f>'PubMatic Data'!A117</f>
        <v>46132</v>
      </c>
      <c r="T120" s="171">
        <f>'PubMatic Data'!B117</f>
        <v>9.89</v>
      </c>
      <c r="U120" s="171">
        <f>_xlfn.XLOOKUP(S120,'Trade Deck Data'!$A:$A,'Trade Deck Data'!$B:$B,NA())</f>
        <v>24.05</v>
      </c>
      <c r="V120" s="172">
        <f t="shared" si="16"/>
        <v>450489.5</v>
      </c>
      <c r="W120" s="172">
        <f t="shared" si="17"/>
        <v>330518.5</v>
      </c>
      <c r="X120" s="172">
        <f t="shared" si="18"/>
        <v>11370840</v>
      </c>
      <c r="Y120" s="172">
        <f t="shared" si="19"/>
        <v>9885507</v>
      </c>
      <c r="Z120" s="173">
        <f t="shared" si="20"/>
        <v>1.1430060933858062</v>
      </c>
      <c r="AA120" s="173">
        <f t="shared" si="21"/>
        <v>3.4840141820475861</v>
      </c>
      <c r="AB120" s="173">
        <f t="shared" si="22"/>
        <v>5.4029244450256648</v>
      </c>
      <c r="AC120" s="173">
        <f t="shared" si="23"/>
        <v>16.860258902988129</v>
      </c>
      <c r="AD120" s="173">
        <f t="shared" si="24"/>
        <v>2.3410080886617797</v>
      </c>
      <c r="AE120" s="173">
        <f t="shared" si="25"/>
        <v>11.457334457962464</v>
      </c>
      <c r="AI120" s="178" t="e">
        <f t="shared" si="26"/>
        <v>#N/A</v>
      </c>
      <c r="AJ120" s="178" t="e">
        <f t="shared" si="27"/>
        <v>#N/A</v>
      </c>
      <c r="AK120" s="178" t="e">
        <f t="shared" si="28"/>
        <v>#N/A</v>
      </c>
      <c r="AL120" s="178" t="e">
        <f t="shared" si="29"/>
        <v>#N/A</v>
      </c>
      <c r="AM120" s="166" t="e">
        <f t="shared" si="30"/>
        <v>#N/A</v>
      </c>
      <c r="AN120" s="166" t="e">
        <f t="shared" si="31"/>
        <v>#N/A</v>
      </c>
    </row>
    <row r="121" spans="19:40" x14ac:dyDescent="0.45">
      <c r="S121" s="170">
        <f>'PubMatic Data'!A118</f>
        <v>46129</v>
      </c>
      <c r="T121" s="171">
        <f>'PubMatic Data'!B118</f>
        <v>9.81</v>
      </c>
      <c r="U121" s="171">
        <f>_xlfn.XLOOKUP(S121,'Trade Deck Data'!$A:$A,'Trade Deck Data'!$B:$B,NA())</f>
        <v>22.47</v>
      </c>
      <c r="V121" s="172">
        <f t="shared" si="16"/>
        <v>446845.5</v>
      </c>
      <c r="W121" s="172">
        <f t="shared" si="17"/>
        <v>326874.5</v>
      </c>
      <c r="X121" s="172">
        <f t="shared" si="18"/>
        <v>10623815.999999998</v>
      </c>
      <c r="Y121" s="172">
        <f t="shared" si="19"/>
        <v>9138482.9999999981</v>
      </c>
      <c r="Z121" s="173">
        <f t="shared" si="20"/>
        <v>1.130404335226133</v>
      </c>
      <c r="AA121" s="173">
        <f t="shared" si="21"/>
        <v>3.2207356056093799</v>
      </c>
      <c r="AB121" s="173">
        <f t="shared" si="22"/>
        <v>5.3433566547879821</v>
      </c>
      <c r="AC121" s="173">
        <f t="shared" si="23"/>
        <v>15.586169668440439</v>
      </c>
      <c r="AD121" s="173">
        <f t="shared" si="24"/>
        <v>2.0903312703832468</v>
      </c>
      <c r="AE121" s="173">
        <f t="shared" si="25"/>
        <v>10.242813013652457</v>
      </c>
      <c r="AI121" s="178" t="e">
        <f t="shared" si="26"/>
        <v>#N/A</v>
      </c>
      <c r="AJ121" s="178" t="e">
        <f t="shared" si="27"/>
        <v>#N/A</v>
      </c>
      <c r="AK121" s="178" t="e">
        <f t="shared" si="28"/>
        <v>#N/A</v>
      </c>
      <c r="AL121" s="178" t="e">
        <f t="shared" si="29"/>
        <v>#N/A</v>
      </c>
      <c r="AM121" s="166" t="e">
        <f t="shared" si="30"/>
        <v>#N/A</v>
      </c>
      <c r="AN121" s="166" t="e">
        <f t="shared" si="31"/>
        <v>#N/A</v>
      </c>
    </row>
    <row r="122" spans="19:40" x14ac:dyDescent="0.45">
      <c r="S122" s="170">
        <f>'PubMatic Data'!A119</f>
        <v>46128</v>
      </c>
      <c r="T122" s="171">
        <f>'PubMatic Data'!B119</f>
        <v>9.7899999999999991</v>
      </c>
      <c r="U122" s="171">
        <f>_xlfn.XLOOKUP(S122,'Trade Deck Data'!$A:$A,'Trade Deck Data'!$B:$B,NA())</f>
        <v>22.76</v>
      </c>
      <c r="V122" s="172">
        <f t="shared" si="16"/>
        <v>445934.49999999994</v>
      </c>
      <c r="W122" s="172">
        <f t="shared" si="17"/>
        <v>325963.49999999994</v>
      </c>
      <c r="X122" s="172">
        <f t="shared" si="18"/>
        <v>10760928.000000002</v>
      </c>
      <c r="Y122" s="172">
        <f t="shared" si="19"/>
        <v>9275595.0000000019</v>
      </c>
      <c r="Z122" s="173">
        <f t="shared" si="20"/>
        <v>1.1272538956862146</v>
      </c>
      <c r="AA122" s="173">
        <f t="shared" si="21"/>
        <v>3.2690588886265202</v>
      </c>
      <c r="AB122" s="173">
        <f t="shared" si="22"/>
        <v>5.3284647072285605</v>
      </c>
      <c r="AC122" s="173">
        <f t="shared" si="23"/>
        <v>15.820021489971349</v>
      </c>
      <c r="AD122" s="173">
        <f t="shared" si="24"/>
        <v>2.1418049929403056</v>
      </c>
      <c r="AE122" s="173">
        <f t="shared" si="25"/>
        <v>10.491556782742789</v>
      </c>
      <c r="AI122" s="178" t="e">
        <f t="shared" si="26"/>
        <v>#N/A</v>
      </c>
      <c r="AJ122" s="178" t="e">
        <f t="shared" si="27"/>
        <v>#N/A</v>
      </c>
      <c r="AK122" s="178" t="e">
        <f t="shared" si="28"/>
        <v>#N/A</v>
      </c>
      <c r="AL122" s="178" t="e">
        <f t="shared" si="29"/>
        <v>#N/A</v>
      </c>
      <c r="AM122" s="166" t="e">
        <f t="shared" si="30"/>
        <v>#N/A</v>
      </c>
      <c r="AN122" s="166" t="e">
        <f t="shared" si="31"/>
        <v>#N/A</v>
      </c>
    </row>
    <row r="123" spans="19:40" x14ac:dyDescent="0.45">
      <c r="S123" s="170">
        <f>'PubMatic Data'!A120</f>
        <v>46127</v>
      </c>
      <c r="T123" s="171">
        <f>'PubMatic Data'!B120</f>
        <v>9.69</v>
      </c>
      <c r="U123" s="171">
        <f>_xlfn.XLOOKUP(S123,'Trade Deck Data'!$A:$A,'Trade Deck Data'!$B:$B,NA())</f>
        <v>22.38</v>
      </c>
      <c r="V123" s="172">
        <f t="shared" si="16"/>
        <v>441379.49999999994</v>
      </c>
      <c r="W123" s="172">
        <f t="shared" si="17"/>
        <v>321408.49999999994</v>
      </c>
      <c r="X123" s="172">
        <f t="shared" si="18"/>
        <v>10581264</v>
      </c>
      <c r="Y123" s="172">
        <f t="shared" si="19"/>
        <v>9095931</v>
      </c>
      <c r="Z123" s="173">
        <f t="shared" si="20"/>
        <v>1.1115016979866235</v>
      </c>
      <c r="AA123" s="173">
        <f t="shared" si="21"/>
        <v>3.2057387246730271</v>
      </c>
      <c r="AB123" s="173">
        <f t="shared" si="22"/>
        <v>5.254004969431457</v>
      </c>
      <c r="AC123" s="173">
        <f t="shared" si="23"/>
        <v>15.513594965206712</v>
      </c>
      <c r="AD123" s="173">
        <f t="shared" si="24"/>
        <v>2.0942370266864039</v>
      </c>
      <c r="AE123" s="173">
        <f t="shared" si="25"/>
        <v>10.259589995775254</v>
      </c>
      <c r="AI123" s="178" t="e">
        <f t="shared" si="26"/>
        <v>#N/A</v>
      </c>
      <c r="AJ123" s="178" t="e">
        <f t="shared" si="27"/>
        <v>#N/A</v>
      </c>
      <c r="AK123" s="178" t="e">
        <f t="shared" si="28"/>
        <v>#N/A</v>
      </c>
      <c r="AL123" s="178" t="e">
        <f t="shared" si="29"/>
        <v>#N/A</v>
      </c>
      <c r="AM123" s="166" t="e">
        <f t="shared" si="30"/>
        <v>#N/A</v>
      </c>
      <c r="AN123" s="166" t="e">
        <f t="shared" si="31"/>
        <v>#N/A</v>
      </c>
    </row>
    <row r="124" spans="19:40" x14ac:dyDescent="0.45">
      <c r="S124" s="170">
        <f>'PubMatic Data'!A121</f>
        <v>46126</v>
      </c>
      <c r="T124" s="171">
        <f>'PubMatic Data'!B121</f>
        <v>8.7899999999999991</v>
      </c>
      <c r="U124" s="171">
        <f>_xlfn.XLOOKUP(S124,'Trade Deck Data'!$A:$A,'Trade Deck Data'!$B:$B,NA())</f>
        <v>21.02</v>
      </c>
      <c r="V124" s="172">
        <f t="shared" si="16"/>
        <v>400384.49999999994</v>
      </c>
      <c r="W124" s="172">
        <f t="shared" si="17"/>
        <v>280413.49999999994</v>
      </c>
      <c r="X124" s="172">
        <f t="shared" si="18"/>
        <v>9938256</v>
      </c>
      <c r="Y124" s="172">
        <f t="shared" si="19"/>
        <v>8452923</v>
      </c>
      <c r="Z124" s="173">
        <f t="shared" si="20"/>
        <v>0.96973191869030229</v>
      </c>
      <c r="AA124" s="173">
        <f t="shared" si="21"/>
        <v>2.9791191905236856</v>
      </c>
      <c r="AB124" s="173">
        <f t="shared" si="22"/>
        <v>4.5838673292575267</v>
      </c>
      <c r="AC124" s="173">
        <f t="shared" si="23"/>
        <v>14.416910560785919</v>
      </c>
      <c r="AD124" s="173">
        <f t="shared" si="24"/>
        <v>2.0093872718333832</v>
      </c>
      <c r="AE124" s="173">
        <f t="shared" si="25"/>
        <v>9.8330432315283929</v>
      </c>
      <c r="AI124" s="178" t="e">
        <f t="shared" si="26"/>
        <v>#N/A</v>
      </c>
      <c r="AJ124" s="178" t="e">
        <f t="shared" si="27"/>
        <v>#N/A</v>
      </c>
      <c r="AK124" s="178" t="e">
        <f t="shared" si="28"/>
        <v>#N/A</v>
      </c>
      <c r="AL124" s="178" t="e">
        <f t="shared" si="29"/>
        <v>#N/A</v>
      </c>
      <c r="AM124" s="166" t="e">
        <f t="shared" si="30"/>
        <v>#N/A</v>
      </c>
      <c r="AN124" s="166" t="e">
        <f t="shared" si="31"/>
        <v>#N/A</v>
      </c>
    </row>
    <row r="125" spans="19:40" x14ac:dyDescent="0.45">
      <c r="S125" s="170">
        <f>'PubMatic Data'!A122</f>
        <v>46125</v>
      </c>
      <c r="T125" s="171">
        <f>'PubMatic Data'!B122</f>
        <v>8.65</v>
      </c>
      <c r="U125" s="171">
        <f>_xlfn.XLOOKUP(S125,'Trade Deck Data'!$A:$A,'Trade Deck Data'!$B:$B,NA())</f>
        <v>21.22</v>
      </c>
      <c r="V125" s="172">
        <f t="shared" si="16"/>
        <v>394007.5</v>
      </c>
      <c r="W125" s="172">
        <f t="shared" si="17"/>
        <v>274036.5</v>
      </c>
      <c r="X125" s="172">
        <f t="shared" si="18"/>
        <v>10032815.999999998</v>
      </c>
      <c r="Y125" s="172">
        <f t="shared" si="19"/>
        <v>8547482.9999999981</v>
      </c>
      <c r="Z125" s="173">
        <f t="shared" si="20"/>
        <v>0.9476788419108747</v>
      </c>
      <c r="AA125" s="173">
        <f t="shared" si="21"/>
        <v>3.0124455926044704</v>
      </c>
      <c r="AB125" s="173">
        <f t="shared" si="22"/>
        <v>4.4796236963415828</v>
      </c>
      <c r="AC125" s="173">
        <f t="shared" si="23"/>
        <v>14.578187679083092</v>
      </c>
      <c r="AD125" s="173">
        <f t="shared" si="24"/>
        <v>2.0647667506935958</v>
      </c>
      <c r="AE125" s="173">
        <f t="shared" si="25"/>
        <v>10.09856398274151</v>
      </c>
      <c r="AI125" s="178" t="e">
        <f t="shared" si="26"/>
        <v>#N/A</v>
      </c>
      <c r="AJ125" s="178" t="e">
        <f t="shared" si="27"/>
        <v>#N/A</v>
      </c>
      <c r="AK125" s="178" t="e">
        <f t="shared" si="28"/>
        <v>#N/A</v>
      </c>
      <c r="AL125" s="178" t="e">
        <f t="shared" si="29"/>
        <v>#N/A</v>
      </c>
      <c r="AM125" s="166" t="e">
        <f t="shared" si="30"/>
        <v>#N/A</v>
      </c>
      <c r="AN125" s="166" t="e">
        <f t="shared" si="31"/>
        <v>#N/A</v>
      </c>
    </row>
    <row r="126" spans="19:40" x14ac:dyDescent="0.45">
      <c r="S126" s="170">
        <f>'PubMatic Data'!A123</f>
        <v>46122</v>
      </c>
      <c r="T126" s="171">
        <f>'PubMatic Data'!B123</f>
        <v>8.4700000000000006</v>
      </c>
      <c r="U126" s="171">
        <f>_xlfn.XLOOKUP(S126,'Trade Deck Data'!$A:$A,'Trade Deck Data'!$B:$B,NA())</f>
        <v>20.09</v>
      </c>
      <c r="V126" s="172">
        <f t="shared" si="16"/>
        <v>385808.5</v>
      </c>
      <c r="W126" s="172">
        <f t="shared" si="17"/>
        <v>265837.5</v>
      </c>
      <c r="X126" s="172">
        <f t="shared" si="18"/>
        <v>9498552</v>
      </c>
      <c r="Y126" s="172">
        <f t="shared" si="19"/>
        <v>8013219</v>
      </c>
      <c r="Z126" s="173">
        <f t="shared" si="20"/>
        <v>0.91932488605161045</v>
      </c>
      <c r="AA126" s="173">
        <f t="shared" si="21"/>
        <v>2.8241514208480329</v>
      </c>
      <c r="AB126" s="173">
        <f t="shared" si="22"/>
        <v>4.3455961683067974</v>
      </c>
      <c r="AC126" s="173">
        <f t="shared" si="23"/>
        <v>13.666971960704052</v>
      </c>
      <c r="AD126" s="173">
        <f t="shared" si="24"/>
        <v>1.9048265347964226</v>
      </c>
      <c r="AE126" s="173">
        <f t="shared" si="25"/>
        <v>9.3213757923972551</v>
      </c>
      <c r="AI126" s="178" t="e">
        <f t="shared" si="26"/>
        <v>#N/A</v>
      </c>
      <c r="AJ126" s="178" t="e">
        <f t="shared" si="27"/>
        <v>#N/A</v>
      </c>
      <c r="AK126" s="178" t="e">
        <f t="shared" si="28"/>
        <v>#N/A</v>
      </c>
      <c r="AL126" s="178" t="e">
        <f t="shared" si="29"/>
        <v>#N/A</v>
      </c>
      <c r="AM126" s="166" t="e">
        <f t="shared" si="30"/>
        <v>#N/A</v>
      </c>
      <c r="AN126" s="166" t="e">
        <f t="shared" si="31"/>
        <v>#N/A</v>
      </c>
    </row>
    <row r="127" spans="19:40" x14ac:dyDescent="0.45">
      <c r="S127" s="170">
        <f>'PubMatic Data'!A124</f>
        <v>46121</v>
      </c>
      <c r="T127" s="171">
        <f>'PubMatic Data'!B124</f>
        <v>8.4499999999999993</v>
      </c>
      <c r="U127" s="171">
        <f>_xlfn.XLOOKUP(S127,'Trade Deck Data'!$A:$A,'Trade Deck Data'!$B:$B,NA())</f>
        <v>20.61</v>
      </c>
      <c r="V127" s="172">
        <f t="shared" si="16"/>
        <v>384897.49999999994</v>
      </c>
      <c r="W127" s="172">
        <f t="shared" si="17"/>
        <v>264926.49999999994</v>
      </c>
      <c r="X127" s="172">
        <f t="shared" si="18"/>
        <v>9744408</v>
      </c>
      <c r="Y127" s="172">
        <f t="shared" si="19"/>
        <v>8259075</v>
      </c>
      <c r="Z127" s="173">
        <f t="shared" si="20"/>
        <v>0.916174446511692</v>
      </c>
      <c r="AA127" s="173">
        <f t="shared" si="21"/>
        <v>2.9108000662580751</v>
      </c>
      <c r="AB127" s="173">
        <f t="shared" si="22"/>
        <v>4.3307042207473758</v>
      </c>
      <c r="AC127" s="173">
        <f t="shared" si="23"/>
        <v>14.086292468276708</v>
      </c>
      <c r="AD127" s="173">
        <f t="shared" si="24"/>
        <v>1.9946256197463832</v>
      </c>
      <c r="AE127" s="173">
        <f t="shared" si="25"/>
        <v>9.7555882475293316</v>
      </c>
      <c r="AI127" s="178" t="e">
        <f t="shared" si="26"/>
        <v>#N/A</v>
      </c>
      <c r="AJ127" s="178" t="e">
        <f t="shared" si="27"/>
        <v>#N/A</v>
      </c>
      <c r="AK127" s="178" t="e">
        <f t="shared" si="28"/>
        <v>#N/A</v>
      </c>
      <c r="AL127" s="178" t="e">
        <f t="shared" si="29"/>
        <v>#N/A</v>
      </c>
      <c r="AM127" s="166" t="e">
        <f t="shared" si="30"/>
        <v>#N/A</v>
      </c>
      <c r="AN127" s="166" t="e">
        <f t="shared" si="31"/>
        <v>#N/A</v>
      </c>
    </row>
    <row r="128" spans="19:40" x14ac:dyDescent="0.45">
      <c r="S128" s="170">
        <f>'PubMatic Data'!A125</f>
        <v>46120</v>
      </c>
      <c r="T128" s="171">
        <f>'PubMatic Data'!B125</f>
        <v>8.41</v>
      </c>
      <c r="U128" s="171">
        <f>_xlfn.XLOOKUP(S128,'Trade Deck Data'!$A:$A,'Trade Deck Data'!$B:$B,NA())</f>
        <v>20.25</v>
      </c>
      <c r="V128" s="172">
        <f t="shared" si="16"/>
        <v>383075.5</v>
      </c>
      <c r="W128" s="172">
        <f t="shared" si="17"/>
        <v>263104.5</v>
      </c>
      <c r="X128" s="172">
        <f t="shared" si="18"/>
        <v>9574200</v>
      </c>
      <c r="Y128" s="172">
        <f t="shared" si="19"/>
        <v>8088867</v>
      </c>
      <c r="Z128" s="173">
        <f t="shared" si="20"/>
        <v>0.90987356743185577</v>
      </c>
      <c r="AA128" s="173">
        <f t="shared" si="21"/>
        <v>2.8508125425126614</v>
      </c>
      <c r="AB128" s="173">
        <f t="shared" si="22"/>
        <v>4.3009203256285353</v>
      </c>
      <c r="AC128" s="173">
        <f t="shared" si="23"/>
        <v>13.795993655341793</v>
      </c>
      <c r="AD128" s="173">
        <f t="shared" si="24"/>
        <v>1.9409389750808055</v>
      </c>
      <c r="AE128" s="173">
        <f t="shared" si="25"/>
        <v>9.4950733297132572</v>
      </c>
      <c r="AI128" s="178" t="e">
        <f t="shared" si="26"/>
        <v>#N/A</v>
      </c>
      <c r="AJ128" s="178" t="e">
        <f t="shared" si="27"/>
        <v>#N/A</v>
      </c>
      <c r="AK128" s="178" t="e">
        <f t="shared" si="28"/>
        <v>#N/A</v>
      </c>
      <c r="AL128" s="178" t="e">
        <f t="shared" si="29"/>
        <v>#N/A</v>
      </c>
      <c r="AM128" s="166" t="e">
        <f t="shared" si="30"/>
        <v>#N/A</v>
      </c>
      <c r="AN128" s="166" t="e">
        <f t="shared" si="31"/>
        <v>#N/A</v>
      </c>
    </row>
    <row r="129" spans="19:40" x14ac:dyDescent="0.45">
      <c r="S129" s="170">
        <f>'PubMatic Data'!A126</f>
        <v>46119</v>
      </c>
      <c r="T129" s="171">
        <f>'PubMatic Data'!B126</f>
        <v>8.49</v>
      </c>
      <c r="U129" s="171">
        <f>_xlfn.XLOOKUP(S129,'Trade Deck Data'!$A:$A,'Trade Deck Data'!$B:$B,NA())</f>
        <v>20.7</v>
      </c>
      <c r="V129" s="172">
        <f t="shared" si="16"/>
        <v>386719.5</v>
      </c>
      <c r="W129" s="172">
        <f t="shared" si="17"/>
        <v>266748.5</v>
      </c>
      <c r="X129" s="172">
        <f t="shared" si="18"/>
        <v>9786960</v>
      </c>
      <c r="Y129" s="172">
        <f t="shared" si="19"/>
        <v>8301627</v>
      </c>
      <c r="Z129" s="173">
        <f t="shared" si="20"/>
        <v>0.92247532559152878</v>
      </c>
      <c r="AA129" s="173">
        <f t="shared" si="21"/>
        <v>2.9257969471944287</v>
      </c>
      <c r="AB129" s="173">
        <f t="shared" si="22"/>
        <v>4.3604881158662181</v>
      </c>
      <c r="AC129" s="173">
        <f t="shared" si="23"/>
        <v>14.158867171510439</v>
      </c>
      <c r="AD129" s="173">
        <f t="shared" si="24"/>
        <v>2.0033216216028999</v>
      </c>
      <c r="AE129" s="173">
        <f t="shared" si="25"/>
        <v>9.7983790556442205</v>
      </c>
      <c r="AI129" s="178" t="e">
        <f t="shared" si="26"/>
        <v>#N/A</v>
      </c>
      <c r="AJ129" s="178" t="e">
        <f t="shared" si="27"/>
        <v>#N/A</v>
      </c>
      <c r="AK129" s="178" t="e">
        <f t="shared" si="28"/>
        <v>#N/A</v>
      </c>
      <c r="AL129" s="178" t="e">
        <f t="shared" si="29"/>
        <v>#N/A</v>
      </c>
      <c r="AM129" s="166" t="e">
        <f t="shared" si="30"/>
        <v>#N/A</v>
      </c>
      <c r="AN129" s="166" t="e">
        <f t="shared" si="31"/>
        <v>#N/A</v>
      </c>
    </row>
    <row r="130" spans="19:40" x14ac:dyDescent="0.45">
      <c r="S130" s="170">
        <f>'PubMatic Data'!A127</f>
        <v>46118</v>
      </c>
      <c r="T130" s="171">
        <f>'PubMatic Data'!B127</f>
        <v>8.5</v>
      </c>
      <c r="U130" s="171">
        <f>_xlfn.XLOOKUP(S130,'Trade Deck Data'!$A:$A,'Trade Deck Data'!$B:$B,NA())</f>
        <v>22.21</v>
      </c>
      <c r="V130" s="172">
        <f t="shared" si="16"/>
        <v>387174.99999999994</v>
      </c>
      <c r="W130" s="172">
        <f t="shared" si="17"/>
        <v>267203.99999999994</v>
      </c>
      <c r="X130" s="172">
        <f t="shared" si="18"/>
        <v>10500888</v>
      </c>
      <c r="Y130" s="172">
        <f t="shared" si="19"/>
        <v>9015555</v>
      </c>
      <c r="Z130" s="173">
        <f t="shared" si="20"/>
        <v>0.92405054536148767</v>
      </c>
      <c r="AA130" s="173">
        <f t="shared" si="21"/>
        <v>3.1774112829043593</v>
      </c>
      <c r="AB130" s="173">
        <f t="shared" si="22"/>
        <v>4.3679340896459271</v>
      </c>
      <c r="AC130" s="173">
        <f t="shared" si="23"/>
        <v>15.376509414654114</v>
      </c>
      <c r="AD130" s="173">
        <f t="shared" si="24"/>
        <v>2.2533607375428715</v>
      </c>
      <c r="AE130" s="173">
        <f t="shared" si="25"/>
        <v>11.008575325008188</v>
      </c>
      <c r="AI130" s="178" t="e">
        <f t="shared" si="26"/>
        <v>#N/A</v>
      </c>
      <c r="AJ130" s="178" t="e">
        <f t="shared" si="27"/>
        <v>#N/A</v>
      </c>
      <c r="AK130" s="178" t="e">
        <f t="shared" si="28"/>
        <v>#N/A</v>
      </c>
      <c r="AL130" s="178" t="e">
        <f t="shared" si="29"/>
        <v>#N/A</v>
      </c>
      <c r="AM130" s="166" t="e">
        <f t="shared" si="30"/>
        <v>#N/A</v>
      </c>
      <c r="AN130" s="166" t="e">
        <f t="shared" si="31"/>
        <v>#N/A</v>
      </c>
    </row>
    <row r="131" spans="19:40" x14ac:dyDescent="0.45">
      <c r="S131" s="170">
        <f>'PubMatic Data'!A128</f>
        <v>46114</v>
      </c>
      <c r="T131" s="171">
        <f>'PubMatic Data'!B128</f>
        <v>8.27</v>
      </c>
      <c r="U131" s="171">
        <f>_xlfn.XLOOKUP(S131,'Trade Deck Data'!$A:$A,'Trade Deck Data'!$B:$B,NA())</f>
        <v>22.05</v>
      </c>
      <c r="V131" s="172">
        <f t="shared" si="16"/>
        <v>376698.49999999994</v>
      </c>
      <c r="W131" s="172">
        <f t="shared" si="17"/>
        <v>256727.49999999994</v>
      </c>
      <c r="X131" s="172">
        <f t="shared" si="18"/>
        <v>10425240</v>
      </c>
      <c r="Y131" s="172">
        <f t="shared" si="19"/>
        <v>8939907</v>
      </c>
      <c r="Z131" s="173">
        <f t="shared" si="20"/>
        <v>0.88782049065242785</v>
      </c>
      <c r="AA131" s="173">
        <f t="shared" si="21"/>
        <v>3.1507501612397308</v>
      </c>
      <c r="AB131" s="173">
        <f t="shared" si="22"/>
        <v>4.1966766927125896</v>
      </c>
      <c r="AC131" s="173">
        <f t="shared" si="23"/>
        <v>15.247487720016373</v>
      </c>
      <c r="AD131" s="173">
        <f t="shared" si="24"/>
        <v>2.2629296705873028</v>
      </c>
      <c r="AE131" s="173">
        <f t="shared" si="25"/>
        <v>11.050811027303784</v>
      </c>
      <c r="AI131" s="178" t="e">
        <f t="shared" si="26"/>
        <v>#N/A</v>
      </c>
      <c r="AJ131" s="178" t="e">
        <f t="shared" si="27"/>
        <v>#N/A</v>
      </c>
      <c r="AK131" s="178" t="e">
        <f t="shared" si="28"/>
        <v>#N/A</v>
      </c>
      <c r="AL131" s="178" t="e">
        <f t="shared" si="29"/>
        <v>#N/A</v>
      </c>
      <c r="AM131" s="166" t="e">
        <f t="shared" si="30"/>
        <v>#N/A</v>
      </c>
      <c r="AN131" s="166" t="e">
        <f t="shared" si="31"/>
        <v>#N/A</v>
      </c>
    </row>
    <row r="132" spans="19:40" x14ac:dyDescent="0.45">
      <c r="S132" s="170">
        <f>'PubMatic Data'!A129</f>
        <v>46113</v>
      </c>
      <c r="T132" s="171">
        <f>'PubMatic Data'!B129</f>
        <v>8.2100000000000009</v>
      </c>
      <c r="U132" s="171">
        <f>_xlfn.XLOOKUP(S132,'Trade Deck Data'!$A:$A,'Trade Deck Data'!$B:$B,NA())</f>
        <v>21.98</v>
      </c>
      <c r="V132" s="172">
        <f t="shared" si="16"/>
        <v>373965.5</v>
      </c>
      <c r="W132" s="172">
        <f t="shared" si="17"/>
        <v>253994.5</v>
      </c>
      <c r="X132" s="172">
        <f t="shared" si="18"/>
        <v>10392144</v>
      </c>
      <c r="Y132" s="172">
        <f t="shared" si="19"/>
        <v>8906811</v>
      </c>
      <c r="Z132" s="173">
        <f t="shared" si="20"/>
        <v>0.87836917203267328</v>
      </c>
      <c r="AA132" s="173">
        <f t="shared" si="21"/>
        <v>3.1390859205114561</v>
      </c>
      <c r="AB132" s="173">
        <f t="shared" si="22"/>
        <v>4.1520008500343284</v>
      </c>
      <c r="AC132" s="173">
        <f t="shared" si="23"/>
        <v>15.191040728612363</v>
      </c>
      <c r="AD132" s="173">
        <f t="shared" si="24"/>
        <v>2.2607167484787829</v>
      </c>
      <c r="AE132" s="173">
        <f t="shared" si="25"/>
        <v>11.039039878578034</v>
      </c>
      <c r="AI132" s="178" t="e">
        <f t="shared" si="26"/>
        <v>#N/A</v>
      </c>
      <c r="AJ132" s="178" t="e">
        <f t="shared" si="27"/>
        <v>#N/A</v>
      </c>
      <c r="AK132" s="178" t="e">
        <f t="shared" si="28"/>
        <v>#N/A</v>
      </c>
      <c r="AL132" s="178" t="e">
        <f t="shared" si="29"/>
        <v>#N/A</v>
      </c>
      <c r="AM132" s="166" t="e">
        <f t="shared" si="30"/>
        <v>#N/A</v>
      </c>
      <c r="AN132" s="166" t="e">
        <f t="shared" si="31"/>
        <v>#N/A</v>
      </c>
    </row>
    <row r="133" spans="19:40" x14ac:dyDescent="0.45">
      <c r="S133" s="170">
        <f>'PubMatic Data'!A130</f>
        <v>46112</v>
      </c>
      <c r="T133" s="171">
        <f>'PubMatic Data'!B130</f>
        <v>8.18</v>
      </c>
      <c r="U133" s="171">
        <f>_xlfn.XLOOKUP(S133,'Trade Deck Data'!$A:$A,'Trade Deck Data'!$B:$B,NA())</f>
        <v>22.69</v>
      </c>
      <c r="V133" s="172">
        <f t="shared" si="16"/>
        <v>372599</v>
      </c>
      <c r="W133" s="172">
        <f t="shared" si="17"/>
        <v>252628</v>
      </c>
      <c r="X133" s="172">
        <f t="shared" si="18"/>
        <v>10727832</v>
      </c>
      <c r="Y133" s="172">
        <f t="shared" si="19"/>
        <v>9242499</v>
      </c>
      <c r="Z133" s="173">
        <f t="shared" si="20"/>
        <v>0.87364351272279595</v>
      </c>
      <c r="AA133" s="173">
        <f t="shared" si="21"/>
        <v>3.2573946478982445</v>
      </c>
      <c r="AB133" s="173">
        <f t="shared" si="22"/>
        <v>4.1296629286951969</v>
      </c>
      <c r="AC133" s="173">
        <f t="shared" si="23"/>
        <v>15.763574498567335</v>
      </c>
      <c r="AD133" s="173">
        <f t="shared" si="24"/>
        <v>2.3837511351754488</v>
      </c>
      <c r="AE133" s="173">
        <f t="shared" si="25"/>
        <v>11.633911569872138</v>
      </c>
      <c r="AI133" s="178" t="e">
        <f t="shared" si="26"/>
        <v>#N/A</v>
      </c>
      <c r="AJ133" s="178" t="e">
        <f t="shared" si="27"/>
        <v>#N/A</v>
      </c>
      <c r="AK133" s="178" t="e">
        <f t="shared" si="28"/>
        <v>#N/A</v>
      </c>
      <c r="AL133" s="178" t="e">
        <f t="shared" si="29"/>
        <v>#N/A</v>
      </c>
      <c r="AM133" s="166" t="e">
        <f t="shared" si="30"/>
        <v>#N/A</v>
      </c>
      <c r="AN133" s="166" t="e">
        <f t="shared" si="31"/>
        <v>#N/A</v>
      </c>
    </row>
    <row r="134" spans="19:40" x14ac:dyDescent="0.45">
      <c r="S134" s="170">
        <f>'PubMatic Data'!A131</f>
        <v>46111</v>
      </c>
      <c r="T134" s="171">
        <f>'PubMatic Data'!B131</f>
        <v>8.1199999999999992</v>
      </c>
      <c r="U134" s="171">
        <f>_xlfn.XLOOKUP(S134,'Trade Deck Data'!$A:$A,'Trade Deck Data'!$B:$B,NA())</f>
        <v>22.01</v>
      </c>
      <c r="V134" s="172">
        <f t="shared" ref="V134:V197" si="32">T134*$E$4*1000</f>
        <v>369865.99999999994</v>
      </c>
      <c r="W134" s="172">
        <f t="shared" ref="W134:W197" si="33">V134+$C$4-$D$4</f>
        <v>249894.99999999994</v>
      </c>
      <c r="X134" s="172">
        <f t="shared" ref="X134:X197" si="34">U134*$E$5*1000</f>
        <v>10406328.000000002</v>
      </c>
      <c r="Y134" s="172">
        <f t="shared" ref="Y134:Y197" si="35">X134+$C$5-$D$5</f>
        <v>8920995.0000000019</v>
      </c>
      <c r="Z134" s="173">
        <f t="shared" ref="Z134:Z197" si="36">W134/$P$4</f>
        <v>0.86419219410304093</v>
      </c>
      <c r="AA134" s="173">
        <f t="shared" ref="AA134:AA197" si="37">Y134/$P$5</f>
        <v>3.1440848808235744</v>
      </c>
      <c r="AB134" s="173">
        <f t="shared" ref="AB134:AB197" si="38">W134/$Q$4</f>
        <v>4.0849870860169339</v>
      </c>
      <c r="AC134" s="173">
        <f t="shared" ref="AC134:AC197" si="39">Y134/$Q$5</f>
        <v>15.215232296356941</v>
      </c>
      <c r="AD134" s="173">
        <f t="shared" ref="AD134:AD197" si="40">AA134-Z134</f>
        <v>2.2798926867205336</v>
      </c>
      <c r="AE134" s="173">
        <f t="shared" ref="AE134:AE197" si="41">AC134-AB134</f>
        <v>11.130245210340007</v>
      </c>
      <c r="AI134" s="178" t="e">
        <f t="shared" ref="AI134:AI197" si="42">IF(COUNTIFS($AP$4:$AP$20,"PUBM",$AR$4:$AR$20,$S134)&gt;0,Z134,NA())</f>
        <v>#N/A</v>
      </c>
      <c r="AJ134" s="178" t="e">
        <f t="shared" ref="AJ134:AJ197" si="43">IF(COUNTIFS($AP$4:$AP$20,"TTD",$AR$4:$AR$20,$S134)&gt;0,AA134,NA())</f>
        <v>#N/A</v>
      </c>
      <c r="AK134" s="178" t="e">
        <f t="shared" ref="AK134:AK197" si="44">IF(COUNTIFS($AP$4:$AP$20,"PUBM",$AR$4:$AR$20,$S134)&gt;0,AB134,NA())</f>
        <v>#N/A</v>
      </c>
      <c r="AL134" s="178" t="e">
        <f t="shared" ref="AL134:AL197" si="45">IF(COUNTIFS($AP$4:$AP$20,"TTD",$AR$4:$AR$20,$S134)&gt;0,AC134,NA())</f>
        <v>#N/A</v>
      </c>
      <c r="AM134" s="166" t="e">
        <f t="shared" ref="AM134:AM197" si="46">IF(COUNTIFS($AP$4:$AP$20,"PUBM",$AR$4:$AR$20,$S134)&gt;0,T134,NA())</f>
        <v>#N/A</v>
      </c>
      <c r="AN134" s="166" t="e">
        <f t="shared" ref="AN134:AN197" si="47">IF(COUNTIFS($AP$4:$AP$20,"TTD",$AR$4:$AR$20,$S134)&gt;0,U134,NA())</f>
        <v>#N/A</v>
      </c>
    </row>
    <row r="135" spans="19:40" x14ac:dyDescent="0.45">
      <c r="S135" s="170">
        <f>'PubMatic Data'!A132</f>
        <v>46108</v>
      </c>
      <c r="T135" s="171">
        <f>'PubMatic Data'!B132</f>
        <v>8.19</v>
      </c>
      <c r="U135" s="171">
        <f>_xlfn.XLOOKUP(S135,'Trade Deck Data'!$A:$A,'Trade Deck Data'!$B:$B,NA())</f>
        <v>21.28</v>
      </c>
      <c r="V135" s="172">
        <f t="shared" si="32"/>
        <v>373054.49999999994</v>
      </c>
      <c r="W135" s="172">
        <f t="shared" si="33"/>
        <v>253083.49999999994</v>
      </c>
      <c r="X135" s="172">
        <f t="shared" si="34"/>
        <v>10061184.000000002</v>
      </c>
      <c r="Y135" s="172">
        <f t="shared" si="35"/>
        <v>8575851.0000000019</v>
      </c>
      <c r="Z135" s="173">
        <f t="shared" si="36"/>
        <v>0.87521873249275484</v>
      </c>
      <c r="AA135" s="173">
        <f t="shared" si="37"/>
        <v>3.0224435132287075</v>
      </c>
      <c r="AB135" s="173">
        <f t="shared" si="38"/>
        <v>4.1371089024749068</v>
      </c>
      <c r="AC135" s="173">
        <f t="shared" si="39"/>
        <v>14.626570814572251</v>
      </c>
      <c r="AD135" s="173">
        <f t="shared" si="40"/>
        <v>2.1472247807359528</v>
      </c>
      <c r="AE135" s="173">
        <f t="shared" si="41"/>
        <v>10.489461912097344</v>
      </c>
      <c r="AI135" s="178" t="e">
        <f t="shared" si="42"/>
        <v>#N/A</v>
      </c>
      <c r="AJ135" s="178" t="e">
        <f t="shared" si="43"/>
        <v>#N/A</v>
      </c>
      <c r="AK135" s="178" t="e">
        <f t="shared" si="44"/>
        <v>#N/A</v>
      </c>
      <c r="AL135" s="178" t="e">
        <f t="shared" si="45"/>
        <v>#N/A</v>
      </c>
      <c r="AM135" s="166" t="e">
        <f t="shared" si="46"/>
        <v>#N/A</v>
      </c>
      <c r="AN135" s="166" t="e">
        <f t="shared" si="47"/>
        <v>#N/A</v>
      </c>
    </row>
    <row r="136" spans="19:40" x14ac:dyDescent="0.45">
      <c r="S136" s="170">
        <f>'PubMatic Data'!A133</f>
        <v>46107</v>
      </c>
      <c r="T136" s="171">
        <f>'PubMatic Data'!B133</f>
        <v>8.31</v>
      </c>
      <c r="U136" s="171">
        <f>_xlfn.XLOOKUP(S136,'Trade Deck Data'!$A:$A,'Trade Deck Data'!$B:$B,NA())</f>
        <v>21.74</v>
      </c>
      <c r="V136" s="172">
        <f t="shared" si="32"/>
        <v>378520.5</v>
      </c>
      <c r="W136" s="172">
        <f t="shared" si="33"/>
        <v>258549.5</v>
      </c>
      <c r="X136" s="172">
        <f t="shared" si="34"/>
        <v>10278671.999999998</v>
      </c>
      <c r="Y136" s="172">
        <f t="shared" si="35"/>
        <v>8793338.9999999981</v>
      </c>
      <c r="Z136" s="173">
        <f t="shared" si="36"/>
        <v>0.89412136973226453</v>
      </c>
      <c r="AA136" s="173">
        <f t="shared" si="37"/>
        <v>3.0990942380145126</v>
      </c>
      <c r="AB136" s="173">
        <f t="shared" si="38"/>
        <v>4.2264605878314319</v>
      </c>
      <c r="AC136" s="173">
        <f t="shared" si="39"/>
        <v>14.997508186655748</v>
      </c>
      <c r="AD136" s="173">
        <f t="shared" si="40"/>
        <v>2.204972868282248</v>
      </c>
      <c r="AE136" s="173">
        <f t="shared" si="41"/>
        <v>10.771047598824318</v>
      </c>
      <c r="AI136" s="178" t="e">
        <f t="shared" si="42"/>
        <v>#N/A</v>
      </c>
      <c r="AJ136" s="178" t="e">
        <f t="shared" si="43"/>
        <v>#N/A</v>
      </c>
      <c r="AK136" s="178" t="e">
        <f t="shared" si="44"/>
        <v>#N/A</v>
      </c>
      <c r="AL136" s="178" t="e">
        <f t="shared" si="45"/>
        <v>#N/A</v>
      </c>
      <c r="AM136" s="166" t="e">
        <f t="shared" si="46"/>
        <v>#N/A</v>
      </c>
      <c r="AN136" s="166" t="e">
        <f t="shared" si="47"/>
        <v>#N/A</v>
      </c>
    </row>
    <row r="137" spans="19:40" x14ac:dyDescent="0.45">
      <c r="S137" s="170">
        <f>'PubMatic Data'!A134</f>
        <v>46106</v>
      </c>
      <c r="T137" s="171">
        <f>'PubMatic Data'!B134</f>
        <v>8.11</v>
      </c>
      <c r="U137" s="171">
        <f>_xlfn.XLOOKUP(S137,'Trade Deck Data'!$A:$A,'Trade Deck Data'!$B:$B,NA())</f>
        <v>21.97</v>
      </c>
      <c r="V137" s="172">
        <f t="shared" si="32"/>
        <v>369410.49999999994</v>
      </c>
      <c r="W137" s="172">
        <f t="shared" si="33"/>
        <v>249439.49999999994</v>
      </c>
      <c r="X137" s="172">
        <f t="shared" si="34"/>
        <v>10387416</v>
      </c>
      <c r="Y137" s="172">
        <f t="shared" si="35"/>
        <v>8902083</v>
      </c>
      <c r="Z137" s="173">
        <f t="shared" si="36"/>
        <v>0.86261697433308182</v>
      </c>
      <c r="AA137" s="173">
        <f t="shared" si="37"/>
        <v>3.1374196004074166</v>
      </c>
      <c r="AB137" s="173">
        <f t="shared" si="38"/>
        <v>4.077541112237224</v>
      </c>
      <c r="AC137" s="173">
        <f t="shared" si="39"/>
        <v>15.182976872697504</v>
      </c>
      <c r="AD137" s="173">
        <f t="shared" si="40"/>
        <v>2.2748026260743348</v>
      </c>
      <c r="AE137" s="173">
        <f t="shared" si="41"/>
        <v>11.10543576046028</v>
      </c>
      <c r="AI137" s="178" t="e">
        <f t="shared" si="42"/>
        <v>#N/A</v>
      </c>
      <c r="AJ137" s="178" t="e">
        <f t="shared" si="43"/>
        <v>#N/A</v>
      </c>
      <c r="AK137" s="178" t="e">
        <f t="shared" si="44"/>
        <v>#N/A</v>
      </c>
      <c r="AL137" s="178" t="e">
        <f t="shared" si="45"/>
        <v>#N/A</v>
      </c>
      <c r="AM137" s="166" t="e">
        <f t="shared" si="46"/>
        <v>#N/A</v>
      </c>
      <c r="AN137" s="166" t="e">
        <f t="shared" si="47"/>
        <v>#N/A</v>
      </c>
    </row>
    <row r="138" spans="19:40" x14ac:dyDescent="0.45">
      <c r="S138" s="170">
        <f>'PubMatic Data'!A135</f>
        <v>46105</v>
      </c>
      <c r="T138" s="171">
        <f>'PubMatic Data'!B135</f>
        <v>8</v>
      </c>
      <c r="U138" s="171">
        <f>_xlfn.XLOOKUP(S138,'Trade Deck Data'!$A:$A,'Trade Deck Data'!$B:$B,NA())</f>
        <v>22.34</v>
      </c>
      <c r="V138" s="172">
        <f t="shared" si="32"/>
        <v>364400</v>
      </c>
      <c r="W138" s="172">
        <f t="shared" si="33"/>
        <v>244429</v>
      </c>
      <c r="X138" s="172">
        <f t="shared" si="34"/>
        <v>10562352</v>
      </c>
      <c r="Y138" s="172">
        <f t="shared" si="35"/>
        <v>9077019</v>
      </c>
      <c r="Z138" s="173">
        <f t="shared" si="36"/>
        <v>0.84528955686353169</v>
      </c>
      <c r="AA138" s="173">
        <f t="shared" si="37"/>
        <v>3.1990734442568698</v>
      </c>
      <c r="AB138" s="173">
        <f t="shared" si="38"/>
        <v>3.9956354006604111</v>
      </c>
      <c r="AC138" s="173">
        <f t="shared" si="39"/>
        <v>15.481339541547278</v>
      </c>
      <c r="AD138" s="173">
        <f t="shared" si="40"/>
        <v>2.3537838873933383</v>
      </c>
      <c r="AE138" s="173">
        <f t="shared" si="41"/>
        <v>11.485704140886867</v>
      </c>
      <c r="AI138" s="178" t="e">
        <f t="shared" si="42"/>
        <v>#N/A</v>
      </c>
      <c r="AJ138" s="178" t="e">
        <f t="shared" si="43"/>
        <v>#N/A</v>
      </c>
      <c r="AK138" s="178" t="e">
        <f t="shared" si="44"/>
        <v>#N/A</v>
      </c>
      <c r="AL138" s="178" t="e">
        <f t="shared" si="45"/>
        <v>#N/A</v>
      </c>
      <c r="AM138" s="166" t="e">
        <f t="shared" si="46"/>
        <v>#N/A</v>
      </c>
      <c r="AN138" s="166" t="e">
        <f t="shared" si="47"/>
        <v>#N/A</v>
      </c>
    </row>
    <row r="139" spans="19:40" x14ac:dyDescent="0.45">
      <c r="S139" s="170">
        <f>'PubMatic Data'!A136</f>
        <v>46104</v>
      </c>
      <c r="T139" s="171">
        <f>'PubMatic Data'!B136</f>
        <v>8.07</v>
      </c>
      <c r="U139" s="171">
        <f>_xlfn.XLOOKUP(S139,'Trade Deck Data'!$A:$A,'Trade Deck Data'!$B:$B,NA())</f>
        <v>23.95</v>
      </c>
      <c r="V139" s="172">
        <f t="shared" si="32"/>
        <v>367588.5</v>
      </c>
      <c r="W139" s="172">
        <f t="shared" si="33"/>
        <v>247617.5</v>
      </c>
      <c r="X139" s="172">
        <f t="shared" si="34"/>
        <v>11323560</v>
      </c>
      <c r="Y139" s="172">
        <f t="shared" si="35"/>
        <v>9838227</v>
      </c>
      <c r="Z139" s="173">
        <f t="shared" si="36"/>
        <v>0.85631609525324559</v>
      </c>
      <c r="AA139" s="173">
        <f t="shared" si="37"/>
        <v>3.4673509810071934</v>
      </c>
      <c r="AB139" s="173">
        <f t="shared" si="38"/>
        <v>4.0477572171183835</v>
      </c>
      <c r="AC139" s="173">
        <f t="shared" si="39"/>
        <v>16.779620343839543</v>
      </c>
      <c r="AD139" s="173">
        <f t="shared" si="40"/>
        <v>2.6110348857539476</v>
      </c>
      <c r="AE139" s="173">
        <f t="shared" si="41"/>
        <v>12.731863126721159</v>
      </c>
      <c r="AI139" s="178" t="e">
        <f t="shared" si="42"/>
        <v>#N/A</v>
      </c>
      <c r="AJ139" s="178" t="e">
        <f t="shared" si="43"/>
        <v>#N/A</v>
      </c>
      <c r="AK139" s="178" t="e">
        <f t="shared" si="44"/>
        <v>#N/A</v>
      </c>
      <c r="AL139" s="178" t="e">
        <f t="shared" si="45"/>
        <v>#N/A</v>
      </c>
      <c r="AM139" s="166" t="e">
        <f t="shared" si="46"/>
        <v>#N/A</v>
      </c>
      <c r="AN139" s="166" t="e">
        <f t="shared" si="47"/>
        <v>#N/A</v>
      </c>
    </row>
    <row r="140" spans="19:40" x14ac:dyDescent="0.45">
      <c r="S140" s="170">
        <f>'PubMatic Data'!A137</f>
        <v>46101</v>
      </c>
      <c r="T140" s="171">
        <f>'PubMatic Data'!B137</f>
        <v>7.9850000000000003</v>
      </c>
      <c r="U140" s="171">
        <f>_xlfn.XLOOKUP(S140,'Trade Deck Data'!$A:$A,'Trade Deck Data'!$B:$B,NA())</f>
        <v>24.11</v>
      </c>
      <c r="V140" s="172">
        <f t="shared" si="32"/>
        <v>363716.75</v>
      </c>
      <c r="W140" s="172">
        <f t="shared" si="33"/>
        <v>243745.75</v>
      </c>
      <c r="X140" s="172">
        <f t="shared" si="34"/>
        <v>11399208</v>
      </c>
      <c r="Y140" s="172">
        <f t="shared" si="35"/>
        <v>9913875</v>
      </c>
      <c r="Z140" s="173">
        <f t="shared" si="36"/>
        <v>0.84292672720859296</v>
      </c>
      <c r="AA140" s="173">
        <f t="shared" si="37"/>
        <v>3.4940121026718218</v>
      </c>
      <c r="AB140" s="173">
        <f t="shared" si="38"/>
        <v>3.9844664399908458</v>
      </c>
      <c r="AC140" s="173">
        <f t="shared" si="39"/>
        <v>16.908642038477282</v>
      </c>
      <c r="AD140" s="173">
        <f t="shared" si="40"/>
        <v>2.6510853754632286</v>
      </c>
      <c r="AE140" s="173">
        <f t="shared" si="41"/>
        <v>12.924175598486435</v>
      </c>
      <c r="AI140" s="178" t="e">
        <f t="shared" si="42"/>
        <v>#N/A</v>
      </c>
      <c r="AJ140" s="178" t="e">
        <f t="shared" si="43"/>
        <v>#N/A</v>
      </c>
      <c r="AK140" s="178" t="e">
        <f t="shared" si="44"/>
        <v>#N/A</v>
      </c>
      <c r="AL140" s="178" t="e">
        <f t="shared" si="45"/>
        <v>#N/A</v>
      </c>
      <c r="AM140" s="166" t="e">
        <f t="shared" si="46"/>
        <v>#N/A</v>
      </c>
      <c r="AN140" s="166" t="e">
        <f t="shared" si="47"/>
        <v>#N/A</v>
      </c>
    </row>
    <row r="141" spans="19:40" x14ac:dyDescent="0.45">
      <c r="S141" s="170">
        <f>'PubMatic Data'!A138</f>
        <v>46100</v>
      </c>
      <c r="T141" s="171">
        <f>'PubMatic Data'!B138</f>
        <v>8.07</v>
      </c>
      <c r="U141" s="171">
        <f>_xlfn.XLOOKUP(S141,'Trade Deck Data'!$A:$A,'Trade Deck Data'!$B:$B,NA())</f>
        <v>23.51</v>
      </c>
      <c r="V141" s="172">
        <f t="shared" si="32"/>
        <v>367588.5</v>
      </c>
      <c r="W141" s="172">
        <f t="shared" si="33"/>
        <v>247617.5</v>
      </c>
      <c r="X141" s="172">
        <f t="shared" si="34"/>
        <v>11115528</v>
      </c>
      <c r="Y141" s="172">
        <f t="shared" si="35"/>
        <v>9630195</v>
      </c>
      <c r="Z141" s="173">
        <f t="shared" si="36"/>
        <v>0.85631609525324559</v>
      </c>
      <c r="AA141" s="173">
        <f t="shared" si="37"/>
        <v>3.394032896429465</v>
      </c>
      <c r="AB141" s="173">
        <f t="shared" si="38"/>
        <v>4.0477572171183835</v>
      </c>
      <c r="AC141" s="173">
        <f t="shared" si="39"/>
        <v>16.424810683585754</v>
      </c>
      <c r="AD141" s="173">
        <f t="shared" si="40"/>
        <v>2.5377168011762192</v>
      </c>
      <c r="AE141" s="173">
        <f t="shared" si="41"/>
        <v>12.37705346646737</v>
      </c>
      <c r="AI141" s="178" t="e">
        <f t="shared" si="42"/>
        <v>#N/A</v>
      </c>
      <c r="AJ141" s="178" t="e">
        <f t="shared" si="43"/>
        <v>#N/A</v>
      </c>
      <c r="AK141" s="178" t="e">
        <f t="shared" si="44"/>
        <v>#N/A</v>
      </c>
      <c r="AL141" s="178" t="e">
        <f t="shared" si="45"/>
        <v>#N/A</v>
      </c>
      <c r="AM141" s="166" t="e">
        <f t="shared" si="46"/>
        <v>#N/A</v>
      </c>
      <c r="AN141" s="166" t="e">
        <f t="shared" si="47"/>
        <v>#N/A</v>
      </c>
    </row>
    <row r="142" spans="19:40" x14ac:dyDescent="0.45">
      <c r="S142" s="170">
        <f>'PubMatic Data'!A139</f>
        <v>46099</v>
      </c>
      <c r="T142" s="171">
        <f>'PubMatic Data'!B139</f>
        <v>8.11</v>
      </c>
      <c r="U142" s="171">
        <f>_xlfn.XLOOKUP(S142,'Trade Deck Data'!$A:$A,'Trade Deck Data'!$B:$B,NA())</f>
        <v>23.55</v>
      </c>
      <c r="V142" s="172">
        <f t="shared" si="32"/>
        <v>369410.49999999994</v>
      </c>
      <c r="W142" s="172">
        <f t="shared" si="33"/>
        <v>249439.49999999994</v>
      </c>
      <c r="X142" s="172">
        <f t="shared" si="34"/>
        <v>11134440</v>
      </c>
      <c r="Y142" s="172">
        <f t="shared" si="35"/>
        <v>9649107</v>
      </c>
      <c r="Z142" s="173">
        <f t="shared" si="36"/>
        <v>0.86261697433308182</v>
      </c>
      <c r="AA142" s="173">
        <f t="shared" si="37"/>
        <v>3.4006981768456224</v>
      </c>
      <c r="AB142" s="173">
        <f t="shared" si="38"/>
        <v>4.077541112237224</v>
      </c>
      <c r="AC142" s="173">
        <f t="shared" si="39"/>
        <v>16.45706610724519</v>
      </c>
      <c r="AD142" s="173">
        <f t="shared" si="40"/>
        <v>2.5380812025125405</v>
      </c>
      <c r="AE142" s="173">
        <f t="shared" si="41"/>
        <v>12.379524995007966</v>
      </c>
      <c r="AI142" s="178" t="e">
        <f t="shared" si="42"/>
        <v>#N/A</v>
      </c>
      <c r="AJ142" s="178" t="e">
        <f t="shared" si="43"/>
        <v>#N/A</v>
      </c>
      <c r="AK142" s="178" t="e">
        <f t="shared" si="44"/>
        <v>#N/A</v>
      </c>
      <c r="AL142" s="178" t="e">
        <f t="shared" si="45"/>
        <v>#N/A</v>
      </c>
      <c r="AM142" s="166" t="e">
        <f t="shared" si="46"/>
        <v>#N/A</v>
      </c>
      <c r="AN142" s="166" t="e">
        <f t="shared" si="47"/>
        <v>#N/A</v>
      </c>
    </row>
    <row r="143" spans="19:40" x14ac:dyDescent="0.45">
      <c r="S143" s="170">
        <f>'PubMatic Data'!A140</f>
        <v>46098</v>
      </c>
      <c r="T143" s="171">
        <f>'PubMatic Data'!B140</f>
        <v>8.17</v>
      </c>
      <c r="U143" s="171">
        <f>_xlfn.XLOOKUP(S143,'Trade Deck Data'!$A:$A,'Trade Deck Data'!$B:$B,NA())</f>
        <v>25.07</v>
      </c>
      <c r="V143" s="172">
        <f t="shared" si="32"/>
        <v>372143.49999999994</v>
      </c>
      <c r="W143" s="172">
        <f t="shared" si="33"/>
        <v>252172.49999999994</v>
      </c>
      <c r="X143" s="172">
        <f t="shared" si="34"/>
        <v>11853096</v>
      </c>
      <c r="Y143" s="172">
        <f t="shared" si="35"/>
        <v>10367763</v>
      </c>
      <c r="Z143" s="173">
        <f t="shared" si="36"/>
        <v>0.87206829295283661</v>
      </c>
      <c r="AA143" s="173">
        <f t="shared" si="37"/>
        <v>3.6539788326595919</v>
      </c>
      <c r="AB143" s="173">
        <f t="shared" si="38"/>
        <v>4.1222169549154861</v>
      </c>
      <c r="AC143" s="173">
        <f t="shared" si="39"/>
        <v>17.682772206303724</v>
      </c>
      <c r="AD143" s="173">
        <f t="shared" si="40"/>
        <v>2.7819105397067552</v>
      </c>
      <c r="AE143" s="173">
        <f t="shared" si="41"/>
        <v>13.560555251388237</v>
      </c>
      <c r="AI143" s="178" t="e">
        <f t="shared" si="42"/>
        <v>#N/A</v>
      </c>
      <c r="AJ143" s="178" t="e">
        <f t="shared" si="43"/>
        <v>#N/A</v>
      </c>
      <c r="AK143" s="178" t="e">
        <f t="shared" si="44"/>
        <v>#N/A</v>
      </c>
      <c r="AL143" s="178" t="e">
        <f t="shared" si="45"/>
        <v>#N/A</v>
      </c>
      <c r="AM143" s="166" t="e">
        <f t="shared" si="46"/>
        <v>#N/A</v>
      </c>
      <c r="AN143" s="166" t="e">
        <f t="shared" si="47"/>
        <v>#N/A</v>
      </c>
    </row>
    <row r="144" spans="19:40" x14ac:dyDescent="0.45">
      <c r="S144" s="170">
        <f>'PubMatic Data'!A141</f>
        <v>46097</v>
      </c>
      <c r="T144" s="171">
        <f>'PubMatic Data'!B141</f>
        <v>8.19</v>
      </c>
      <c r="U144" s="171">
        <f>_xlfn.XLOOKUP(S144,'Trade Deck Data'!$A:$A,'Trade Deck Data'!$B:$B,NA())</f>
        <v>27.08</v>
      </c>
      <c r="V144" s="172">
        <f t="shared" si="32"/>
        <v>373054.49999999994</v>
      </c>
      <c r="W144" s="172">
        <f t="shared" si="33"/>
        <v>253083.49999999994</v>
      </c>
      <c r="X144" s="172">
        <f t="shared" si="34"/>
        <v>12803424</v>
      </c>
      <c r="Y144" s="172">
        <f t="shared" si="35"/>
        <v>11318091</v>
      </c>
      <c r="Z144" s="173">
        <f t="shared" si="36"/>
        <v>0.87521873249275484</v>
      </c>
      <c r="AA144" s="173">
        <f t="shared" si="37"/>
        <v>3.9889091735714866</v>
      </c>
      <c r="AB144" s="173">
        <f t="shared" si="38"/>
        <v>4.1371089024749068</v>
      </c>
      <c r="AC144" s="173">
        <f t="shared" si="39"/>
        <v>19.303607245190339</v>
      </c>
      <c r="AD144" s="173">
        <f t="shared" si="40"/>
        <v>3.1136904410787318</v>
      </c>
      <c r="AE144" s="173">
        <f t="shared" si="41"/>
        <v>15.166498342715432</v>
      </c>
      <c r="AI144" s="178" t="e">
        <f t="shared" si="42"/>
        <v>#N/A</v>
      </c>
      <c r="AJ144" s="178" t="e">
        <f t="shared" si="43"/>
        <v>#N/A</v>
      </c>
      <c r="AK144" s="178" t="e">
        <f t="shared" si="44"/>
        <v>#N/A</v>
      </c>
      <c r="AL144" s="178" t="e">
        <f t="shared" si="45"/>
        <v>#N/A</v>
      </c>
      <c r="AM144" s="166" t="e">
        <f t="shared" si="46"/>
        <v>#N/A</v>
      </c>
      <c r="AN144" s="166" t="e">
        <f t="shared" si="47"/>
        <v>#N/A</v>
      </c>
    </row>
    <row r="145" spans="19:40" x14ac:dyDescent="0.45">
      <c r="S145" s="170">
        <f>'PubMatic Data'!A142</f>
        <v>46094</v>
      </c>
      <c r="T145" s="171">
        <f>'PubMatic Data'!B142</f>
        <v>8.0299999999999994</v>
      </c>
      <c r="U145" s="171">
        <f>_xlfn.XLOOKUP(S145,'Trade Deck Data'!$A:$A,'Trade Deck Data'!$B:$B,NA())</f>
        <v>27.34</v>
      </c>
      <c r="V145" s="172">
        <f t="shared" si="32"/>
        <v>365766.49999999994</v>
      </c>
      <c r="W145" s="172">
        <f t="shared" si="33"/>
        <v>245795.49999999994</v>
      </c>
      <c r="X145" s="172">
        <f t="shared" si="34"/>
        <v>12926352</v>
      </c>
      <c r="Y145" s="172">
        <f t="shared" si="35"/>
        <v>11441019</v>
      </c>
      <c r="Z145" s="173">
        <f t="shared" si="36"/>
        <v>0.85001521617340881</v>
      </c>
      <c r="AA145" s="173">
        <f t="shared" si="37"/>
        <v>4.0322334962765076</v>
      </c>
      <c r="AB145" s="173">
        <f t="shared" si="38"/>
        <v>4.0179733219995413</v>
      </c>
      <c r="AC145" s="173">
        <f t="shared" si="39"/>
        <v>19.513267498976667</v>
      </c>
      <c r="AD145" s="173">
        <f t="shared" si="40"/>
        <v>3.1822182801030987</v>
      </c>
      <c r="AE145" s="173">
        <f t="shared" si="41"/>
        <v>15.495294176977126</v>
      </c>
      <c r="AI145" s="178" t="e">
        <f t="shared" si="42"/>
        <v>#N/A</v>
      </c>
      <c r="AJ145" s="178" t="e">
        <f t="shared" si="43"/>
        <v>#N/A</v>
      </c>
      <c r="AK145" s="178" t="e">
        <f t="shared" si="44"/>
        <v>#N/A</v>
      </c>
      <c r="AL145" s="178" t="e">
        <f t="shared" si="45"/>
        <v>#N/A</v>
      </c>
      <c r="AM145" s="166" t="e">
        <f t="shared" si="46"/>
        <v>#N/A</v>
      </c>
      <c r="AN145" s="166" t="e">
        <f t="shared" si="47"/>
        <v>#N/A</v>
      </c>
    </row>
    <row r="146" spans="19:40" x14ac:dyDescent="0.45">
      <c r="S146" s="170">
        <f>'PubMatic Data'!A143</f>
        <v>46093</v>
      </c>
      <c r="T146" s="171">
        <f>'PubMatic Data'!B143</f>
        <v>8.11</v>
      </c>
      <c r="U146" s="171">
        <f>_xlfn.XLOOKUP(S146,'Trade Deck Data'!$A:$A,'Trade Deck Data'!$B:$B,NA())</f>
        <v>26.524999999999999</v>
      </c>
      <c r="V146" s="172">
        <f t="shared" si="32"/>
        <v>369410.49999999994</v>
      </c>
      <c r="W146" s="172">
        <f t="shared" si="33"/>
        <v>249439.49999999994</v>
      </c>
      <c r="X146" s="172">
        <f t="shared" si="34"/>
        <v>12541020</v>
      </c>
      <c r="Y146" s="172">
        <f t="shared" si="35"/>
        <v>11055687</v>
      </c>
      <c r="Z146" s="173">
        <f t="shared" si="36"/>
        <v>0.86261697433308182</v>
      </c>
      <c r="AA146" s="173">
        <f t="shared" si="37"/>
        <v>3.8964284077973068</v>
      </c>
      <c r="AB146" s="173">
        <f t="shared" si="38"/>
        <v>4.077541112237224</v>
      </c>
      <c r="AC146" s="173">
        <f t="shared" si="39"/>
        <v>18.856063241915678</v>
      </c>
      <c r="AD146" s="173">
        <f t="shared" si="40"/>
        <v>3.033811433464225</v>
      </c>
      <c r="AE146" s="173">
        <f t="shared" si="41"/>
        <v>14.778522129678453</v>
      </c>
      <c r="AI146" s="178" t="e">
        <f t="shared" si="42"/>
        <v>#N/A</v>
      </c>
      <c r="AJ146" s="178" t="e">
        <f t="shared" si="43"/>
        <v>#N/A</v>
      </c>
      <c r="AK146" s="178" t="e">
        <f t="shared" si="44"/>
        <v>#N/A</v>
      </c>
      <c r="AL146" s="178" t="e">
        <f t="shared" si="45"/>
        <v>#N/A</v>
      </c>
      <c r="AM146" s="166" t="e">
        <f t="shared" si="46"/>
        <v>#N/A</v>
      </c>
      <c r="AN146" s="166" t="e">
        <f t="shared" si="47"/>
        <v>#N/A</v>
      </c>
    </row>
    <row r="147" spans="19:40" x14ac:dyDescent="0.45">
      <c r="S147" s="170">
        <f>'PubMatic Data'!A144</f>
        <v>46092</v>
      </c>
      <c r="T147" s="171">
        <f>'PubMatic Data'!B144</f>
        <v>8.42</v>
      </c>
      <c r="U147" s="171">
        <f>_xlfn.XLOOKUP(S147,'Trade Deck Data'!$A:$A,'Trade Deck Data'!$B:$B,NA())</f>
        <v>27.28</v>
      </c>
      <c r="V147" s="172">
        <f t="shared" si="32"/>
        <v>383530.99999999994</v>
      </c>
      <c r="W147" s="172">
        <f t="shared" si="33"/>
        <v>263559.99999999994</v>
      </c>
      <c r="X147" s="172">
        <f t="shared" si="34"/>
        <v>12897984</v>
      </c>
      <c r="Y147" s="172">
        <f t="shared" si="35"/>
        <v>11412651</v>
      </c>
      <c r="Z147" s="173">
        <f t="shared" si="36"/>
        <v>0.91144878720181466</v>
      </c>
      <c r="AA147" s="173">
        <f t="shared" si="37"/>
        <v>4.0222355756522719</v>
      </c>
      <c r="AB147" s="173">
        <f t="shared" si="38"/>
        <v>4.3083662994082443</v>
      </c>
      <c r="AC147" s="173">
        <f t="shared" si="39"/>
        <v>19.464884363487517</v>
      </c>
      <c r="AD147" s="173">
        <f t="shared" si="40"/>
        <v>3.110786788450457</v>
      </c>
      <c r="AE147" s="173">
        <f t="shared" si="41"/>
        <v>15.156518064079272</v>
      </c>
      <c r="AI147" s="178" t="e">
        <f t="shared" si="42"/>
        <v>#N/A</v>
      </c>
      <c r="AJ147" s="178" t="e">
        <f t="shared" si="43"/>
        <v>#N/A</v>
      </c>
      <c r="AK147" s="178" t="e">
        <f t="shared" si="44"/>
        <v>#N/A</v>
      </c>
      <c r="AL147" s="178" t="e">
        <f t="shared" si="45"/>
        <v>#N/A</v>
      </c>
      <c r="AM147" s="166" t="e">
        <f t="shared" si="46"/>
        <v>#N/A</v>
      </c>
      <c r="AN147" s="166" t="e">
        <f t="shared" si="47"/>
        <v>#N/A</v>
      </c>
    </row>
    <row r="148" spans="19:40" x14ac:dyDescent="0.45">
      <c r="S148" s="170">
        <f>'PubMatic Data'!A145</f>
        <v>46091</v>
      </c>
      <c r="T148" s="171">
        <f>'PubMatic Data'!B145</f>
        <v>8.5</v>
      </c>
      <c r="U148" s="171">
        <f>_xlfn.XLOOKUP(S148,'Trade Deck Data'!$A:$A,'Trade Deck Data'!$B:$B,NA())</f>
        <v>27.66</v>
      </c>
      <c r="V148" s="172">
        <f t="shared" si="32"/>
        <v>387174.99999999994</v>
      </c>
      <c r="W148" s="172">
        <f t="shared" si="33"/>
        <v>267203.99999999994</v>
      </c>
      <c r="X148" s="172">
        <f t="shared" si="34"/>
        <v>13077648.000000002</v>
      </c>
      <c r="Y148" s="172">
        <f t="shared" si="35"/>
        <v>11592315.000000002</v>
      </c>
      <c r="Z148" s="173">
        <f t="shared" si="36"/>
        <v>0.92405054536148767</v>
      </c>
      <c r="AA148" s="173">
        <f t="shared" si="37"/>
        <v>4.0855557396057653</v>
      </c>
      <c r="AB148" s="173">
        <f t="shared" si="38"/>
        <v>4.3679340896459271</v>
      </c>
      <c r="AC148" s="173">
        <f t="shared" si="39"/>
        <v>19.771310888252152</v>
      </c>
      <c r="AD148" s="173">
        <f t="shared" si="40"/>
        <v>3.1615051942442776</v>
      </c>
      <c r="AE148" s="173">
        <f t="shared" si="41"/>
        <v>15.403376798606224</v>
      </c>
      <c r="AI148" s="178" t="e">
        <f t="shared" si="42"/>
        <v>#N/A</v>
      </c>
      <c r="AJ148" s="178" t="e">
        <f t="shared" si="43"/>
        <v>#N/A</v>
      </c>
      <c r="AK148" s="178" t="e">
        <f t="shared" si="44"/>
        <v>#N/A</v>
      </c>
      <c r="AL148" s="178" t="e">
        <f t="shared" si="45"/>
        <v>#N/A</v>
      </c>
      <c r="AM148" s="166" t="e">
        <f t="shared" si="46"/>
        <v>#N/A</v>
      </c>
      <c r="AN148" s="166" t="e">
        <f t="shared" si="47"/>
        <v>#N/A</v>
      </c>
    </row>
    <row r="149" spans="19:40" x14ac:dyDescent="0.45">
      <c r="S149" s="170">
        <f>'PubMatic Data'!A146</f>
        <v>46090</v>
      </c>
      <c r="T149" s="171">
        <f>'PubMatic Data'!B146</f>
        <v>8.8000000000000007</v>
      </c>
      <c r="U149" s="171">
        <f>_xlfn.XLOOKUP(S149,'Trade Deck Data'!$A:$A,'Trade Deck Data'!$B:$B,NA())</f>
        <v>28.56</v>
      </c>
      <c r="V149" s="172">
        <f t="shared" si="32"/>
        <v>400840.00000000006</v>
      </c>
      <c r="W149" s="172">
        <f t="shared" si="33"/>
        <v>280869.00000000006</v>
      </c>
      <c r="X149" s="172">
        <f t="shared" si="34"/>
        <v>13503168</v>
      </c>
      <c r="Y149" s="172">
        <f t="shared" si="35"/>
        <v>12017835</v>
      </c>
      <c r="Z149" s="173">
        <f t="shared" si="36"/>
        <v>0.97130713846026173</v>
      </c>
      <c r="AA149" s="173">
        <f t="shared" si="37"/>
        <v>4.2355245489692992</v>
      </c>
      <c r="AB149" s="173">
        <f t="shared" si="38"/>
        <v>4.5913133030372393</v>
      </c>
      <c r="AC149" s="173">
        <f t="shared" si="39"/>
        <v>20.497057920589441</v>
      </c>
      <c r="AD149" s="173">
        <f t="shared" si="40"/>
        <v>3.2642174105090374</v>
      </c>
      <c r="AE149" s="173">
        <f t="shared" si="41"/>
        <v>15.905744617552202</v>
      </c>
      <c r="AI149" s="178" t="e">
        <f t="shared" si="42"/>
        <v>#N/A</v>
      </c>
      <c r="AJ149" s="178" t="e">
        <f t="shared" si="43"/>
        <v>#N/A</v>
      </c>
      <c r="AK149" s="178" t="e">
        <f t="shared" si="44"/>
        <v>#N/A</v>
      </c>
      <c r="AL149" s="178" t="e">
        <f t="shared" si="45"/>
        <v>#N/A</v>
      </c>
      <c r="AM149" s="166" t="e">
        <f t="shared" si="46"/>
        <v>#N/A</v>
      </c>
      <c r="AN149" s="166" t="e">
        <f t="shared" si="47"/>
        <v>#N/A</v>
      </c>
    </row>
    <row r="150" spans="19:40" x14ac:dyDescent="0.45">
      <c r="S150" s="170">
        <f>'PubMatic Data'!A147</f>
        <v>46087</v>
      </c>
      <c r="T150" s="171">
        <f>'PubMatic Data'!B147</f>
        <v>8.91</v>
      </c>
      <c r="U150" s="171">
        <f>_xlfn.XLOOKUP(S150,'Trade Deck Data'!$A:$A,'Trade Deck Data'!$B:$B,NA())</f>
        <v>29.28</v>
      </c>
      <c r="V150" s="172">
        <f t="shared" si="32"/>
        <v>405850.49999999994</v>
      </c>
      <c r="W150" s="172">
        <f t="shared" si="33"/>
        <v>285879.49999999994</v>
      </c>
      <c r="X150" s="172">
        <f t="shared" si="34"/>
        <v>13843584</v>
      </c>
      <c r="Y150" s="172">
        <f t="shared" si="35"/>
        <v>12358251</v>
      </c>
      <c r="Z150" s="173">
        <f t="shared" si="36"/>
        <v>0.98863455592981175</v>
      </c>
      <c r="AA150" s="173">
        <f t="shared" si="37"/>
        <v>4.3554995964601275</v>
      </c>
      <c r="AB150" s="173">
        <f t="shared" si="38"/>
        <v>4.6732190146140509</v>
      </c>
      <c r="AC150" s="173">
        <f t="shared" si="39"/>
        <v>21.077655546459273</v>
      </c>
      <c r="AD150" s="173">
        <f t="shared" si="40"/>
        <v>3.3668650405303158</v>
      </c>
      <c r="AE150" s="173">
        <f t="shared" si="41"/>
        <v>16.404436531845221</v>
      </c>
      <c r="AI150" s="178" t="e">
        <f t="shared" si="42"/>
        <v>#N/A</v>
      </c>
      <c r="AJ150" s="178" t="e">
        <f t="shared" si="43"/>
        <v>#N/A</v>
      </c>
      <c r="AK150" s="178" t="e">
        <f t="shared" si="44"/>
        <v>#N/A</v>
      </c>
      <c r="AL150" s="178" t="e">
        <f t="shared" si="45"/>
        <v>#N/A</v>
      </c>
      <c r="AM150" s="166" t="e">
        <f t="shared" si="46"/>
        <v>#N/A</v>
      </c>
      <c r="AN150" s="166" t="e">
        <f t="shared" si="47"/>
        <v>#N/A</v>
      </c>
    </row>
    <row r="151" spans="19:40" x14ac:dyDescent="0.45">
      <c r="S151" s="170">
        <f>'PubMatic Data'!A148</f>
        <v>46086</v>
      </c>
      <c r="T151" s="171">
        <f>'PubMatic Data'!B148</f>
        <v>8.8699999999999992</v>
      </c>
      <c r="U151" s="171">
        <f>_xlfn.XLOOKUP(S151,'Trade Deck Data'!$A:$A,'Trade Deck Data'!$B:$B,NA())</f>
        <v>29.79</v>
      </c>
      <c r="V151" s="172">
        <f t="shared" si="32"/>
        <v>404028.49999999994</v>
      </c>
      <c r="W151" s="172">
        <f t="shared" si="33"/>
        <v>284057.49999999994</v>
      </c>
      <c r="X151" s="172">
        <f t="shared" si="34"/>
        <v>14084712</v>
      </c>
      <c r="Y151" s="172">
        <f t="shared" si="35"/>
        <v>12599379</v>
      </c>
      <c r="Z151" s="173">
        <f t="shared" si="36"/>
        <v>0.98233367684997519</v>
      </c>
      <c r="AA151" s="173">
        <f t="shared" si="37"/>
        <v>4.4404819217661302</v>
      </c>
      <c r="AB151" s="173">
        <f t="shared" si="38"/>
        <v>4.6434351194952095</v>
      </c>
      <c r="AC151" s="173">
        <f t="shared" si="39"/>
        <v>21.48891219811707</v>
      </c>
      <c r="AD151" s="173">
        <f t="shared" si="40"/>
        <v>3.4581482449161549</v>
      </c>
      <c r="AE151" s="173">
        <f t="shared" si="41"/>
        <v>16.845477078621862</v>
      </c>
      <c r="AI151" s="178" t="e">
        <f t="shared" si="42"/>
        <v>#N/A</v>
      </c>
      <c r="AJ151" s="178" t="e">
        <f t="shared" si="43"/>
        <v>#N/A</v>
      </c>
      <c r="AK151" s="178" t="e">
        <f t="shared" si="44"/>
        <v>#N/A</v>
      </c>
      <c r="AL151" s="178" t="e">
        <f t="shared" si="45"/>
        <v>#N/A</v>
      </c>
      <c r="AM151" s="166" t="e">
        <f t="shared" si="46"/>
        <v>#N/A</v>
      </c>
      <c r="AN151" s="166" t="e">
        <f t="shared" si="47"/>
        <v>#N/A</v>
      </c>
    </row>
    <row r="152" spans="19:40" x14ac:dyDescent="0.45">
      <c r="S152" s="170">
        <f>'PubMatic Data'!A149</f>
        <v>46085</v>
      </c>
      <c r="T152" s="171">
        <f>'PubMatic Data'!B149</f>
        <v>8.73</v>
      </c>
      <c r="U152" s="171">
        <f>_xlfn.XLOOKUP(S152,'Trade Deck Data'!$A:$A,'Trade Deck Data'!$B:$B,NA())</f>
        <v>25.17</v>
      </c>
      <c r="V152" s="172">
        <f t="shared" si="32"/>
        <v>397651.5</v>
      </c>
      <c r="W152" s="172">
        <f t="shared" si="33"/>
        <v>277680.5</v>
      </c>
      <c r="X152" s="172">
        <f t="shared" si="34"/>
        <v>11900376</v>
      </c>
      <c r="Y152" s="172">
        <f t="shared" si="35"/>
        <v>10415043</v>
      </c>
      <c r="Z152" s="173">
        <f t="shared" si="36"/>
        <v>0.96028060007054772</v>
      </c>
      <c r="AA152" s="173">
        <f t="shared" si="37"/>
        <v>3.670642033699985</v>
      </c>
      <c r="AB152" s="173">
        <f t="shared" si="38"/>
        <v>4.5391914865792655</v>
      </c>
      <c r="AC152" s="173">
        <f t="shared" si="39"/>
        <v>17.763410765452313</v>
      </c>
      <c r="AD152" s="173">
        <f t="shared" si="40"/>
        <v>2.710361433629437</v>
      </c>
      <c r="AE152" s="173">
        <f t="shared" si="41"/>
        <v>13.224219278873047</v>
      </c>
      <c r="AI152" s="178" t="e">
        <f t="shared" si="42"/>
        <v>#N/A</v>
      </c>
      <c r="AJ152" s="178" t="e">
        <f t="shared" si="43"/>
        <v>#N/A</v>
      </c>
      <c r="AK152" s="178" t="e">
        <f t="shared" si="44"/>
        <v>#N/A</v>
      </c>
      <c r="AL152" s="178" t="e">
        <f t="shared" si="45"/>
        <v>#N/A</v>
      </c>
      <c r="AM152" s="166" t="e">
        <f t="shared" si="46"/>
        <v>#N/A</v>
      </c>
      <c r="AN152" s="166" t="e">
        <f t="shared" si="47"/>
        <v>#N/A</v>
      </c>
    </row>
    <row r="153" spans="19:40" x14ac:dyDescent="0.45">
      <c r="S153" s="170">
        <f>'PubMatic Data'!A150</f>
        <v>46084</v>
      </c>
      <c r="T153" s="171">
        <f>'PubMatic Data'!B150</f>
        <v>8.2899999999999991</v>
      </c>
      <c r="U153" s="171">
        <f>_xlfn.XLOOKUP(S153,'Trade Deck Data'!$A:$A,'Trade Deck Data'!$B:$B,NA())</f>
        <v>25</v>
      </c>
      <c r="V153" s="172">
        <f t="shared" si="32"/>
        <v>377609.49999999988</v>
      </c>
      <c r="W153" s="172">
        <f t="shared" si="33"/>
        <v>257638.49999999988</v>
      </c>
      <c r="X153" s="172">
        <f t="shared" si="34"/>
        <v>11820000</v>
      </c>
      <c r="Y153" s="172">
        <f t="shared" si="35"/>
        <v>10334667</v>
      </c>
      <c r="Z153" s="173">
        <f t="shared" si="36"/>
        <v>0.89097093019234586</v>
      </c>
      <c r="AA153" s="173">
        <f t="shared" si="37"/>
        <v>3.6423145919313171</v>
      </c>
      <c r="AB153" s="173">
        <f t="shared" si="38"/>
        <v>4.2115686402720094</v>
      </c>
      <c r="AC153" s="173">
        <f t="shared" si="39"/>
        <v>17.626325214899712</v>
      </c>
      <c r="AD153" s="173">
        <f t="shared" si="40"/>
        <v>2.7513436617389715</v>
      </c>
      <c r="AE153" s="173">
        <f t="shared" si="41"/>
        <v>13.414756574627702</v>
      </c>
      <c r="AI153" s="178" t="e">
        <f t="shared" si="42"/>
        <v>#N/A</v>
      </c>
      <c r="AJ153" s="178" t="e">
        <f t="shared" si="43"/>
        <v>#N/A</v>
      </c>
      <c r="AK153" s="178" t="e">
        <f t="shared" si="44"/>
        <v>#N/A</v>
      </c>
      <c r="AL153" s="178" t="e">
        <f t="shared" si="45"/>
        <v>#N/A</v>
      </c>
      <c r="AM153" s="166" t="e">
        <f t="shared" si="46"/>
        <v>#N/A</v>
      </c>
      <c r="AN153" s="166" t="e">
        <f t="shared" si="47"/>
        <v>#N/A</v>
      </c>
    </row>
    <row r="154" spans="19:40" x14ac:dyDescent="0.45">
      <c r="S154" s="170">
        <f>'PubMatic Data'!A151</f>
        <v>46083</v>
      </c>
      <c r="T154" s="171">
        <f>'PubMatic Data'!B151</f>
        <v>8.18</v>
      </c>
      <c r="U154" s="171">
        <f>_xlfn.XLOOKUP(S154,'Trade Deck Data'!$A:$A,'Trade Deck Data'!$B:$B,NA())</f>
        <v>24.32</v>
      </c>
      <c r="V154" s="172">
        <f t="shared" si="32"/>
        <v>372599</v>
      </c>
      <c r="W154" s="172">
        <f t="shared" si="33"/>
        <v>252628</v>
      </c>
      <c r="X154" s="172">
        <f t="shared" si="34"/>
        <v>11498496.000000002</v>
      </c>
      <c r="Y154" s="172">
        <f t="shared" si="35"/>
        <v>10013163.000000002</v>
      </c>
      <c r="Z154" s="173">
        <f t="shared" si="36"/>
        <v>0.87364351272279595</v>
      </c>
      <c r="AA154" s="173">
        <f t="shared" si="37"/>
        <v>3.529004824856647</v>
      </c>
      <c r="AB154" s="173">
        <f t="shared" si="38"/>
        <v>4.1296629286951969</v>
      </c>
      <c r="AC154" s="173">
        <f t="shared" si="39"/>
        <v>17.07798301268932</v>
      </c>
      <c r="AD154" s="173">
        <f t="shared" si="40"/>
        <v>2.6553613121338513</v>
      </c>
      <c r="AE154" s="173">
        <f t="shared" si="41"/>
        <v>12.948320083994123</v>
      </c>
      <c r="AI154" s="178" t="e">
        <f t="shared" si="42"/>
        <v>#N/A</v>
      </c>
      <c r="AJ154" s="178" t="e">
        <f t="shared" si="43"/>
        <v>#N/A</v>
      </c>
      <c r="AK154" s="178" t="e">
        <f t="shared" si="44"/>
        <v>#N/A</v>
      </c>
      <c r="AL154" s="178" t="e">
        <f t="shared" si="45"/>
        <v>#N/A</v>
      </c>
      <c r="AM154" s="166" t="e">
        <f t="shared" si="46"/>
        <v>#N/A</v>
      </c>
      <c r="AN154" s="166" t="e">
        <f t="shared" si="47"/>
        <v>#N/A</v>
      </c>
    </row>
    <row r="155" spans="19:40" x14ac:dyDescent="0.45">
      <c r="S155" s="170">
        <f>'PubMatic Data'!A152</f>
        <v>46080</v>
      </c>
      <c r="T155" s="171">
        <f>'PubMatic Data'!B152</f>
        <v>8.1</v>
      </c>
      <c r="U155" s="171">
        <f>_xlfn.XLOOKUP(S155,'Trade Deck Data'!$A:$A,'Trade Deck Data'!$B:$B,NA())</f>
        <v>23.82</v>
      </c>
      <c r="V155" s="172">
        <f t="shared" si="32"/>
        <v>368955</v>
      </c>
      <c r="W155" s="172">
        <f t="shared" si="33"/>
        <v>248984</v>
      </c>
      <c r="X155" s="172">
        <f t="shared" si="34"/>
        <v>11262096</v>
      </c>
      <c r="Y155" s="172">
        <f t="shared" si="35"/>
        <v>9776763</v>
      </c>
      <c r="Z155" s="173">
        <f t="shared" si="36"/>
        <v>0.86104175456312293</v>
      </c>
      <c r="AA155" s="173">
        <f t="shared" si="37"/>
        <v>3.4456888196546824</v>
      </c>
      <c r="AB155" s="173">
        <f t="shared" si="38"/>
        <v>4.070095138457515</v>
      </c>
      <c r="AC155" s="173">
        <f t="shared" si="39"/>
        <v>16.674790216946377</v>
      </c>
      <c r="AD155" s="173">
        <f t="shared" si="40"/>
        <v>2.5846470650915596</v>
      </c>
      <c r="AE155" s="173">
        <f t="shared" si="41"/>
        <v>12.604695078488863</v>
      </c>
      <c r="AI155" s="178" t="e">
        <f t="shared" si="42"/>
        <v>#N/A</v>
      </c>
      <c r="AJ155" s="178" t="e">
        <f t="shared" si="43"/>
        <v>#N/A</v>
      </c>
      <c r="AK155" s="178" t="e">
        <f t="shared" si="44"/>
        <v>#N/A</v>
      </c>
      <c r="AL155" s="178" t="e">
        <f t="shared" si="45"/>
        <v>#N/A</v>
      </c>
      <c r="AM155" s="166" t="e">
        <f t="shared" si="46"/>
        <v>#N/A</v>
      </c>
      <c r="AN155" s="166" t="e">
        <f t="shared" si="47"/>
        <v>#N/A</v>
      </c>
    </row>
    <row r="156" spans="19:40" x14ac:dyDescent="0.45">
      <c r="S156" s="170">
        <f>'PubMatic Data'!A153</f>
        <v>46079</v>
      </c>
      <c r="T156" s="171">
        <f>'PubMatic Data'!B153</f>
        <v>7.07</v>
      </c>
      <c r="U156" s="171">
        <f>_xlfn.XLOOKUP(S156,'Trade Deck Data'!$A:$A,'Trade Deck Data'!$B:$B,NA())</f>
        <v>23.95</v>
      </c>
      <c r="V156" s="172">
        <f t="shared" si="32"/>
        <v>322038.5</v>
      </c>
      <c r="W156" s="172">
        <f t="shared" si="33"/>
        <v>202067.5</v>
      </c>
      <c r="X156" s="172">
        <f t="shared" si="34"/>
        <v>11323560</v>
      </c>
      <c r="Y156" s="172">
        <f t="shared" si="35"/>
        <v>9838227</v>
      </c>
      <c r="Z156" s="173">
        <f t="shared" si="36"/>
        <v>0.69879411825733317</v>
      </c>
      <c r="AA156" s="173">
        <f t="shared" si="37"/>
        <v>3.4673509810071934</v>
      </c>
      <c r="AB156" s="173">
        <f t="shared" si="38"/>
        <v>3.3031598391473502</v>
      </c>
      <c r="AC156" s="173">
        <f t="shared" si="39"/>
        <v>16.779620343839543</v>
      </c>
      <c r="AD156" s="173">
        <f t="shared" si="40"/>
        <v>2.7685568627498602</v>
      </c>
      <c r="AE156" s="173">
        <f t="shared" si="41"/>
        <v>13.476460504692193</v>
      </c>
      <c r="AI156" s="178">
        <f t="shared" si="42"/>
        <v>0.69879411825733317</v>
      </c>
      <c r="AJ156" s="178" t="e">
        <f t="shared" si="43"/>
        <v>#N/A</v>
      </c>
      <c r="AK156" s="178">
        <f t="shared" si="44"/>
        <v>3.3031598391473502</v>
      </c>
      <c r="AL156" s="178" t="e">
        <f t="shared" si="45"/>
        <v>#N/A</v>
      </c>
      <c r="AM156" s="166">
        <f t="shared" si="46"/>
        <v>7.07</v>
      </c>
      <c r="AN156" s="166" t="e">
        <f t="shared" si="47"/>
        <v>#N/A</v>
      </c>
    </row>
    <row r="157" spans="19:40" x14ac:dyDescent="0.45">
      <c r="S157" s="170">
        <f>'PubMatic Data'!A154</f>
        <v>46078</v>
      </c>
      <c r="T157" s="171">
        <f>'PubMatic Data'!B154</f>
        <v>6.58</v>
      </c>
      <c r="U157" s="171">
        <f>_xlfn.XLOOKUP(S157,'Trade Deck Data'!$A:$A,'Trade Deck Data'!$B:$B,NA())</f>
        <v>25.16</v>
      </c>
      <c r="V157" s="172">
        <f t="shared" si="32"/>
        <v>299719</v>
      </c>
      <c r="W157" s="172">
        <f t="shared" si="33"/>
        <v>179748</v>
      </c>
      <c r="X157" s="172">
        <f t="shared" si="34"/>
        <v>11895648.000000002</v>
      </c>
      <c r="Y157" s="172">
        <f t="shared" si="35"/>
        <v>10410315.000000002</v>
      </c>
      <c r="Z157" s="173">
        <f t="shared" si="36"/>
        <v>0.62160834952933608</v>
      </c>
      <c r="AA157" s="173">
        <f t="shared" si="37"/>
        <v>3.6689757135959464</v>
      </c>
      <c r="AB157" s="173">
        <f t="shared" si="38"/>
        <v>2.9383071239415437</v>
      </c>
      <c r="AC157" s="173">
        <f t="shared" si="39"/>
        <v>17.755346909537458</v>
      </c>
      <c r="AD157" s="173">
        <f t="shared" si="40"/>
        <v>3.0473673640666101</v>
      </c>
      <c r="AE157" s="173">
        <f t="shared" si="41"/>
        <v>14.817039785595915</v>
      </c>
      <c r="AI157" s="178" t="e">
        <f t="shared" si="42"/>
        <v>#N/A</v>
      </c>
      <c r="AJ157" s="178">
        <f t="shared" si="43"/>
        <v>3.6689757135959464</v>
      </c>
      <c r="AK157" s="178" t="e">
        <f t="shared" si="44"/>
        <v>#N/A</v>
      </c>
      <c r="AL157" s="178">
        <f t="shared" si="45"/>
        <v>17.755346909537458</v>
      </c>
      <c r="AM157" s="166" t="e">
        <f t="shared" si="46"/>
        <v>#N/A</v>
      </c>
      <c r="AN157" s="166">
        <f t="shared" si="47"/>
        <v>25.16</v>
      </c>
    </row>
    <row r="158" spans="19:40" x14ac:dyDescent="0.45">
      <c r="S158" s="170">
        <f>'PubMatic Data'!A155</f>
        <v>46077</v>
      </c>
      <c r="T158" s="171">
        <f>'PubMatic Data'!B155</f>
        <v>6.4</v>
      </c>
      <c r="U158" s="171">
        <f>_xlfn.XLOOKUP(S158,'Trade Deck Data'!$A:$A,'Trade Deck Data'!$B:$B,NA())</f>
        <v>24.94</v>
      </c>
      <c r="V158" s="172">
        <f t="shared" si="32"/>
        <v>291520</v>
      </c>
      <c r="W158" s="172">
        <f t="shared" si="33"/>
        <v>171549</v>
      </c>
      <c r="X158" s="172">
        <f t="shared" si="34"/>
        <v>11791632.000000002</v>
      </c>
      <c r="Y158" s="172">
        <f t="shared" si="35"/>
        <v>10306299.000000002</v>
      </c>
      <c r="Z158" s="173">
        <f t="shared" si="36"/>
        <v>0.59325439367007182</v>
      </c>
      <c r="AA158" s="173">
        <f t="shared" si="37"/>
        <v>3.6323166713070822</v>
      </c>
      <c r="AB158" s="173">
        <f t="shared" si="38"/>
        <v>2.8042795959067579</v>
      </c>
      <c r="AC158" s="173">
        <f t="shared" si="39"/>
        <v>17.577942079410565</v>
      </c>
      <c r="AD158" s="173">
        <f t="shared" si="40"/>
        <v>3.0390622776370106</v>
      </c>
      <c r="AE158" s="173">
        <f t="shared" si="41"/>
        <v>14.773662483503808</v>
      </c>
      <c r="AI158" s="178" t="e">
        <f t="shared" si="42"/>
        <v>#N/A</v>
      </c>
      <c r="AJ158" s="178" t="e">
        <f t="shared" si="43"/>
        <v>#N/A</v>
      </c>
      <c r="AK158" s="178" t="e">
        <f t="shared" si="44"/>
        <v>#N/A</v>
      </c>
      <c r="AL158" s="178" t="e">
        <f t="shared" si="45"/>
        <v>#N/A</v>
      </c>
      <c r="AM158" s="166" t="e">
        <f t="shared" si="46"/>
        <v>#N/A</v>
      </c>
      <c r="AN158" s="166" t="e">
        <f t="shared" si="47"/>
        <v>#N/A</v>
      </c>
    </row>
    <row r="159" spans="19:40" x14ac:dyDescent="0.45">
      <c r="S159" s="170">
        <f>'PubMatic Data'!A156</f>
        <v>46076</v>
      </c>
      <c r="T159" s="171">
        <f>'PubMatic Data'!B156</f>
        <v>6.3</v>
      </c>
      <c r="U159" s="171">
        <f>_xlfn.XLOOKUP(S159,'Trade Deck Data'!$A:$A,'Trade Deck Data'!$B:$B,NA())</f>
        <v>24.17</v>
      </c>
      <c r="V159" s="172">
        <f t="shared" si="32"/>
        <v>286965</v>
      </c>
      <c r="W159" s="172">
        <f t="shared" si="33"/>
        <v>166994</v>
      </c>
      <c r="X159" s="172">
        <f t="shared" si="34"/>
        <v>11427576</v>
      </c>
      <c r="Y159" s="172">
        <f t="shared" si="35"/>
        <v>9942243</v>
      </c>
      <c r="Z159" s="173">
        <f t="shared" si="36"/>
        <v>0.57750219597048058</v>
      </c>
      <c r="AA159" s="173">
        <f t="shared" si="37"/>
        <v>3.5040100232960572</v>
      </c>
      <c r="AB159" s="173">
        <f t="shared" si="38"/>
        <v>2.7298198581096544</v>
      </c>
      <c r="AC159" s="173">
        <f t="shared" si="39"/>
        <v>16.957025173966436</v>
      </c>
      <c r="AD159" s="173">
        <f t="shared" si="40"/>
        <v>2.9265078273255765</v>
      </c>
      <c r="AE159" s="173">
        <f t="shared" si="41"/>
        <v>14.227205315856782</v>
      </c>
      <c r="AI159" s="178" t="e">
        <f t="shared" si="42"/>
        <v>#N/A</v>
      </c>
      <c r="AJ159" s="178" t="e">
        <f t="shared" si="43"/>
        <v>#N/A</v>
      </c>
      <c r="AK159" s="178" t="e">
        <f t="shared" si="44"/>
        <v>#N/A</v>
      </c>
      <c r="AL159" s="178" t="e">
        <f t="shared" si="45"/>
        <v>#N/A</v>
      </c>
      <c r="AM159" s="166" t="e">
        <f t="shared" si="46"/>
        <v>#N/A</v>
      </c>
      <c r="AN159" s="166" t="e">
        <f t="shared" si="47"/>
        <v>#N/A</v>
      </c>
    </row>
    <row r="160" spans="19:40" x14ac:dyDescent="0.45">
      <c r="S160" s="170">
        <f>'PubMatic Data'!A157</f>
        <v>46073</v>
      </c>
      <c r="T160" s="171">
        <f>'PubMatic Data'!B157</f>
        <v>6.57</v>
      </c>
      <c r="U160" s="171">
        <f>_xlfn.XLOOKUP(S160,'Trade Deck Data'!$A:$A,'Trade Deck Data'!$B:$B,NA())</f>
        <v>25.1</v>
      </c>
      <c r="V160" s="172">
        <f t="shared" si="32"/>
        <v>299263.5</v>
      </c>
      <c r="W160" s="172">
        <f t="shared" si="33"/>
        <v>179292.5</v>
      </c>
      <c r="X160" s="172">
        <f t="shared" si="34"/>
        <v>11867280</v>
      </c>
      <c r="Y160" s="172">
        <f t="shared" si="35"/>
        <v>10381947</v>
      </c>
      <c r="Z160" s="173">
        <f t="shared" si="36"/>
        <v>0.62003312975937697</v>
      </c>
      <c r="AA160" s="173">
        <f t="shared" si="37"/>
        <v>3.6589777929717098</v>
      </c>
      <c r="AB160" s="173">
        <f t="shared" si="38"/>
        <v>2.9308611501618334</v>
      </c>
      <c r="AC160" s="173">
        <f t="shared" si="39"/>
        <v>17.706963774048301</v>
      </c>
      <c r="AD160" s="173">
        <f t="shared" si="40"/>
        <v>3.0389446632123329</v>
      </c>
      <c r="AE160" s="173">
        <f t="shared" si="41"/>
        <v>14.776102623886468</v>
      </c>
      <c r="AI160" s="178" t="e">
        <f t="shared" si="42"/>
        <v>#N/A</v>
      </c>
      <c r="AJ160" s="178" t="e">
        <f t="shared" si="43"/>
        <v>#N/A</v>
      </c>
      <c r="AK160" s="178" t="e">
        <f t="shared" si="44"/>
        <v>#N/A</v>
      </c>
      <c r="AL160" s="178" t="e">
        <f t="shared" si="45"/>
        <v>#N/A</v>
      </c>
      <c r="AM160" s="166" t="e">
        <f t="shared" si="46"/>
        <v>#N/A</v>
      </c>
      <c r="AN160" s="166" t="e">
        <f t="shared" si="47"/>
        <v>#N/A</v>
      </c>
    </row>
    <row r="161" spans="19:40" x14ac:dyDescent="0.45">
      <c r="S161" s="170">
        <f>'PubMatic Data'!A158</f>
        <v>46072</v>
      </c>
      <c r="T161" s="171">
        <f>'PubMatic Data'!B158</f>
        <v>6.56</v>
      </c>
      <c r="U161" s="171">
        <f>_xlfn.XLOOKUP(S161,'Trade Deck Data'!$A:$A,'Trade Deck Data'!$B:$B,NA())</f>
        <v>25.24</v>
      </c>
      <c r="V161" s="172">
        <f t="shared" si="32"/>
        <v>298807.99999999994</v>
      </c>
      <c r="W161" s="172">
        <f t="shared" si="33"/>
        <v>178836.99999999994</v>
      </c>
      <c r="X161" s="172">
        <f t="shared" si="34"/>
        <v>11933472</v>
      </c>
      <c r="Y161" s="172">
        <f t="shared" si="35"/>
        <v>10448139</v>
      </c>
      <c r="Z161" s="173">
        <f t="shared" si="36"/>
        <v>0.61845790998941763</v>
      </c>
      <c r="AA161" s="173">
        <f t="shared" si="37"/>
        <v>3.6823062744282598</v>
      </c>
      <c r="AB161" s="173">
        <f t="shared" si="38"/>
        <v>2.9234151763821221</v>
      </c>
      <c r="AC161" s="173">
        <f t="shared" si="39"/>
        <v>17.819857756856326</v>
      </c>
      <c r="AD161" s="173">
        <f t="shared" si="40"/>
        <v>3.0638483644388419</v>
      </c>
      <c r="AE161" s="173">
        <f t="shared" si="41"/>
        <v>14.896442580474204</v>
      </c>
      <c r="AI161" s="178" t="e">
        <f t="shared" si="42"/>
        <v>#N/A</v>
      </c>
      <c r="AJ161" s="178" t="e">
        <f t="shared" si="43"/>
        <v>#N/A</v>
      </c>
      <c r="AK161" s="178" t="e">
        <f t="shared" si="44"/>
        <v>#N/A</v>
      </c>
      <c r="AL161" s="178" t="e">
        <f t="shared" si="45"/>
        <v>#N/A</v>
      </c>
      <c r="AM161" s="166" t="e">
        <f t="shared" si="46"/>
        <v>#N/A</v>
      </c>
      <c r="AN161" s="166" t="e">
        <f t="shared" si="47"/>
        <v>#N/A</v>
      </c>
    </row>
    <row r="162" spans="19:40" x14ac:dyDescent="0.45">
      <c r="S162" s="170">
        <f>'PubMatic Data'!A159</f>
        <v>46071</v>
      </c>
      <c r="T162" s="171">
        <f>'PubMatic Data'!B159</f>
        <v>6.58</v>
      </c>
      <c r="U162" s="171">
        <f>_xlfn.XLOOKUP(S162,'Trade Deck Data'!$A:$A,'Trade Deck Data'!$B:$B,NA())</f>
        <v>25.5</v>
      </c>
      <c r="V162" s="172">
        <f t="shared" si="32"/>
        <v>299719</v>
      </c>
      <c r="W162" s="172">
        <f t="shared" si="33"/>
        <v>179748</v>
      </c>
      <c r="X162" s="172">
        <f t="shared" si="34"/>
        <v>12056400</v>
      </c>
      <c r="Y162" s="172">
        <f t="shared" si="35"/>
        <v>10571067</v>
      </c>
      <c r="Z162" s="173">
        <f t="shared" si="36"/>
        <v>0.62160834952933608</v>
      </c>
      <c r="AA162" s="173">
        <f t="shared" si="37"/>
        <v>3.7256305971332808</v>
      </c>
      <c r="AB162" s="173">
        <f t="shared" si="38"/>
        <v>2.9383071239415437</v>
      </c>
      <c r="AC162" s="173">
        <f t="shared" si="39"/>
        <v>18.029518010642654</v>
      </c>
      <c r="AD162" s="173">
        <f t="shared" si="40"/>
        <v>3.104022247603945</v>
      </c>
      <c r="AE162" s="173">
        <f t="shared" si="41"/>
        <v>15.091210886701111</v>
      </c>
      <c r="AI162" s="178" t="e">
        <f t="shared" si="42"/>
        <v>#N/A</v>
      </c>
      <c r="AJ162" s="178" t="e">
        <f t="shared" si="43"/>
        <v>#N/A</v>
      </c>
      <c r="AK162" s="178" t="e">
        <f t="shared" si="44"/>
        <v>#N/A</v>
      </c>
      <c r="AL162" s="178" t="e">
        <f t="shared" si="45"/>
        <v>#N/A</v>
      </c>
      <c r="AM162" s="166" t="e">
        <f t="shared" si="46"/>
        <v>#N/A</v>
      </c>
      <c r="AN162" s="166" t="e">
        <f t="shared" si="47"/>
        <v>#N/A</v>
      </c>
    </row>
    <row r="163" spans="19:40" x14ac:dyDescent="0.45">
      <c r="S163" s="170">
        <f>'PubMatic Data'!A160</f>
        <v>46070</v>
      </c>
      <c r="T163" s="171">
        <f>'PubMatic Data'!B160</f>
        <v>6.29</v>
      </c>
      <c r="U163" s="171">
        <f>_xlfn.XLOOKUP(S163,'Trade Deck Data'!$A:$A,'Trade Deck Data'!$B:$B,NA())</f>
        <v>25.26</v>
      </c>
      <c r="V163" s="172">
        <f t="shared" si="32"/>
        <v>286509.5</v>
      </c>
      <c r="W163" s="172">
        <f t="shared" si="33"/>
        <v>166538.5</v>
      </c>
      <c r="X163" s="172">
        <f t="shared" si="34"/>
        <v>11942928.000000002</v>
      </c>
      <c r="Y163" s="172">
        <f t="shared" si="35"/>
        <v>10457595.000000002</v>
      </c>
      <c r="Z163" s="173">
        <f t="shared" si="36"/>
        <v>0.57592697620052147</v>
      </c>
      <c r="AA163" s="173">
        <f t="shared" si="37"/>
        <v>3.6856389146363391</v>
      </c>
      <c r="AB163" s="173">
        <f t="shared" si="38"/>
        <v>2.7223738843299441</v>
      </c>
      <c r="AC163" s="173">
        <f t="shared" si="39"/>
        <v>17.835985468686044</v>
      </c>
      <c r="AD163" s="173">
        <f t="shared" si="40"/>
        <v>3.1097119384358178</v>
      </c>
      <c r="AE163" s="173">
        <f t="shared" si="41"/>
        <v>15.1136115843561</v>
      </c>
      <c r="AI163" s="178" t="e">
        <f t="shared" si="42"/>
        <v>#N/A</v>
      </c>
      <c r="AJ163" s="178" t="e">
        <f t="shared" si="43"/>
        <v>#N/A</v>
      </c>
      <c r="AK163" s="178" t="e">
        <f t="shared" si="44"/>
        <v>#N/A</v>
      </c>
      <c r="AL163" s="178" t="e">
        <f t="shared" si="45"/>
        <v>#N/A</v>
      </c>
      <c r="AM163" s="166" t="e">
        <f t="shared" si="46"/>
        <v>#N/A</v>
      </c>
      <c r="AN163" s="166" t="e">
        <f t="shared" si="47"/>
        <v>#N/A</v>
      </c>
    </row>
    <row r="164" spans="19:40" x14ac:dyDescent="0.45">
      <c r="S164" s="170">
        <f>'PubMatic Data'!A161</f>
        <v>46066</v>
      </c>
      <c r="T164" s="171">
        <f>'PubMatic Data'!B161</f>
        <v>6.54</v>
      </c>
      <c r="U164" s="171">
        <f>_xlfn.XLOOKUP(S164,'Trade Deck Data'!$A:$A,'Trade Deck Data'!$B:$B,NA())</f>
        <v>25.81</v>
      </c>
      <c r="V164" s="172">
        <f t="shared" si="32"/>
        <v>297897</v>
      </c>
      <c r="W164" s="172">
        <f t="shared" si="33"/>
        <v>177926</v>
      </c>
      <c r="X164" s="172">
        <f t="shared" si="34"/>
        <v>12202967.999999998</v>
      </c>
      <c r="Y164" s="172">
        <f t="shared" si="35"/>
        <v>10717634.999999998</v>
      </c>
      <c r="Z164" s="173">
        <f t="shared" si="36"/>
        <v>0.61530747044949963</v>
      </c>
      <c r="AA164" s="173">
        <f t="shared" si="37"/>
        <v>3.7772865203584978</v>
      </c>
      <c r="AB164" s="173">
        <f t="shared" si="38"/>
        <v>2.9085232288227023</v>
      </c>
      <c r="AC164" s="173">
        <f t="shared" si="39"/>
        <v>18.27949754400327</v>
      </c>
      <c r="AD164" s="173">
        <f t="shared" si="40"/>
        <v>3.1619790499089984</v>
      </c>
      <c r="AE164" s="173">
        <f t="shared" si="41"/>
        <v>15.370974315180568</v>
      </c>
      <c r="AI164" s="178" t="e">
        <f t="shared" si="42"/>
        <v>#N/A</v>
      </c>
      <c r="AJ164" s="178" t="e">
        <f t="shared" si="43"/>
        <v>#N/A</v>
      </c>
      <c r="AK164" s="178" t="e">
        <f t="shared" si="44"/>
        <v>#N/A</v>
      </c>
      <c r="AL164" s="178" t="e">
        <f t="shared" si="45"/>
        <v>#N/A</v>
      </c>
      <c r="AM164" s="166" t="e">
        <f t="shared" si="46"/>
        <v>#N/A</v>
      </c>
      <c r="AN164" s="166" t="e">
        <f t="shared" si="47"/>
        <v>#N/A</v>
      </c>
    </row>
    <row r="165" spans="19:40" x14ac:dyDescent="0.45">
      <c r="S165" s="170">
        <f>'PubMatic Data'!A162</f>
        <v>46065</v>
      </c>
      <c r="T165" s="171">
        <f>'PubMatic Data'!B162</f>
        <v>6.4</v>
      </c>
      <c r="U165" s="171">
        <f>_xlfn.XLOOKUP(S165,'Trade Deck Data'!$A:$A,'Trade Deck Data'!$B:$B,NA())</f>
        <v>26.14</v>
      </c>
      <c r="V165" s="172">
        <f t="shared" si="32"/>
        <v>291520</v>
      </c>
      <c r="W165" s="172">
        <f t="shared" si="33"/>
        <v>171549</v>
      </c>
      <c r="X165" s="172">
        <f t="shared" si="34"/>
        <v>12358992</v>
      </c>
      <c r="Y165" s="172">
        <f t="shared" si="35"/>
        <v>10873659</v>
      </c>
      <c r="Z165" s="173">
        <f t="shared" si="36"/>
        <v>0.59325439367007182</v>
      </c>
      <c r="AA165" s="173">
        <f t="shared" si="37"/>
        <v>3.8322750837917945</v>
      </c>
      <c r="AB165" s="173">
        <f t="shared" si="38"/>
        <v>2.8042795959067579</v>
      </c>
      <c r="AC165" s="173">
        <f t="shared" si="39"/>
        <v>18.545604789193614</v>
      </c>
      <c r="AD165" s="173">
        <f t="shared" si="40"/>
        <v>3.2390206901217224</v>
      </c>
      <c r="AE165" s="173">
        <f t="shared" si="41"/>
        <v>15.741325193286857</v>
      </c>
      <c r="AI165" s="178" t="e">
        <f t="shared" si="42"/>
        <v>#N/A</v>
      </c>
      <c r="AJ165" s="178" t="e">
        <f t="shared" si="43"/>
        <v>#N/A</v>
      </c>
      <c r="AK165" s="178" t="e">
        <f t="shared" si="44"/>
        <v>#N/A</v>
      </c>
      <c r="AL165" s="178" t="e">
        <f t="shared" si="45"/>
        <v>#N/A</v>
      </c>
      <c r="AM165" s="166" t="e">
        <f t="shared" si="46"/>
        <v>#N/A</v>
      </c>
      <c r="AN165" s="166" t="e">
        <f t="shared" si="47"/>
        <v>#N/A</v>
      </c>
    </row>
    <row r="166" spans="19:40" x14ac:dyDescent="0.45">
      <c r="S166" s="170">
        <f>'PubMatic Data'!A163</f>
        <v>46064</v>
      </c>
      <c r="T166" s="171">
        <f>'PubMatic Data'!B163</f>
        <v>6.58</v>
      </c>
      <c r="U166" s="171">
        <f>_xlfn.XLOOKUP(S166,'Trade Deck Data'!$A:$A,'Trade Deck Data'!$B:$B,NA())</f>
        <v>27.23</v>
      </c>
      <c r="V166" s="172">
        <f t="shared" si="32"/>
        <v>299719</v>
      </c>
      <c r="W166" s="172">
        <f t="shared" si="33"/>
        <v>179748</v>
      </c>
      <c r="X166" s="172">
        <f t="shared" si="34"/>
        <v>12874344.000000002</v>
      </c>
      <c r="Y166" s="172">
        <f t="shared" si="35"/>
        <v>11389011.000000002</v>
      </c>
      <c r="Z166" s="173">
        <f t="shared" si="36"/>
        <v>0.62160834952933608</v>
      </c>
      <c r="AA166" s="173">
        <f t="shared" si="37"/>
        <v>4.0139039751320764</v>
      </c>
      <c r="AB166" s="173">
        <f t="shared" si="38"/>
        <v>2.9383071239415437</v>
      </c>
      <c r="AC166" s="173">
        <f t="shared" si="39"/>
        <v>19.424565083913226</v>
      </c>
      <c r="AD166" s="173">
        <f t="shared" si="40"/>
        <v>3.3922956256027401</v>
      </c>
      <c r="AE166" s="173">
        <f t="shared" si="41"/>
        <v>16.486257959971681</v>
      </c>
      <c r="AI166" s="178" t="e">
        <f t="shared" si="42"/>
        <v>#N/A</v>
      </c>
      <c r="AJ166" s="178" t="e">
        <f t="shared" si="43"/>
        <v>#N/A</v>
      </c>
      <c r="AK166" s="178" t="e">
        <f t="shared" si="44"/>
        <v>#N/A</v>
      </c>
      <c r="AL166" s="178" t="e">
        <f t="shared" si="45"/>
        <v>#N/A</v>
      </c>
      <c r="AM166" s="166" t="e">
        <f t="shared" si="46"/>
        <v>#N/A</v>
      </c>
      <c r="AN166" s="166" t="e">
        <f t="shared" si="47"/>
        <v>#N/A</v>
      </c>
    </row>
    <row r="167" spans="19:40" x14ac:dyDescent="0.45">
      <c r="S167" s="170">
        <f>'PubMatic Data'!A164</f>
        <v>46063</v>
      </c>
      <c r="T167" s="171">
        <f>'PubMatic Data'!B164</f>
        <v>6.69</v>
      </c>
      <c r="U167" s="171">
        <f>_xlfn.XLOOKUP(S167,'Trade Deck Data'!$A:$A,'Trade Deck Data'!$B:$B,NA())</f>
        <v>28.13</v>
      </c>
      <c r="V167" s="172">
        <f t="shared" si="32"/>
        <v>304729.5</v>
      </c>
      <c r="W167" s="172">
        <f t="shared" si="33"/>
        <v>184758.5</v>
      </c>
      <c r="X167" s="172">
        <f t="shared" si="34"/>
        <v>13299864</v>
      </c>
      <c r="Y167" s="172">
        <f t="shared" si="35"/>
        <v>11814531</v>
      </c>
      <c r="Z167" s="173">
        <f t="shared" si="36"/>
        <v>0.63893576699888643</v>
      </c>
      <c r="AA167" s="173">
        <f t="shared" si="37"/>
        <v>4.1638727844956103</v>
      </c>
      <c r="AB167" s="173">
        <f t="shared" si="38"/>
        <v>3.0202128355183575</v>
      </c>
      <c r="AC167" s="173">
        <f t="shared" si="39"/>
        <v>20.150312116250511</v>
      </c>
      <c r="AD167" s="173">
        <f t="shared" si="40"/>
        <v>3.5249370174967236</v>
      </c>
      <c r="AE167" s="173">
        <f t="shared" si="41"/>
        <v>17.130099280732153</v>
      </c>
      <c r="AI167" s="178" t="e">
        <f t="shared" si="42"/>
        <v>#N/A</v>
      </c>
      <c r="AJ167" s="178" t="e">
        <f t="shared" si="43"/>
        <v>#N/A</v>
      </c>
      <c r="AK167" s="178" t="e">
        <f t="shared" si="44"/>
        <v>#N/A</v>
      </c>
      <c r="AL167" s="178" t="e">
        <f t="shared" si="45"/>
        <v>#N/A</v>
      </c>
      <c r="AM167" s="166" t="e">
        <f t="shared" si="46"/>
        <v>#N/A</v>
      </c>
      <c r="AN167" s="166" t="e">
        <f t="shared" si="47"/>
        <v>#N/A</v>
      </c>
    </row>
    <row r="168" spans="19:40" x14ac:dyDescent="0.45">
      <c r="S168" s="170">
        <f>'PubMatic Data'!A165</f>
        <v>46062</v>
      </c>
      <c r="T168" s="171">
        <f>'PubMatic Data'!B165</f>
        <v>6.57</v>
      </c>
      <c r="U168" s="171">
        <f>_xlfn.XLOOKUP(S168,'Trade Deck Data'!$A:$A,'Trade Deck Data'!$B:$B,NA())</f>
        <v>27.04</v>
      </c>
      <c r="V168" s="172">
        <f t="shared" si="32"/>
        <v>299263.5</v>
      </c>
      <c r="W168" s="172">
        <f t="shared" si="33"/>
        <v>179292.5</v>
      </c>
      <c r="X168" s="172">
        <f t="shared" si="34"/>
        <v>12784512</v>
      </c>
      <c r="Y168" s="172">
        <f t="shared" si="35"/>
        <v>11299179</v>
      </c>
      <c r="Z168" s="173">
        <f t="shared" si="36"/>
        <v>0.62003312975937697</v>
      </c>
      <c r="AA168" s="173">
        <f t="shared" si="37"/>
        <v>3.9822438931553292</v>
      </c>
      <c r="AB168" s="173">
        <f t="shared" si="38"/>
        <v>2.9308611501618334</v>
      </c>
      <c r="AC168" s="173">
        <f t="shared" si="39"/>
        <v>19.271351821530903</v>
      </c>
      <c r="AD168" s="173">
        <f t="shared" si="40"/>
        <v>3.3622107633959524</v>
      </c>
      <c r="AE168" s="173">
        <f t="shared" si="41"/>
        <v>16.340490671369068</v>
      </c>
      <c r="AI168" s="178" t="e">
        <f t="shared" si="42"/>
        <v>#N/A</v>
      </c>
      <c r="AJ168" s="178" t="e">
        <f t="shared" si="43"/>
        <v>#N/A</v>
      </c>
      <c r="AK168" s="178" t="e">
        <f t="shared" si="44"/>
        <v>#N/A</v>
      </c>
      <c r="AL168" s="178" t="e">
        <f t="shared" si="45"/>
        <v>#N/A</v>
      </c>
      <c r="AM168" s="166" t="e">
        <f t="shared" si="46"/>
        <v>#N/A</v>
      </c>
      <c r="AN168" s="166" t="e">
        <f t="shared" si="47"/>
        <v>#N/A</v>
      </c>
    </row>
    <row r="169" spans="19:40" x14ac:dyDescent="0.45">
      <c r="S169" s="170">
        <f>'PubMatic Data'!A166</f>
        <v>46059</v>
      </c>
      <c r="T169" s="171">
        <f>'PubMatic Data'!B166</f>
        <v>6.49</v>
      </c>
      <c r="U169" s="171">
        <f>_xlfn.XLOOKUP(S169,'Trade Deck Data'!$A:$A,'Trade Deck Data'!$B:$B,NA())</f>
        <v>27.04</v>
      </c>
      <c r="V169" s="172">
        <f t="shared" si="32"/>
        <v>295619.5</v>
      </c>
      <c r="W169" s="172">
        <f t="shared" si="33"/>
        <v>175648.5</v>
      </c>
      <c r="X169" s="172">
        <f t="shared" si="34"/>
        <v>12784512</v>
      </c>
      <c r="Y169" s="172">
        <f t="shared" si="35"/>
        <v>11299179</v>
      </c>
      <c r="Z169" s="173">
        <f t="shared" si="36"/>
        <v>0.60743137159970395</v>
      </c>
      <c r="AA169" s="173">
        <f t="shared" si="37"/>
        <v>3.9822438931553292</v>
      </c>
      <c r="AB169" s="173">
        <f t="shared" si="38"/>
        <v>2.8712933599241506</v>
      </c>
      <c r="AC169" s="173">
        <f t="shared" si="39"/>
        <v>19.271351821530903</v>
      </c>
      <c r="AD169" s="173">
        <f t="shared" si="40"/>
        <v>3.3748125215556253</v>
      </c>
      <c r="AE169" s="173">
        <f t="shared" si="41"/>
        <v>16.400058461606754</v>
      </c>
      <c r="AI169" s="178" t="e">
        <f t="shared" si="42"/>
        <v>#N/A</v>
      </c>
      <c r="AJ169" s="178" t="e">
        <f t="shared" si="43"/>
        <v>#N/A</v>
      </c>
      <c r="AK169" s="178" t="e">
        <f t="shared" si="44"/>
        <v>#N/A</v>
      </c>
      <c r="AL169" s="178" t="e">
        <f t="shared" si="45"/>
        <v>#N/A</v>
      </c>
      <c r="AM169" s="166" t="e">
        <f t="shared" si="46"/>
        <v>#N/A</v>
      </c>
      <c r="AN169" s="166" t="e">
        <f t="shared" si="47"/>
        <v>#N/A</v>
      </c>
    </row>
    <row r="170" spans="19:40" x14ac:dyDescent="0.45">
      <c r="S170" s="170">
        <f>'PubMatic Data'!A167</f>
        <v>46058</v>
      </c>
      <c r="T170" s="171">
        <f>'PubMatic Data'!B167</f>
        <v>6.28</v>
      </c>
      <c r="U170" s="171">
        <f>_xlfn.XLOOKUP(S170,'Trade Deck Data'!$A:$A,'Trade Deck Data'!$B:$B,NA())</f>
        <v>26.24</v>
      </c>
      <c r="V170" s="172">
        <f t="shared" si="32"/>
        <v>286054</v>
      </c>
      <c r="W170" s="172">
        <f t="shared" si="33"/>
        <v>166083</v>
      </c>
      <c r="X170" s="172">
        <f t="shared" si="34"/>
        <v>12406271.999999998</v>
      </c>
      <c r="Y170" s="172">
        <f t="shared" si="35"/>
        <v>10920938.999999998</v>
      </c>
      <c r="Z170" s="173">
        <f t="shared" si="36"/>
        <v>0.57435175643056235</v>
      </c>
      <c r="AA170" s="173">
        <f t="shared" si="37"/>
        <v>3.8489382848321867</v>
      </c>
      <c r="AB170" s="173">
        <f t="shared" si="38"/>
        <v>2.7149279105502337</v>
      </c>
      <c r="AC170" s="173">
        <f t="shared" si="39"/>
        <v>18.6262433483422</v>
      </c>
      <c r="AD170" s="173">
        <f t="shared" si="40"/>
        <v>3.2745865284016245</v>
      </c>
      <c r="AE170" s="173">
        <f t="shared" si="41"/>
        <v>15.911315437791966</v>
      </c>
      <c r="AI170" s="178" t="e">
        <f t="shared" si="42"/>
        <v>#N/A</v>
      </c>
      <c r="AJ170" s="178" t="e">
        <f t="shared" si="43"/>
        <v>#N/A</v>
      </c>
      <c r="AK170" s="178" t="e">
        <f t="shared" si="44"/>
        <v>#N/A</v>
      </c>
      <c r="AL170" s="178" t="e">
        <f t="shared" si="45"/>
        <v>#N/A</v>
      </c>
      <c r="AM170" s="166" t="e">
        <f t="shared" si="46"/>
        <v>#N/A</v>
      </c>
      <c r="AN170" s="166" t="e">
        <f t="shared" si="47"/>
        <v>#N/A</v>
      </c>
    </row>
    <row r="171" spans="19:40" x14ac:dyDescent="0.45">
      <c r="S171" s="170">
        <f>'PubMatic Data'!A168</f>
        <v>46057</v>
      </c>
      <c r="T171" s="171">
        <f>'PubMatic Data'!B168</f>
        <v>6.59</v>
      </c>
      <c r="U171" s="171">
        <f>_xlfn.XLOOKUP(S171,'Trade Deck Data'!$A:$A,'Trade Deck Data'!$B:$B,NA())</f>
        <v>27.27</v>
      </c>
      <c r="V171" s="172">
        <f t="shared" si="32"/>
        <v>300174.49999999994</v>
      </c>
      <c r="W171" s="172">
        <f t="shared" si="33"/>
        <v>180203.49999999994</v>
      </c>
      <c r="X171" s="172">
        <f t="shared" si="34"/>
        <v>12893256</v>
      </c>
      <c r="Y171" s="172">
        <f t="shared" si="35"/>
        <v>11407923</v>
      </c>
      <c r="Z171" s="173">
        <f t="shared" si="36"/>
        <v>0.62318356929929497</v>
      </c>
      <c r="AA171" s="173">
        <f t="shared" si="37"/>
        <v>4.0205692555482324</v>
      </c>
      <c r="AB171" s="173">
        <f t="shared" si="38"/>
        <v>2.9457530977212532</v>
      </c>
      <c r="AC171" s="173">
        <f t="shared" si="39"/>
        <v>19.456820507572658</v>
      </c>
      <c r="AD171" s="173">
        <f t="shared" si="40"/>
        <v>3.3973856862489376</v>
      </c>
      <c r="AE171" s="173">
        <f t="shared" si="41"/>
        <v>16.511067409851407</v>
      </c>
      <c r="AI171" s="178" t="e">
        <f t="shared" si="42"/>
        <v>#N/A</v>
      </c>
      <c r="AJ171" s="178" t="e">
        <f t="shared" si="43"/>
        <v>#N/A</v>
      </c>
      <c r="AK171" s="178" t="e">
        <f t="shared" si="44"/>
        <v>#N/A</v>
      </c>
      <c r="AL171" s="178" t="e">
        <f t="shared" si="45"/>
        <v>#N/A</v>
      </c>
      <c r="AM171" s="166" t="e">
        <f t="shared" si="46"/>
        <v>#N/A</v>
      </c>
      <c r="AN171" s="166" t="e">
        <f t="shared" si="47"/>
        <v>#N/A</v>
      </c>
    </row>
    <row r="172" spans="19:40" x14ac:dyDescent="0.45">
      <c r="S172" s="170">
        <f>'PubMatic Data'!A169</f>
        <v>46056</v>
      </c>
      <c r="T172" s="171">
        <f>'PubMatic Data'!B169</f>
        <v>6.69</v>
      </c>
      <c r="U172" s="171">
        <f>_xlfn.XLOOKUP(S172,'Trade Deck Data'!$A:$A,'Trade Deck Data'!$B:$B,NA())</f>
        <v>27.18</v>
      </c>
      <c r="V172" s="172">
        <f t="shared" si="32"/>
        <v>304729.5</v>
      </c>
      <c r="W172" s="172">
        <f t="shared" si="33"/>
        <v>184758.5</v>
      </c>
      <c r="X172" s="172">
        <f t="shared" si="34"/>
        <v>12850704</v>
      </c>
      <c r="Y172" s="172">
        <f t="shared" si="35"/>
        <v>11365371</v>
      </c>
      <c r="Z172" s="173">
        <f t="shared" si="36"/>
        <v>0.63893576699888643</v>
      </c>
      <c r="AA172" s="173">
        <f t="shared" si="37"/>
        <v>4.0055723746118792</v>
      </c>
      <c r="AB172" s="173">
        <f t="shared" si="38"/>
        <v>3.0202128355183575</v>
      </c>
      <c r="AC172" s="173">
        <f t="shared" si="39"/>
        <v>19.384245804338928</v>
      </c>
      <c r="AD172" s="173">
        <f t="shared" si="40"/>
        <v>3.3666366076129925</v>
      </c>
      <c r="AE172" s="173">
        <f t="shared" si="41"/>
        <v>16.36403296882057</v>
      </c>
      <c r="AI172" s="178" t="e">
        <f t="shared" si="42"/>
        <v>#N/A</v>
      </c>
      <c r="AJ172" s="178" t="e">
        <f t="shared" si="43"/>
        <v>#N/A</v>
      </c>
      <c r="AK172" s="178" t="e">
        <f t="shared" si="44"/>
        <v>#N/A</v>
      </c>
      <c r="AL172" s="178" t="e">
        <f t="shared" si="45"/>
        <v>#N/A</v>
      </c>
      <c r="AM172" s="166" t="e">
        <f t="shared" si="46"/>
        <v>#N/A</v>
      </c>
      <c r="AN172" s="166" t="e">
        <f t="shared" si="47"/>
        <v>#N/A</v>
      </c>
    </row>
    <row r="173" spans="19:40" x14ac:dyDescent="0.45">
      <c r="S173" s="170">
        <f>'PubMatic Data'!A170</f>
        <v>46055</v>
      </c>
      <c r="T173" s="171">
        <f>'PubMatic Data'!B170</f>
        <v>7.2</v>
      </c>
      <c r="U173" s="171">
        <f>_xlfn.XLOOKUP(S173,'Trade Deck Data'!$A:$A,'Trade Deck Data'!$B:$B,NA())</f>
        <v>29.75</v>
      </c>
      <c r="V173" s="172">
        <f t="shared" si="32"/>
        <v>327960</v>
      </c>
      <c r="W173" s="172">
        <f t="shared" si="33"/>
        <v>207989</v>
      </c>
      <c r="X173" s="172">
        <f t="shared" si="34"/>
        <v>14065800.000000002</v>
      </c>
      <c r="Y173" s="172">
        <f t="shared" si="35"/>
        <v>12580467.000000002</v>
      </c>
      <c r="Z173" s="173">
        <f t="shared" si="36"/>
        <v>0.71927197526680176</v>
      </c>
      <c r="AA173" s="173">
        <f t="shared" si="37"/>
        <v>4.4338166413499733</v>
      </c>
      <c r="AB173" s="173">
        <f t="shared" si="38"/>
        <v>3.3999574982835847</v>
      </c>
      <c r="AC173" s="173">
        <f t="shared" si="39"/>
        <v>21.456656774457638</v>
      </c>
      <c r="AD173" s="173">
        <f t="shared" si="40"/>
        <v>3.7145446660831718</v>
      </c>
      <c r="AE173" s="173">
        <f t="shared" si="41"/>
        <v>18.056699276174054</v>
      </c>
      <c r="AI173" s="178" t="e">
        <f t="shared" si="42"/>
        <v>#N/A</v>
      </c>
      <c r="AJ173" s="178" t="e">
        <f t="shared" si="43"/>
        <v>#N/A</v>
      </c>
      <c r="AK173" s="178" t="e">
        <f t="shared" si="44"/>
        <v>#N/A</v>
      </c>
      <c r="AL173" s="178" t="e">
        <f t="shared" si="45"/>
        <v>#N/A</v>
      </c>
      <c r="AM173" s="166" t="e">
        <f t="shared" si="46"/>
        <v>#N/A</v>
      </c>
      <c r="AN173" s="166" t="e">
        <f t="shared" si="47"/>
        <v>#N/A</v>
      </c>
    </row>
    <row r="174" spans="19:40" x14ac:dyDescent="0.45">
      <c r="S174" s="170">
        <f>'PubMatic Data'!A171</f>
        <v>46052</v>
      </c>
      <c r="T174" s="171">
        <f>'PubMatic Data'!B171</f>
        <v>7.26</v>
      </c>
      <c r="U174" s="171">
        <f>_xlfn.XLOOKUP(S174,'Trade Deck Data'!$A:$A,'Trade Deck Data'!$B:$B,NA())</f>
        <v>30.33</v>
      </c>
      <c r="V174" s="172">
        <f t="shared" si="32"/>
        <v>330693</v>
      </c>
      <c r="W174" s="172">
        <f t="shared" si="33"/>
        <v>210722</v>
      </c>
      <c r="X174" s="172">
        <f t="shared" si="34"/>
        <v>14340024</v>
      </c>
      <c r="Y174" s="172">
        <f t="shared" si="35"/>
        <v>12854691</v>
      </c>
      <c r="Z174" s="173">
        <f t="shared" si="36"/>
        <v>0.72872329388655654</v>
      </c>
      <c r="AA174" s="173">
        <f t="shared" si="37"/>
        <v>4.5304632073842512</v>
      </c>
      <c r="AB174" s="173">
        <f t="shared" si="38"/>
        <v>3.4446333409618464</v>
      </c>
      <c r="AC174" s="173">
        <f t="shared" si="39"/>
        <v>21.924360417519445</v>
      </c>
      <c r="AD174" s="173">
        <f t="shared" si="40"/>
        <v>3.8017399134976948</v>
      </c>
      <c r="AE174" s="173">
        <f t="shared" si="41"/>
        <v>18.479727076557598</v>
      </c>
      <c r="AI174" s="178" t="e">
        <f t="shared" si="42"/>
        <v>#N/A</v>
      </c>
      <c r="AJ174" s="178" t="e">
        <f t="shared" si="43"/>
        <v>#N/A</v>
      </c>
      <c r="AK174" s="178" t="e">
        <f t="shared" si="44"/>
        <v>#N/A</v>
      </c>
      <c r="AL174" s="178" t="e">
        <f t="shared" si="45"/>
        <v>#N/A</v>
      </c>
      <c r="AM174" s="166" t="e">
        <f t="shared" si="46"/>
        <v>#N/A</v>
      </c>
      <c r="AN174" s="166" t="e">
        <f t="shared" si="47"/>
        <v>#N/A</v>
      </c>
    </row>
    <row r="175" spans="19:40" x14ac:dyDescent="0.45">
      <c r="S175" s="170">
        <f>'PubMatic Data'!A172</f>
        <v>46051</v>
      </c>
      <c r="T175" s="171">
        <f>'PubMatic Data'!B172</f>
        <v>7.45</v>
      </c>
      <c r="U175" s="171">
        <f>_xlfn.XLOOKUP(S175,'Trade Deck Data'!$A:$A,'Trade Deck Data'!$B:$B,NA())</f>
        <v>31.25</v>
      </c>
      <c r="V175" s="172">
        <f t="shared" si="32"/>
        <v>339347.49999999994</v>
      </c>
      <c r="W175" s="172">
        <f t="shared" si="33"/>
        <v>219376.49999999994</v>
      </c>
      <c r="X175" s="172">
        <f t="shared" si="34"/>
        <v>14775000</v>
      </c>
      <c r="Y175" s="172">
        <f t="shared" si="35"/>
        <v>13289667</v>
      </c>
      <c r="Z175" s="173">
        <f t="shared" si="36"/>
        <v>0.75865246951577969</v>
      </c>
      <c r="AA175" s="173">
        <f t="shared" si="37"/>
        <v>4.683764656955864</v>
      </c>
      <c r="AB175" s="173">
        <f t="shared" si="38"/>
        <v>3.5861068427763421</v>
      </c>
      <c r="AC175" s="173">
        <f t="shared" si="39"/>
        <v>22.666235161686451</v>
      </c>
      <c r="AD175" s="173">
        <f t="shared" si="40"/>
        <v>3.9251121874400843</v>
      </c>
      <c r="AE175" s="173">
        <f t="shared" si="41"/>
        <v>19.080128318910109</v>
      </c>
      <c r="AI175" s="178" t="e">
        <f t="shared" si="42"/>
        <v>#N/A</v>
      </c>
      <c r="AJ175" s="178" t="e">
        <f t="shared" si="43"/>
        <v>#N/A</v>
      </c>
      <c r="AK175" s="178" t="e">
        <f t="shared" si="44"/>
        <v>#N/A</v>
      </c>
      <c r="AL175" s="178" t="e">
        <f t="shared" si="45"/>
        <v>#N/A</v>
      </c>
      <c r="AM175" s="166" t="e">
        <f t="shared" si="46"/>
        <v>#N/A</v>
      </c>
      <c r="AN175" s="166" t="e">
        <f t="shared" si="47"/>
        <v>#N/A</v>
      </c>
    </row>
    <row r="176" spans="19:40" x14ac:dyDescent="0.45">
      <c r="S176" s="170">
        <f>'PubMatic Data'!A173</f>
        <v>46050</v>
      </c>
      <c r="T176" s="171">
        <f>'PubMatic Data'!B173</f>
        <v>7.48</v>
      </c>
      <c r="U176" s="171">
        <f>_xlfn.XLOOKUP(S176,'Trade Deck Data'!$A:$A,'Trade Deck Data'!$B:$B,NA())</f>
        <v>31.87</v>
      </c>
      <c r="V176" s="172">
        <f t="shared" si="32"/>
        <v>340714</v>
      </c>
      <c r="W176" s="172">
        <f t="shared" si="33"/>
        <v>220743</v>
      </c>
      <c r="X176" s="172">
        <f t="shared" si="34"/>
        <v>15068136</v>
      </c>
      <c r="Y176" s="172">
        <f t="shared" si="35"/>
        <v>13582803</v>
      </c>
      <c r="Z176" s="173">
        <f t="shared" si="36"/>
        <v>0.76337812882565725</v>
      </c>
      <c r="AA176" s="173">
        <f t="shared" si="37"/>
        <v>4.7870765034062996</v>
      </c>
      <c r="AB176" s="173">
        <f t="shared" si="38"/>
        <v>3.608444764115474</v>
      </c>
      <c r="AC176" s="173">
        <f t="shared" si="39"/>
        <v>23.166194228407697</v>
      </c>
      <c r="AD176" s="173">
        <f t="shared" si="40"/>
        <v>4.0236983745806425</v>
      </c>
      <c r="AE176" s="173">
        <f t="shared" si="41"/>
        <v>19.557749464292222</v>
      </c>
      <c r="AI176" s="178" t="e">
        <f t="shared" si="42"/>
        <v>#N/A</v>
      </c>
      <c r="AJ176" s="178" t="e">
        <f t="shared" si="43"/>
        <v>#N/A</v>
      </c>
      <c r="AK176" s="178" t="e">
        <f t="shared" si="44"/>
        <v>#N/A</v>
      </c>
      <c r="AL176" s="178" t="e">
        <f t="shared" si="45"/>
        <v>#N/A</v>
      </c>
      <c r="AM176" s="166" t="e">
        <f t="shared" si="46"/>
        <v>#N/A</v>
      </c>
      <c r="AN176" s="166" t="e">
        <f t="shared" si="47"/>
        <v>#N/A</v>
      </c>
    </row>
    <row r="177" spans="19:40" x14ac:dyDescent="0.45">
      <c r="S177" s="170">
        <f>'PubMatic Data'!A174</f>
        <v>46049</v>
      </c>
      <c r="T177" s="171">
        <f>'PubMatic Data'!B174</f>
        <v>7.63</v>
      </c>
      <c r="U177" s="171">
        <f>_xlfn.XLOOKUP(S177,'Trade Deck Data'!$A:$A,'Trade Deck Data'!$B:$B,NA())</f>
        <v>32.19</v>
      </c>
      <c r="V177" s="172">
        <f t="shared" si="32"/>
        <v>347546.5</v>
      </c>
      <c r="W177" s="172">
        <f t="shared" si="33"/>
        <v>227575.5</v>
      </c>
      <c r="X177" s="172">
        <f t="shared" si="34"/>
        <v>15219431.999999998</v>
      </c>
      <c r="Y177" s="172">
        <f t="shared" si="35"/>
        <v>13734098.999999998</v>
      </c>
      <c r="Z177" s="173">
        <f t="shared" si="36"/>
        <v>0.78700642537504406</v>
      </c>
      <c r="AA177" s="173">
        <f t="shared" si="37"/>
        <v>4.8403987467355556</v>
      </c>
      <c r="AB177" s="173">
        <f t="shared" si="38"/>
        <v>3.7201343708111287</v>
      </c>
      <c r="AC177" s="173">
        <f t="shared" si="39"/>
        <v>23.424237617683172</v>
      </c>
      <c r="AD177" s="173">
        <f t="shared" si="40"/>
        <v>4.0533923213605112</v>
      </c>
      <c r="AE177" s="173">
        <f t="shared" si="41"/>
        <v>19.704103246872045</v>
      </c>
      <c r="AI177" s="178" t="e">
        <f t="shared" si="42"/>
        <v>#N/A</v>
      </c>
      <c r="AJ177" s="178" t="e">
        <f t="shared" si="43"/>
        <v>#N/A</v>
      </c>
      <c r="AK177" s="178" t="e">
        <f t="shared" si="44"/>
        <v>#N/A</v>
      </c>
      <c r="AL177" s="178" t="e">
        <f t="shared" si="45"/>
        <v>#N/A</v>
      </c>
      <c r="AM177" s="166" t="e">
        <f t="shared" si="46"/>
        <v>#N/A</v>
      </c>
      <c r="AN177" s="166" t="e">
        <f t="shared" si="47"/>
        <v>#N/A</v>
      </c>
    </row>
    <row r="178" spans="19:40" x14ac:dyDescent="0.45">
      <c r="S178" s="170">
        <f>'PubMatic Data'!A175</f>
        <v>46048</v>
      </c>
      <c r="T178" s="171">
        <f>'PubMatic Data'!B175</f>
        <v>7.7</v>
      </c>
      <c r="U178" s="171">
        <f>_xlfn.XLOOKUP(S178,'Trade Deck Data'!$A:$A,'Trade Deck Data'!$B:$B,NA())</f>
        <v>33.81</v>
      </c>
      <c r="V178" s="172">
        <f t="shared" si="32"/>
        <v>350735</v>
      </c>
      <c r="W178" s="172">
        <f t="shared" si="33"/>
        <v>230764</v>
      </c>
      <c r="X178" s="172">
        <f t="shared" si="34"/>
        <v>15985368.000000002</v>
      </c>
      <c r="Y178" s="172">
        <f t="shared" si="35"/>
        <v>14500035.000000002</v>
      </c>
      <c r="Z178" s="173">
        <f t="shared" si="36"/>
        <v>0.79803296376475796</v>
      </c>
      <c r="AA178" s="173">
        <f t="shared" si="37"/>
        <v>5.1103426035899195</v>
      </c>
      <c r="AB178" s="173">
        <f t="shared" si="38"/>
        <v>3.7722561872691012</v>
      </c>
      <c r="AC178" s="173">
        <f t="shared" si="39"/>
        <v>24.730582275890303</v>
      </c>
      <c r="AD178" s="173">
        <f t="shared" si="40"/>
        <v>4.3123096398251617</v>
      </c>
      <c r="AE178" s="173">
        <f t="shared" si="41"/>
        <v>20.958326088621202</v>
      </c>
      <c r="AI178" s="178" t="e">
        <f t="shared" si="42"/>
        <v>#N/A</v>
      </c>
      <c r="AJ178" s="178" t="e">
        <f t="shared" si="43"/>
        <v>#N/A</v>
      </c>
      <c r="AK178" s="178" t="e">
        <f t="shared" si="44"/>
        <v>#N/A</v>
      </c>
      <c r="AL178" s="178" t="e">
        <f t="shared" si="45"/>
        <v>#N/A</v>
      </c>
      <c r="AM178" s="166" t="e">
        <f t="shared" si="46"/>
        <v>#N/A</v>
      </c>
      <c r="AN178" s="166" t="e">
        <f t="shared" si="47"/>
        <v>#N/A</v>
      </c>
    </row>
    <row r="179" spans="19:40" x14ac:dyDescent="0.45">
      <c r="S179" s="170">
        <f>'PubMatic Data'!A176</f>
        <v>46045</v>
      </c>
      <c r="T179" s="171">
        <f>'PubMatic Data'!B176</f>
        <v>7.73</v>
      </c>
      <c r="U179" s="171">
        <f>_xlfn.XLOOKUP(S179,'Trade Deck Data'!$A:$A,'Trade Deck Data'!$B:$B,NA())</f>
        <v>36.549999999999997</v>
      </c>
      <c r="V179" s="172">
        <f t="shared" si="32"/>
        <v>352101.5</v>
      </c>
      <c r="W179" s="172">
        <f t="shared" si="33"/>
        <v>232130.5</v>
      </c>
      <c r="X179" s="172">
        <f t="shared" si="34"/>
        <v>17280840</v>
      </c>
      <c r="Y179" s="172">
        <f t="shared" si="35"/>
        <v>15795507</v>
      </c>
      <c r="Z179" s="173">
        <f t="shared" si="36"/>
        <v>0.8027586230746353</v>
      </c>
      <c r="AA179" s="173">
        <f t="shared" si="37"/>
        <v>5.5669143120966806</v>
      </c>
      <c r="AB179" s="173">
        <f t="shared" si="38"/>
        <v>3.7945941086082322</v>
      </c>
      <c r="AC179" s="173">
        <f t="shared" si="39"/>
        <v>26.940078796561604</v>
      </c>
      <c r="AD179" s="173">
        <f t="shared" si="40"/>
        <v>4.7641556890220453</v>
      </c>
      <c r="AE179" s="173">
        <f t="shared" si="41"/>
        <v>23.14548468795337</v>
      </c>
      <c r="AI179" s="178" t="e">
        <f t="shared" si="42"/>
        <v>#N/A</v>
      </c>
      <c r="AJ179" s="178" t="e">
        <f t="shared" si="43"/>
        <v>#N/A</v>
      </c>
      <c r="AK179" s="178" t="e">
        <f t="shared" si="44"/>
        <v>#N/A</v>
      </c>
      <c r="AL179" s="178" t="e">
        <f t="shared" si="45"/>
        <v>#N/A</v>
      </c>
      <c r="AM179" s="166" t="e">
        <f t="shared" si="46"/>
        <v>#N/A</v>
      </c>
      <c r="AN179" s="166" t="e">
        <f t="shared" si="47"/>
        <v>#N/A</v>
      </c>
    </row>
    <row r="180" spans="19:40" x14ac:dyDescent="0.45">
      <c r="S180" s="170">
        <f>'PubMatic Data'!A177</f>
        <v>46044</v>
      </c>
      <c r="T180" s="171">
        <f>'PubMatic Data'!B177</f>
        <v>7.79</v>
      </c>
      <c r="U180" s="171">
        <f>_xlfn.XLOOKUP(S180,'Trade Deck Data'!$A:$A,'Trade Deck Data'!$B:$B,NA())</f>
        <v>36.82</v>
      </c>
      <c r="V180" s="172">
        <f t="shared" si="32"/>
        <v>354834.5</v>
      </c>
      <c r="W180" s="172">
        <f t="shared" si="33"/>
        <v>234863.5</v>
      </c>
      <c r="X180" s="172">
        <f t="shared" si="34"/>
        <v>17408496</v>
      </c>
      <c r="Y180" s="172">
        <f t="shared" si="35"/>
        <v>15923163</v>
      </c>
      <c r="Z180" s="173">
        <f t="shared" si="36"/>
        <v>0.81220994169439009</v>
      </c>
      <c r="AA180" s="173">
        <f t="shared" si="37"/>
        <v>5.6119049549057411</v>
      </c>
      <c r="AB180" s="173">
        <f t="shared" si="38"/>
        <v>3.8392699512864943</v>
      </c>
      <c r="AC180" s="173">
        <f t="shared" si="39"/>
        <v>27.157802906262791</v>
      </c>
      <c r="AD180" s="173">
        <f t="shared" si="40"/>
        <v>4.7996950132113509</v>
      </c>
      <c r="AE180" s="173">
        <f t="shared" si="41"/>
        <v>23.318532954976298</v>
      </c>
      <c r="AI180" s="178" t="e">
        <f t="shared" si="42"/>
        <v>#N/A</v>
      </c>
      <c r="AJ180" s="178" t="e">
        <f t="shared" si="43"/>
        <v>#N/A</v>
      </c>
      <c r="AK180" s="178" t="e">
        <f t="shared" si="44"/>
        <v>#N/A</v>
      </c>
      <c r="AL180" s="178" t="e">
        <f t="shared" si="45"/>
        <v>#N/A</v>
      </c>
      <c r="AM180" s="166" t="e">
        <f t="shared" si="46"/>
        <v>#N/A</v>
      </c>
      <c r="AN180" s="166" t="e">
        <f t="shared" si="47"/>
        <v>#N/A</v>
      </c>
    </row>
    <row r="181" spans="19:40" x14ac:dyDescent="0.45">
      <c r="S181" s="170">
        <f>'PubMatic Data'!A178</f>
        <v>46043</v>
      </c>
      <c r="T181" s="171">
        <f>'PubMatic Data'!B178</f>
        <v>7.46</v>
      </c>
      <c r="U181" s="171">
        <f>_xlfn.XLOOKUP(S181,'Trade Deck Data'!$A:$A,'Trade Deck Data'!$B:$B,NA())</f>
        <v>35.33</v>
      </c>
      <c r="V181" s="172">
        <f t="shared" si="32"/>
        <v>339803</v>
      </c>
      <c r="W181" s="172">
        <f t="shared" si="33"/>
        <v>219832</v>
      </c>
      <c r="X181" s="172">
        <f t="shared" si="34"/>
        <v>16704024.000000002</v>
      </c>
      <c r="Y181" s="172">
        <f t="shared" si="35"/>
        <v>15218691.000000002</v>
      </c>
      <c r="Z181" s="173">
        <f t="shared" si="36"/>
        <v>0.76022768928573903</v>
      </c>
      <c r="AA181" s="173">
        <f t="shared" si="37"/>
        <v>5.3636232594038891</v>
      </c>
      <c r="AB181" s="173">
        <f t="shared" si="38"/>
        <v>3.5935528165560533</v>
      </c>
      <c r="AC181" s="173">
        <f t="shared" si="39"/>
        <v>25.956288374948837</v>
      </c>
      <c r="AD181" s="173">
        <f t="shared" si="40"/>
        <v>4.6033955701181499</v>
      </c>
      <c r="AE181" s="173">
        <f t="shared" si="41"/>
        <v>22.362735558392785</v>
      </c>
      <c r="AI181" s="178" t="e">
        <f t="shared" si="42"/>
        <v>#N/A</v>
      </c>
      <c r="AJ181" s="178" t="e">
        <f t="shared" si="43"/>
        <v>#N/A</v>
      </c>
      <c r="AK181" s="178" t="e">
        <f t="shared" si="44"/>
        <v>#N/A</v>
      </c>
      <c r="AL181" s="178" t="e">
        <f t="shared" si="45"/>
        <v>#N/A</v>
      </c>
      <c r="AM181" s="166" t="e">
        <f t="shared" si="46"/>
        <v>#N/A</v>
      </c>
      <c r="AN181" s="166" t="e">
        <f t="shared" si="47"/>
        <v>#N/A</v>
      </c>
    </row>
    <row r="182" spans="19:40" x14ac:dyDescent="0.45">
      <c r="S182" s="170">
        <f>'PubMatic Data'!A179</f>
        <v>46042</v>
      </c>
      <c r="T182" s="171">
        <f>'PubMatic Data'!B179</f>
        <v>7.5350000000000001</v>
      </c>
      <c r="U182" s="171">
        <f>_xlfn.XLOOKUP(S182,'Trade Deck Data'!$A:$A,'Trade Deck Data'!$B:$B,NA())</f>
        <v>34.15</v>
      </c>
      <c r="V182" s="172">
        <f t="shared" si="32"/>
        <v>343219.25</v>
      </c>
      <c r="W182" s="172">
        <f t="shared" si="33"/>
        <v>223248.25</v>
      </c>
      <c r="X182" s="172">
        <f t="shared" si="34"/>
        <v>16146119.999999998</v>
      </c>
      <c r="Y182" s="172">
        <f t="shared" si="35"/>
        <v>14660786.999999998</v>
      </c>
      <c r="Z182" s="173">
        <f t="shared" si="36"/>
        <v>0.77204183756043243</v>
      </c>
      <c r="AA182" s="173">
        <f t="shared" si="37"/>
        <v>5.1669974871272535</v>
      </c>
      <c r="AB182" s="173">
        <f t="shared" si="38"/>
        <v>3.6493976199038807</v>
      </c>
      <c r="AC182" s="173">
        <f t="shared" si="39"/>
        <v>25.004753376995495</v>
      </c>
      <c r="AD182" s="173">
        <f t="shared" si="40"/>
        <v>4.3949556495668212</v>
      </c>
      <c r="AE182" s="173">
        <f t="shared" si="41"/>
        <v>21.355355757091615</v>
      </c>
      <c r="AI182" s="178" t="e">
        <f t="shared" si="42"/>
        <v>#N/A</v>
      </c>
      <c r="AJ182" s="178" t="e">
        <f t="shared" si="43"/>
        <v>#N/A</v>
      </c>
      <c r="AK182" s="178" t="e">
        <f t="shared" si="44"/>
        <v>#N/A</v>
      </c>
      <c r="AL182" s="178" t="e">
        <f t="shared" si="45"/>
        <v>#N/A</v>
      </c>
      <c r="AM182" s="166" t="e">
        <f t="shared" si="46"/>
        <v>#N/A</v>
      </c>
      <c r="AN182" s="166" t="e">
        <f t="shared" si="47"/>
        <v>#N/A</v>
      </c>
    </row>
    <row r="183" spans="19:40" x14ac:dyDescent="0.45">
      <c r="S183" s="170">
        <f>'PubMatic Data'!A180</f>
        <v>46038</v>
      </c>
      <c r="T183" s="171">
        <f>'PubMatic Data'!B180</f>
        <v>7.61</v>
      </c>
      <c r="U183" s="171">
        <f>_xlfn.XLOOKUP(S183,'Trade Deck Data'!$A:$A,'Trade Deck Data'!$B:$B,NA())</f>
        <v>35.479999999999997</v>
      </c>
      <c r="V183" s="172">
        <f t="shared" si="32"/>
        <v>346635.5</v>
      </c>
      <c r="W183" s="172">
        <f t="shared" si="33"/>
        <v>226664.5</v>
      </c>
      <c r="X183" s="172">
        <f t="shared" si="34"/>
        <v>16774944</v>
      </c>
      <c r="Y183" s="172">
        <f t="shared" si="35"/>
        <v>15289611</v>
      </c>
      <c r="Z183" s="173">
        <f t="shared" si="36"/>
        <v>0.78385598583512583</v>
      </c>
      <c r="AA183" s="173">
        <f t="shared" si="37"/>
        <v>5.388618060964478</v>
      </c>
      <c r="AB183" s="173">
        <f t="shared" si="38"/>
        <v>3.7052424232517081</v>
      </c>
      <c r="AC183" s="173">
        <f t="shared" si="39"/>
        <v>26.077246213671714</v>
      </c>
      <c r="AD183" s="173">
        <f t="shared" si="40"/>
        <v>4.6047620751293525</v>
      </c>
      <c r="AE183" s="173">
        <f t="shared" si="41"/>
        <v>22.372003790420006</v>
      </c>
      <c r="AI183" s="178" t="e">
        <f t="shared" si="42"/>
        <v>#N/A</v>
      </c>
      <c r="AJ183" s="178" t="e">
        <f t="shared" si="43"/>
        <v>#N/A</v>
      </c>
      <c r="AK183" s="178" t="e">
        <f t="shared" si="44"/>
        <v>#N/A</v>
      </c>
      <c r="AL183" s="178" t="e">
        <f t="shared" si="45"/>
        <v>#N/A</v>
      </c>
      <c r="AM183" s="166" t="e">
        <f t="shared" si="46"/>
        <v>#N/A</v>
      </c>
      <c r="AN183" s="166" t="e">
        <f t="shared" si="47"/>
        <v>#N/A</v>
      </c>
    </row>
    <row r="184" spans="19:40" x14ac:dyDescent="0.45">
      <c r="S184" s="170">
        <f>'PubMatic Data'!A181</f>
        <v>46037</v>
      </c>
      <c r="T184" s="171">
        <f>'PubMatic Data'!B181</f>
        <v>7.84</v>
      </c>
      <c r="U184" s="171">
        <f>_xlfn.XLOOKUP(S184,'Trade Deck Data'!$A:$A,'Trade Deck Data'!$B:$B,NA())</f>
        <v>36.229999999999997</v>
      </c>
      <c r="V184" s="172">
        <f t="shared" si="32"/>
        <v>357111.99999999994</v>
      </c>
      <c r="W184" s="172">
        <f t="shared" si="33"/>
        <v>237140.99999999994</v>
      </c>
      <c r="X184" s="172">
        <f t="shared" si="34"/>
        <v>17129543.999999996</v>
      </c>
      <c r="Y184" s="172">
        <f t="shared" si="35"/>
        <v>15644210.999999996</v>
      </c>
      <c r="Z184" s="173">
        <f t="shared" si="36"/>
        <v>0.82008604054418555</v>
      </c>
      <c r="AA184" s="173">
        <f t="shared" si="37"/>
        <v>5.513592068767422</v>
      </c>
      <c r="AB184" s="173">
        <f t="shared" si="38"/>
        <v>3.8764998201850451</v>
      </c>
      <c r="AC184" s="173">
        <f t="shared" si="39"/>
        <v>26.682035407286119</v>
      </c>
      <c r="AD184" s="173">
        <f t="shared" si="40"/>
        <v>4.6935060282232364</v>
      </c>
      <c r="AE184" s="173">
        <f t="shared" si="41"/>
        <v>22.805535587101073</v>
      </c>
      <c r="AI184" s="178" t="e">
        <f t="shared" si="42"/>
        <v>#N/A</v>
      </c>
      <c r="AJ184" s="178" t="e">
        <f t="shared" si="43"/>
        <v>#N/A</v>
      </c>
      <c r="AK184" s="178" t="e">
        <f t="shared" si="44"/>
        <v>#N/A</v>
      </c>
      <c r="AL184" s="178" t="e">
        <f t="shared" si="45"/>
        <v>#N/A</v>
      </c>
      <c r="AM184" s="166" t="e">
        <f t="shared" si="46"/>
        <v>#N/A</v>
      </c>
      <c r="AN184" s="166" t="e">
        <f t="shared" si="47"/>
        <v>#N/A</v>
      </c>
    </row>
    <row r="185" spans="19:40" x14ac:dyDescent="0.45">
      <c r="S185" s="170">
        <f>'PubMatic Data'!A182</f>
        <v>46036</v>
      </c>
      <c r="T185" s="171">
        <f>'PubMatic Data'!B182</f>
        <v>7.92</v>
      </c>
      <c r="U185" s="171">
        <f>_xlfn.XLOOKUP(S185,'Trade Deck Data'!$A:$A,'Trade Deck Data'!$B:$B,NA())</f>
        <v>37.130000000000003</v>
      </c>
      <c r="V185" s="172">
        <f t="shared" si="32"/>
        <v>360756</v>
      </c>
      <c r="W185" s="172">
        <f t="shared" si="33"/>
        <v>240785</v>
      </c>
      <c r="X185" s="172">
        <f t="shared" si="34"/>
        <v>17555064.000000004</v>
      </c>
      <c r="Y185" s="172">
        <f t="shared" si="35"/>
        <v>16069731.000000004</v>
      </c>
      <c r="Z185" s="173">
        <f t="shared" si="36"/>
        <v>0.83268779870385867</v>
      </c>
      <c r="AA185" s="173">
        <f t="shared" si="37"/>
        <v>5.6635608781309594</v>
      </c>
      <c r="AB185" s="173">
        <f t="shared" si="38"/>
        <v>3.9360676104227288</v>
      </c>
      <c r="AC185" s="173">
        <f t="shared" si="39"/>
        <v>27.407782439623421</v>
      </c>
      <c r="AD185" s="173">
        <f t="shared" si="40"/>
        <v>4.8308730794271009</v>
      </c>
      <c r="AE185" s="173">
        <f t="shared" si="41"/>
        <v>23.471714829200693</v>
      </c>
      <c r="AI185" s="178" t="e">
        <f t="shared" si="42"/>
        <v>#N/A</v>
      </c>
      <c r="AJ185" s="178" t="e">
        <f t="shared" si="43"/>
        <v>#N/A</v>
      </c>
      <c r="AK185" s="178" t="e">
        <f t="shared" si="44"/>
        <v>#N/A</v>
      </c>
      <c r="AL185" s="178" t="e">
        <f t="shared" si="45"/>
        <v>#N/A</v>
      </c>
      <c r="AM185" s="166" t="e">
        <f t="shared" si="46"/>
        <v>#N/A</v>
      </c>
      <c r="AN185" s="166" t="e">
        <f t="shared" si="47"/>
        <v>#N/A</v>
      </c>
    </row>
    <row r="186" spans="19:40" x14ac:dyDescent="0.45">
      <c r="S186" s="170">
        <f>'PubMatic Data'!A183</f>
        <v>46035</v>
      </c>
      <c r="T186" s="171">
        <f>'PubMatic Data'!B183</f>
        <v>8.34</v>
      </c>
      <c r="U186" s="171">
        <f>_xlfn.XLOOKUP(S186,'Trade Deck Data'!$A:$A,'Trade Deck Data'!$B:$B,NA())</f>
        <v>37.14</v>
      </c>
      <c r="V186" s="172">
        <f t="shared" si="32"/>
        <v>379886.99999999994</v>
      </c>
      <c r="W186" s="172">
        <f t="shared" si="33"/>
        <v>259915.99999999994</v>
      </c>
      <c r="X186" s="172">
        <f t="shared" si="34"/>
        <v>17559792</v>
      </c>
      <c r="Y186" s="172">
        <f t="shared" si="35"/>
        <v>16074459</v>
      </c>
      <c r="Z186" s="173">
        <f t="shared" si="36"/>
        <v>0.89884702904214164</v>
      </c>
      <c r="AA186" s="173">
        <f t="shared" si="37"/>
        <v>5.665227198234998</v>
      </c>
      <c r="AB186" s="173">
        <f t="shared" si="38"/>
        <v>4.2487985091705616</v>
      </c>
      <c r="AC186" s="173">
        <f t="shared" si="39"/>
        <v>27.415846295538273</v>
      </c>
      <c r="AD186" s="173">
        <f t="shared" si="40"/>
        <v>4.766380169192856</v>
      </c>
      <c r="AE186" s="173">
        <f t="shared" si="41"/>
        <v>23.167047786367711</v>
      </c>
      <c r="AI186" s="178" t="e">
        <f t="shared" si="42"/>
        <v>#N/A</v>
      </c>
      <c r="AJ186" s="178" t="e">
        <f t="shared" si="43"/>
        <v>#N/A</v>
      </c>
      <c r="AK186" s="178" t="e">
        <f t="shared" si="44"/>
        <v>#N/A</v>
      </c>
      <c r="AL186" s="178" t="e">
        <f t="shared" si="45"/>
        <v>#N/A</v>
      </c>
      <c r="AM186" s="166" t="e">
        <f t="shared" si="46"/>
        <v>#N/A</v>
      </c>
      <c r="AN186" s="166" t="e">
        <f t="shared" si="47"/>
        <v>#N/A</v>
      </c>
    </row>
    <row r="187" spans="19:40" x14ac:dyDescent="0.45">
      <c r="S187" s="170">
        <f>'PubMatic Data'!A184</f>
        <v>46034</v>
      </c>
      <c r="T187" s="171">
        <f>'PubMatic Data'!B184</f>
        <v>8.58</v>
      </c>
      <c r="U187" s="171">
        <f>_xlfn.XLOOKUP(S187,'Trade Deck Data'!$A:$A,'Trade Deck Data'!$B:$B,NA())</f>
        <v>36.9</v>
      </c>
      <c r="V187" s="172">
        <f t="shared" si="32"/>
        <v>390818.99999999994</v>
      </c>
      <c r="W187" s="172">
        <f t="shared" si="33"/>
        <v>270847.99999999994</v>
      </c>
      <c r="X187" s="172">
        <f t="shared" si="34"/>
        <v>17446320</v>
      </c>
      <c r="Y187" s="172">
        <f t="shared" si="35"/>
        <v>15960987</v>
      </c>
      <c r="Z187" s="173">
        <f t="shared" si="36"/>
        <v>0.93665230352116069</v>
      </c>
      <c r="AA187" s="173">
        <f t="shared" si="37"/>
        <v>5.6252355157380549</v>
      </c>
      <c r="AB187" s="173">
        <f t="shared" si="38"/>
        <v>4.4275018798836099</v>
      </c>
      <c r="AC187" s="173">
        <f t="shared" si="39"/>
        <v>27.222313753581663</v>
      </c>
      <c r="AD187" s="173">
        <f t="shared" si="40"/>
        <v>4.6885832122168942</v>
      </c>
      <c r="AE187" s="173">
        <f t="shared" si="41"/>
        <v>22.794811873698052</v>
      </c>
      <c r="AI187" s="178" t="e">
        <f t="shared" si="42"/>
        <v>#N/A</v>
      </c>
      <c r="AJ187" s="178" t="e">
        <f t="shared" si="43"/>
        <v>#N/A</v>
      </c>
      <c r="AK187" s="178" t="e">
        <f t="shared" si="44"/>
        <v>#N/A</v>
      </c>
      <c r="AL187" s="178" t="e">
        <f t="shared" si="45"/>
        <v>#N/A</v>
      </c>
      <c r="AM187" s="166" t="e">
        <f t="shared" si="46"/>
        <v>#N/A</v>
      </c>
      <c r="AN187" s="166" t="e">
        <f t="shared" si="47"/>
        <v>#N/A</v>
      </c>
    </row>
    <row r="188" spans="19:40" x14ac:dyDescent="0.45">
      <c r="S188" s="170">
        <f>'PubMatic Data'!A185</f>
        <v>46031</v>
      </c>
      <c r="T188" s="171">
        <f>'PubMatic Data'!B185</f>
        <v>8.3699999999999992</v>
      </c>
      <c r="U188" s="171">
        <f>_xlfn.XLOOKUP(S188,'Trade Deck Data'!$A:$A,'Trade Deck Data'!$B:$B,NA())</f>
        <v>37.29</v>
      </c>
      <c r="V188" s="172">
        <f t="shared" si="32"/>
        <v>381253.49999999994</v>
      </c>
      <c r="W188" s="172">
        <f t="shared" si="33"/>
        <v>261282.49999999994</v>
      </c>
      <c r="X188" s="172">
        <f t="shared" si="34"/>
        <v>17630712</v>
      </c>
      <c r="Y188" s="172">
        <f t="shared" si="35"/>
        <v>16145379</v>
      </c>
      <c r="Z188" s="173">
        <f t="shared" si="36"/>
        <v>0.90357268835201909</v>
      </c>
      <c r="AA188" s="173">
        <f t="shared" si="37"/>
        <v>5.690221999795587</v>
      </c>
      <c r="AB188" s="173">
        <f t="shared" si="38"/>
        <v>4.271136430509693</v>
      </c>
      <c r="AC188" s="173">
        <f t="shared" si="39"/>
        <v>27.536804134261153</v>
      </c>
      <c r="AD188" s="173">
        <f t="shared" si="40"/>
        <v>4.7866493114435675</v>
      </c>
      <c r="AE188" s="173">
        <f t="shared" si="41"/>
        <v>23.265667703751461</v>
      </c>
      <c r="AI188" s="178" t="e">
        <f t="shared" si="42"/>
        <v>#N/A</v>
      </c>
      <c r="AJ188" s="178" t="e">
        <f t="shared" si="43"/>
        <v>#N/A</v>
      </c>
      <c r="AK188" s="178" t="e">
        <f t="shared" si="44"/>
        <v>#N/A</v>
      </c>
      <c r="AL188" s="178" t="e">
        <f t="shared" si="45"/>
        <v>#N/A</v>
      </c>
      <c r="AM188" s="166" t="e">
        <f t="shared" si="46"/>
        <v>#N/A</v>
      </c>
      <c r="AN188" s="166" t="e">
        <f t="shared" si="47"/>
        <v>#N/A</v>
      </c>
    </row>
    <row r="189" spans="19:40" x14ac:dyDescent="0.45">
      <c r="S189" s="170">
        <f>'PubMatic Data'!A186</f>
        <v>46030</v>
      </c>
      <c r="T189" s="171">
        <f>'PubMatic Data'!B186</f>
        <v>8.56</v>
      </c>
      <c r="U189" s="171">
        <f>_xlfn.XLOOKUP(S189,'Trade Deck Data'!$A:$A,'Trade Deck Data'!$B:$B,NA())</f>
        <v>37.299999999999997</v>
      </c>
      <c r="V189" s="172">
        <f t="shared" si="32"/>
        <v>389908</v>
      </c>
      <c r="W189" s="172">
        <f t="shared" si="33"/>
        <v>269937</v>
      </c>
      <c r="X189" s="172">
        <f t="shared" si="34"/>
        <v>17635440</v>
      </c>
      <c r="Y189" s="172">
        <f t="shared" si="35"/>
        <v>16150107</v>
      </c>
      <c r="Z189" s="173">
        <f t="shared" si="36"/>
        <v>0.93350186398124257</v>
      </c>
      <c r="AA189" s="173">
        <f t="shared" si="37"/>
        <v>5.6918883198996264</v>
      </c>
      <c r="AB189" s="173">
        <f t="shared" si="38"/>
        <v>4.4126099323241901</v>
      </c>
      <c r="AC189" s="173">
        <f t="shared" si="39"/>
        <v>27.544867990176012</v>
      </c>
      <c r="AD189" s="173">
        <f t="shared" si="40"/>
        <v>4.7583864559183837</v>
      </c>
      <c r="AE189" s="173">
        <f t="shared" si="41"/>
        <v>23.132258057851821</v>
      </c>
      <c r="AI189" s="178" t="e">
        <f t="shared" si="42"/>
        <v>#N/A</v>
      </c>
      <c r="AJ189" s="178" t="e">
        <f t="shared" si="43"/>
        <v>#N/A</v>
      </c>
      <c r="AK189" s="178" t="e">
        <f t="shared" si="44"/>
        <v>#N/A</v>
      </c>
      <c r="AL189" s="178" t="e">
        <f t="shared" si="45"/>
        <v>#N/A</v>
      </c>
      <c r="AM189" s="166" t="e">
        <f t="shared" si="46"/>
        <v>#N/A</v>
      </c>
      <c r="AN189" s="166" t="e">
        <f t="shared" si="47"/>
        <v>#N/A</v>
      </c>
    </row>
    <row r="190" spans="19:40" x14ac:dyDescent="0.45">
      <c r="S190" s="170">
        <f>'PubMatic Data'!A187</f>
        <v>46029</v>
      </c>
      <c r="T190" s="171">
        <f>'PubMatic Data'!B187</f>
        <v>8.67</v>
      </c>
      <c r="U190" s="171">
        <f>_xlfn.XLOOKUP(S190,'Trade Deck Data'!$A:$A,'Trade Deck Data'!$B:$B,NA())</f>
        <v>38.65</v>
      </c>
      <c r="V190" s="172">
        <f t="shared" si="32"/>
        <v>394918.5</v>
      </c>
      <c r="W190" s="172">
        <f t="shared" si="33"/>
        <v>274947.5</v>
      </c>
      <c r="X190" s="172">
        <f t="shared" si="34"/>
        <v>18273720</v>
      </c>
      <c r="Y190" s="172">
        <f t="shared" si="35"/>
        <v>16788387</v>
      </c>
      <c r="Z190" s="173">
        <f t="shared" si="36"/>
        <v>0.95082928145079293</v>
      </c>
      <c r="AA190" s="173">
        <f t="shared" si="37"/>
        <v>5.9168415339449281</v>
      </c>
      <c r="AB190" s="173">
        <f t="shared" si="38"/>
        <v>4.4945156439010034</v>
      </c>
      <c r="AC190" s="173">
        <f t="shared" si="39"/>
        <v>28.633488538681949</v>
      </c>
      <c r="AD190" s="173">
        <f t="shared" si="40"/>
        <v>4.966012252494135</v>
      </c>
      <c r="AE190" s="173">
        <f t="shared" si="41"/>
        <v>24.138972894780945</v>
      </c>
      <c r="AI190" s="178" t="e">
        <f t="shared" si="42"/>
        <v>#N/A</v>
      </c>
      <c r="AJ190" s="178" t="e">
        <f t="shared" si="43"/>
        <v>#N/A</v>
      </c>
      <c r="AK190" s="178" t="e">
        <f t="shared" si="44"/>
        <v>#N/A</v>
      </c>
      <c r="AL190" s="178" t="e">
        <f t="shared" si="45"/>
        <v>#N/A</v>
      </c>
      <c r="AM190" s="166" t="e">
        <f t="shared" si="46"/>
        <v>#N/A</v>
      </c>
      <c r="AN190" s="166" t="e">
        <f t="shared" si="47"/>
        <v>#N/A</v>
      </c>
    </row>
    <row r="191" spans="19:40" x14ac:dyDescent="0.45">
      <c r="S191" s="170">
        <f>'PubMatic Data'!A188</f>
        <v>46028</v>
      </c>
      <c r="T191" s="171">
        <f>'PubMatic Data'!B188</f>
        <v>8.83</v>
      </c>
      <c r="U191" s="171">
        <f>_xlfn.XLOOKUP(S191,'Trade Deck Data'!$A:$A,'Trade Deck Data'!$B:$B,NA())</f>
        <v>39.74</v>
      </c>
      <c r="V191" s="172">
        <f t="shared" si="32"/>
        <v>402206.5</v>
      </c>
      <c r="W191" s="172">
        <f t="shared" si="33"/>
        <v>282235.5</v>
      </c>
      <c r="X191" s="172">
        <f t="shared" si="34"/>
        <v>18789072</v>
      </c>
      <c r="Y191" s="172">
        <f t="shared" si="35"/>
        <v>17303739</v>
      </c>
      <c r="Z191" s="173">
        <f t="shared" si="36"/>
        <v>0.97603279777013896</v>
      </c>
      <c r="AA191" s="173">
        <f t="shared" si="37"/>
        <v>6.0984704252852096</v>
      </c>
      <c r="AB191" s="173">
        <f t="shared" si="38"/>
        <v>4.613651224376369</v>
      </c>
      <c r="AC191" s="173">
        <f t="shared" si="39"/>
        <v>29.512448833401557</v>
      </c>
      <c r="AD191" s="173">
        <f t="shared" si="40"/>
        <v>5.1224376275150707</v>
      </c>
      <c r="AE191" s="173">
        <f t="shared" si="41"/>
        <v>24.898797609025188</v>
      </c>
      <c r="AI191" s="178" t="e">
        <f t="shared" si="42"/>
        <v>#N/A</v>
      </c>
      <c r="AJ191" s="178" t="e">
        <f t="shared" si="43"/>
        <v>#N/A</v>
      </c>
      <c r="AK191" s="178" t="e">
        <f t="shared" si="44"/>
        <v>#N/A</v>
      </c>
      <c r="AL191" s="178" t="e">
        <f t="shared" si="45"/>
        <v>#N/A</v>
      </c>
      <c r="AM191" s="166" t="e">
        <f t="shared" si="46"/>
        <v>#N/A</v>
      </c>
      <c r="AN191" s="166" t="e">
        <f t="shared" si="47"/>
        <v>#N/A</v>
      </c>
    </row>
    <row r="192" spans="19:40" x14ac:dyDescent="0.45">
      <c r="S192" s="170">
        <f>'PubMatic Data'!A189</f>
        <v>46027</v>
      </c>
      <c r="T192" s="171">
        <f>'PubMatic Data'!B189</f>
        <v>8.76</v>
      </c>
      <c r="U192" s="171">
        <f>_xlfn.XLOOKUP(S192,'Trade Deck Data'!$A:$A,'Trade Deck Data'!$B:$B,NA())</f>
        <v>40.11</v>
      </c>
      <c r="V192" s="172">
        <f t="shared" si="32"/>
        <v>399018</v>
      </c>
      <c r="W192" s="172">
        <f t="shared" si="33"/>
        <v>279047</v>
      </c>
      <c r="X192" s="172">
        <f t="shared" si="34"/>
        <v>18964008</v>
      </c>
      <c r="Y192" s="172">
        <f t="shared" si="35"/>
        <v>17478675</v>
      </c>
      <c r="Z192" s="173">
        <f t="shared" si="36"/>
        <v>0.96500625938042506</v>
      </c>
      <c r="AA192" s="173">
        <f t="shared" si="37"/>
        <v>6.1601242691346627</v>
      </c>
      <c r="AB192" s="173">
        <f t="shared" si="38"/>
        <v>4.561529407918397</v>
      </c>
      <c r="AC192" s="173">
        <f t="shared" si="39"/>
        <v>29.81081150225133</v>
      </c>
      <c r="AD192" s="173">
        <f t="shared" si="40"/>
        <v>5.1951180097542373</v>
      </c>
      <c r="AE192" s="173">
        <f t="shared" si="41"/>
        <v>25.249282094332933</v>
      </c>
      <c r="AI192" s="178" t="e">
        <f t="shared" si="42"/>
        <v>#N/A</v>
      </c>
      <c r="AJ192" s="178" t="e">
        <f t="shared" si="43"/>
        <v>#N/A</v>
      </c>
      <c r="AK192" s="178" t="e">
        <f t="shared" si="44"/>
        <v>#N/A</v>
      </c>
      <c r="AL192" s="178" t="e">
        <f t="shared" si="45"/>
        <v>#N/A</v>
      </c>
      <c r="AM192" s="166" t="e">
        <f t="shared" si="46"/>
        <v>#N/A</v>
      </c>
      <c r="AN192" s="166" t="e">
        <f t="shared" si="47"/>
        <v>#N/A</v>
      </c>
    </row>
    <row r="193" spans="19:40" x14ac:dyDescent="0.45">
      <c r="S193" s="170">
        <f>'PubMatic Data'!A190</f>
        <v>46024</v>
      </c>
      <c r="T193" s="171">
        <f>'PubMatic Data'!B190</f>
        <v>8.59</v>
      </c>
      <c r="U193" s="171">
        <f>_xlfn.XLOOKUP(S193,'Trade Deck Data'!$A:$A,'Trade Deck Data'!$B:$B,NA())</f>
        <v>37.68</v>
      </c>
      <c r="V193" s="172">
        <f t="shared" si="32"/>
        <v>391274.5</v>
      </c>
      <c r="W193" s="172">
        <f t="shared" si="33"/>
        <v>271303.5</v>
      </c>
      <c r="X193" s="172">
        <f t="shared" si="34"/>
        <v>17815104</v>
      </c>
      <c r="Y193" s="172">
        <f t="shared" si="35"/>
        <v>16329771</v>
      </c>
      <c r="Z193" s="173">
        <f t="shared" si="36"/>
        <v>0.93822752329112002</v>
      </c>
      <c r="AA193" s="173">
        <f t="shared" si="37"/>
        <v>5.7552084838531181</v>
      </c>
      <c r="AB193" s="173">
        <f t="shared" si="38"/>
        <v>4.4349478536633207</v>
      </c>
      <c r="AC193" s="173">
        <f t="shared" si="39"/>
        <v>27.851294514940648</v>
      </c>
      <c r="AD193" s="173">
        <f t="shared" si="40"/>
        <v>4.816980960561998</v>
      </c>
      <c r="AE193" s="173">
        <f t="shared" si="41"/>
        <v>23.416346661277327</v>
      </c>
      <c r="AI193" s="178" t="e">
        <f t="shared" si="42"/>
        <v>#N/A</v>
      </c>
      <c r="AJ193" s="178" t="e">
        <f t="shared" si="43"/>
        <v>#N/A</v>
      </c>
      <c r="AK193" s="178" t="e">
        <f t="shared" si="44"/>
        <v>#N/A</v>
      </c>
      <c r="AL193" s="178" t="e">
        <f t="shared" si="45"/>
        <v>#N/A</v>
      </c>
      <c r="AM193" s="166" t="e">
        <f t="shared" si="46"/>
        <v>#N/A</v>
      </c>
      <c r="AN193" s="166" t="e">
        <f t="shared" si="47"/>
        <v>#N/A</v>
      </c>
    </row>
    <row r="194" spans="19:40" x14ac:dyDescent="0.45">
      <c r="S194" s="170">
        <f>'PubMatic Data'!A191</f>
        <v>46022</v>
      </c>
      <c r="T194" s="171">
        <f>'PubMatic Data'!B191</f>
        <v>8.8699999999999992</v>
      </c>
      <c r="U194" s="171">
        <f>_xlfn.XLOOKUP(S194,'Trade Deck Data'!$A:$A,'Trade Deck Data'!$B:$B,NA())</f>
        <v>37.96</v>
      </c>
      <c r="V194" s="172">
        <f t="shared" si="32"/>
        <v>404028.49999999994</v>
      </c>
      <c r="W194" s="172">
        <f t="shared" si="33"/>
        <v>284057.49999999994</v>
      </c>
      <c r="X194" s="172">
        <f t="shared" si="34"/>
        <v>17947488</v>
      </c>
      <c r="Y194" s="172">
        <f t="shared" si="35"/>
        <v>16462155</v>
      </c>
      <c r="Z194" s="173">
        <f t="shared" si="36"/>
        <v>0.98233367684997519</v>
      </c>
      <c r="AA194" s="173">
        <f t="shared" si="37"/>
        <v>5.8018654467662181</v>
      </c>
      <c r="AB194" s="173">
        <f t="shared" si="38"/>
        <v>4.6434351194952095</v>
      </c>
      <c r="AC194" s="173">
        <f t="shared" si="39"/>
        <v>28.077082480556694</v>
      </c>
      <c r="AD194" s="173">
        <f t="shared" si="40"/>
        <v>4.8195317699162432</v>
      </c>
      <c r="AE194" s="173">
        <f t="shared" si="41"/>
        <v>23.433647361061485</v>
      </c>
      <c r="AI194" s="178" t="e">
        <f t="shared" si="42"/>
        <v>#N/A</v>
      </c>
      <c r="AJ194" s="178" t="e">
        <f t="shared" si="43"/>
        <v>#N/A</v>
      </c>
      <c r="AK194" s="178" t="e">
        <f t="shared" si="44"/>
        <v>#N/A</v>
      </c>
      <c r="AL194" s="178" t="e">
        <f t="shared" si="45"/>
        <v>#N/A</v>
      </c>
      <c r="AM194" s="166" t="e">
        <f t="shared" si="46"/>
        <v>#N/A</v>
      </c>
      <c r="AN194" s="166" t="e">
        <f t="shared" si="47"/>
        <v>#N/A</v>
      </c>
    </row>
    <row r="195" spans="19:40" x14ac:dyDescent="0.45">
      <c r="S195" s="170">
        <f>'PubMatic Data'!A192</f>
        <v>46021</v>
      </c>
      <c r="T195" s="171">
        <f>'PubMatic Data'!B192</f>
        <v>8.9600000000000009</v>
      </c>
      <c r="U195" s="171">
        <f>_xlfn.XLOOKUP(S195,'Trade Deck Data'!$A:$A,'Trade Deck Data'!$B:$B,NA())</f>
        <v>38.119999999999997</v>
      </c>
      <c r="V195" s="172">
        <f t="shared" si="32"/>
        <v>408128</v>
      </c>
      <c r="W195" s="172">
        <f t="shared" si="33"/>
        <v>288157</v>
      </c>
      <c r="X195" s="172">
        <f t="shared" si="34"/>
        <v>18023136</v>
      </c>
      <c r="Y195" s="172">
        <f t="shared" si="35"/>
        <v>16537803</v>
      </c>
      <c r="Z195" s="173">
        <f t="shared" si="36"/>
        <v>0.99651065477960754</v>
      </c>
      <c r="AA195" s="173">
        <f t="shared" si="37"/>
        <v>5.8285265684308465</v>
      </c>
      <c r="AB195" s="173">
        <f t="shared" si="38"/>
        <v>4.710448883512603</v>
      </c>
      <c r="AC195" s="173">
        <f t="shared" si="39"/>
        <v>28.206104175194433</v>
      </c>
      <c r="AD195" s="173">
        <f t="shared" si="40"/>
        <v>4.8320159136512393</v>
      </c>
      <c r="AE195" s="173">
        <f t="shared" si="41"/>
        <v>23.495655291681828</v>
      </c>
      <c r="AI195" s="178" t="e">
        <f t="shared" si="42"/>
        <v>#N/A</v>
      </c>
      <c r="AJ195" s="178" t="e">
        <f t="shared" si="43"/>
        <v>#N/A</v>
      </c>
      <c r="AK195" s="178" t="e">
        <f t="shared" si="44"/>
        <v>#N/A</v>
      </c>
      <c r="AL195" s="178" t="e">
        <f t="shared" si="45"/>
        <v>#N/A</v>
      </c>
      <c r="AM195" s="166" t="e">
        <f t="shared" si="46"/>
        <v>#N/A</v>
      </c>
      <c r="AN195" s="166" t="e">
        <f t="shared" si="47"/>
        <v>#N/A</v>
      </c>
    </row>
    <row r="196" spans="19:40" x14ac:dyDescent="0.45">
      <c r="S196" s="170">
        <f>'PubMatic Data'!A193</f>
        <v>46020</v>
      </c>
      <c r="T196" s="171">
        <f>'PubMatic Data'!B193</f>
        <v>8.9600000000000009</v>
      </c>
      <c r="U196" s="171">
        <f>_xlfn.XLOOKUP(S196,'Trade Deck Data'!$A:$A,'Trade Deck Data'!$B:$B,NA())</f>
        <v>38.39</v>
      </c>
      <c r="V196" s="172">
        <f t="shared" si="32"/>
        <v>408128</v>
      </c>
      <c r="W196" s="172">
        <f t="shared" si="33"/>
        <v>288157</v>
      </c>
      <c r="X196" s="172">
        <f t="shared" si="34"/>
        <v>18150792</v>
      </c>
      <c r="Y196" s="172">
        <f t="shared" si="35"/>
        <v>16665459</v>
      </c>
      <c r="Z196" s="173">
        <f t="shared" si="36"/>
        <v>0.99651065477960754</v>
      </c>
      <c r="AA196" s="173">
        <f t="shared" si="37"/>
        <v>5.873517211239907</v>
      </c>
      <c r="AB196" s="173">
        <f t="shared" si="38"/>
        <v>4.710448883512603</v>
      </c>
      <c r="AC196" s="173">
        <f t="shared" si="39"/>
        <v>28.42382828489562</v>
      </c>
      <c r="AD196" s="173">
        <f t="shared" si="40"/>
        <v>4.8770065564602998</v>
      </c>
      <c r="AE196" s="173">
        <f t="shared" si="41"/>
        <v>23.713379401383015</v>
      </c>
      <c r="AI196" s="178" t="e">
        <f t="shared" si="42"/>
        <v>#N/A</v>
      </c>
      <c r="AJ196" s="178" t="e">
        <f t="shared" si="43"/>
        <v>#N/A</v>
      </c>
      <c r="AK196" s="178" t="e">
        <f t="shared" si="44"/>
        <v>#N/A</v>
      </c>
      <c r="AL196" s="178" t="e">
        <f t="shared" si="45"/>
        <v>#N/A</v>
      </c>
      <c r="AM196" s="166" t="e">
        <f t="shared" si="46"/>
        <v>#N/A</v>
      </c>
      <c r="AN196" s="166" t="e">
        <f t="shared" si="47"/>
        <v>#N/A</v>
      </c>
    </row>
    <row r="197" spans="19:40" x14ac:dyDescent="0.45">
      <c r="S197" s="170">
        <f>'PubMatic Data'!A194</f>
        <v>46017</v>
      </c>
      <c r="T197" s="171">
        <f>'PubMatic Data'!B194</f>
        <v>8.98</v>
      </c>
      <c r="U197" s="171">
        <f>_xlfn.XLOOKUP(S197,'Trade Deck Data'!$A:$A,'Trade Deck Data'!$B:$B,NA())</f>
        <v>38.31</v>
      </c>
      <c r="V197" s="172">
        <f t="shared" si="32"/>
        <v>409039</v>
      </c>
      <c r="W197" s="172">
        <f t="shared" si="33"/>
        <v>289068</v>
      </c>
      <c r="X197" s="172">
        <f t="shared" si="34"/>
        <v>18112968</v>
      </c>
      <c r="Y197" s="172">
        <f t="shared" si="35"/>
        <v>16627635</v>
      </c>
      <c r="Z197" s="173">
        <f t="shared" si="36"/>
        <v>0.99966109431952577</v>
      </c>
      <c r="AA197" s="173">
        <f t="shared" si="37"/>
        <v>5.8601866504075932</v>
      </c>
      <c r="AB197" s="173">
        <f t="shared" si="38"/>
        <v>4.7253408310720237</v>
      </c>
      <c r="AC197" s="173">
        <f t="shared" si="39"/>
        <v>28.359317437576749</v>
      </c>
      <c r="AD197" s="173">
        <f t="shared" si="40"/>
        <v>4.8605255560880671</v>
      </c>
      <c r="AE197" s="173">
        <f t="shared" si="41"/>
        <v>23.633976606504724</v>
      </c>
      <c r="AI197" s="178" t="e">
        <f t="shared" si="42"/>
        <v>#N/A</v>
      </c>
      <c r="AJ197" s="178" t="e">
        <f t="shared" si="43"/>
        <v>#N/A</v>
      </c>
      <c r="AK197" s="178" t="e">
        <f t="shared" si="44"/>
        <v>#N/A</v>
      </c>
      <c r="AL197" s="178" t="e">
        <f t="shared" si="45"/>
        <v>#N/A</v>
      </c>
      <c r="AM197" s="166" t="e">
        <f t="shared" si="46"/>
        <v>#N/A</v>
      </c>
      <c r="AN197" s="166" t="e">
        <f t="shared" si="47"/>
        <v>#N/A</v>
      </c>
    </row>
    <row r="198" spans="19:40" x14ac:dyDescent="0.45">
      <c r="S198" s="170">
        <f>'PubMatic Data'!A195</f>
        <v>46015</v>
      </c>
      <c r="T198" s="171">
        <f>'PubMatic Data'!B195</f>
        <v>9.01</v>
      </c>
      <c r="U198" s="171">
        <f>_xlfn.XLOOKUP(S198,'Trade Deck Data'!$A:$A,'Trade Deck Data'!$B:$B,NA())</f>
        <v>38.119999999999997</v>
      </c>
      <c r="V198" s="172">
        <f t="shared" ref="V198:V255" si="48">T198*$E$4*1000</f>
        <v>410405.49999999994</v>
      </c>
      <c r="W198" s="172">
        <f t="shared" ref="W198:W255" si="49">V198+$C$4-$D$4</f>
        <v>290434.49999999994</v>
      </c>
      <c r="X198" s="172">
        <f t="shared" ref="X198:X255" si="50">U198*$E$5*1000</f>
        <v>18023136</v>
      </c>
      <c r="Y198" s="172">
        <f t="shared" ref="Y198:Y255" si="51">X198+$C$5-$D$5</f>
        <v>16537803</v>
      </c>
      <c r="Z198" s="173">
        <f t="shared" ref="Z198:Z255" si="52">W198/$P$4</f>
        <v>1.0043867536294029</v>
      </c>
      <c r="AA198" s="173">
        <f t="shared" ref="AA198:AA255" si="53">Y198/$P$5</f>
        <v>5.8285265684308465</v>
      </c>
      <c r="AB198" s="173">
        <f t="shared" ref="AB198:AB255" si="54">W198/$Q$4</f>
        <v>4.7476787524111543</v>
      </c>
      <c r="AC198" s="173">
        <f t="shared" ref="AC198:AC255" si="55">Y198/$Q$5</f>
        <v>28.206104175194433</v>
      </c>
      <c r="AD198" s="173">
        <f t="shared" ref="AD198:AD255" si="56">AA198-Z198</f>
        <v>4.8241398148014438</v>
      </c>
      <c r="AE198" s="173">
        <f t="shared" ref="AE198:AE255" si="57">AC198-AB198</f>
        <v>23.458425422783279</v>
      </c>
      <c r="AI198" s="178" t="e">
        <f t="shared" ref="AI198:AI255" si="58">IF(COUNTIFS($AP$4:$AP$20,"PUBM",$AR$4:$AR$20,$S198)&gt;0,Z198,NA())</f>
        <v>#N/A</v>
      </c>
      <c r="AJ198" s="178" t="e">
        <f t="shared" ref="AJ198:AJ255" si="59">IF(COUNTIFS($AP$4:$AP$20,"TTD",$AR$4:$AR$20,$S198)&gt;0,AA198,NA())</f>
        <v>#N/A</v>
      </c>
      <c r="AK198" s="178" t="e">
        <f t="shared" ref="AK198:AK255" si="60">IF(COUNTIFS($AP$4:$AP$20,"PUBM",$AR$4:$AR$20,$S198)&gt;0,AB198,NA())</f>
        <v>#N/A</v>
      </c>
      <c r="AL198" s="178" t="e">
        <f t="shared" ref="AL198:AL255" si="61">IF(COUNTIFS($AP$4:$AP$20,"TTD",$AR$4:$AR$20,$S198)&gt;0,AC198,NA())</f>
        <v>#N/A</v>
      </c>
      <c r="AM198" s="166" t="e">
        <f t="shared" ref="AM198:AM255" si="62">IF(COUNTIFS($AP$4:$AP$20,"PUBM",$AR$4:$AR$20,$S198)&gt;0,T198,NA())</f>
        <v>#N/A</v>
      </c>
      <c r="AN198" s="166" t="e">
        <f t="shared" ref="AN198:AN255" si="63">IF(COUNTIFS($AP$4:$AP$20,"TTD",$AR$4:$AR$20,$S198)&gt;0,U198,NA())</f>
        <v>#N/A</v>
      </c>
    </row>
    <row r="199" spans="19:40" x14ac:dyDescent="0.45">
      <c r="S199" s="170">
        <f>'PubMatic Data'!A196</f>
        <v>46014</v>
      </c>
      <c r="T199" s="171">
        <f>'PubMatic Data'!B196</f>
        <v>8.93</v>
      </c>
      <c r="U199" s="171">
        <f>_xlfn.XLOOKUP(S199,'Trade Deck Data'!$A:$A,'Trade Deck Data'!$B:$B,NA())</f>
        <v>37.44</v>
      </c>
      <c r="V199" s="172">
        <f t="shared" si="48"/>
        <v>406761.49999999994</v>
      </c>
      <c r="W199" s="172">
        <f t="shared" si="49"/>
        <v>286790.49999999994</v>
      </c>
      <c r="X199" s="172">
        <f t="shared" si="50"/>
        <v>17701631.999999996</v>
      </c>
      <c r="Y199" s="172">
        <f t="shared" si="51"/>
        <v>16216298.999999996</v>
      </c>
      <c r="Z199" s="173">
        <f t="shared" si="52"/>
        <v>0.99178499546972998</v>
      </c>
      <c r="AA199" s="173">
        <f t="shared" si="53"/>
        <v>5.715216801356175</v>
      </c>
      <c r="AB199" s="173">
        <f t="shared" si="54"/>
        <v>4.6881109621734716</v>
      </c>
      <c r="AC199" s="173">
        <f t="shared" si="55"/>
        <v>27.65776197298403</v>
      </c>
      <c r="AD199" s="173">
        <f t="shared" si="56"/>
        <v>4.7234318058864453</v>
      </c>
      <c r="AE199" s="173">
        <f t="shared" si="57"/>
        <v>22.969651010810558</v>
      </c>
      <c r="AI199" s="178" t="e">
        <f t="shared" si="58"/>
        <v>#N/A</v>
      </c>
      <c r="AJ199" s="178" t="e">
        <f t="shared" si="59"/>
        <v>#N/A</v>
      </c>
      <c r="AK199" s="178" t="e">
        <f t="shared" si="60"/>
        <v>#N/A</v>
      </c>
      <c r="AL199" s="178" t="e">
        <f t="shared" si="61"/>
        <v>#N/A</v>
      </c>
      <c r="AM199" s="166" t="e">
        <f t="shared" si="62"/>
        <v>#N/A</v>
      </c>
      <c r="AN199" s="166" t="e">
        <f t="shared" si="63"/>
        <v>#N/A</v>
      </c>
    </row>
    <row r="200" spans="19:40" x14ac:dyDescent="0.45">
      <c r="S200" s="170">
        <f>'PubMatic Data'!A197</f>
        <v>46013</v>
      </c>
      <c r="T200" s="171">
        <f>'PubMatic Data'!B197</f>
        <v>8.9600000000000009</v>
      </c>
      <c r="U200" s="171">
        <f>_xlfn.XLOOKUP(S200,'Trade Deck Data'!$A:$A,'Trade Deck Data'!$B:$B,NA())</f>
        <v>37.29</v>
      </c>
      <c r="V200" s="172">
        <f t="shared" si="48"/>
        <v>408128</v>
      </c>
      <c r="W200" s="172">
        <f t="shared" si="49"/>
        <v>288157</v>
      </c>
      <c r="X200" s="172">
        <f t="shared" si="50"/>
        <v>17630712</v>
      </c>
      <c r="Y200" s="172">
        <f t="shared" si="51"/>
        <v>16145379</v>
      </c>
      <c r="Z200" s="173">
        <f t="shared" si="52"/>
        <v>0.99651065477960754</v>
      </c>
      <c r="AA200" s="173">
        <f t="shared" si="53"/>
        <v>5.690221999795587</v>
      </c>
      <c r="AB200" s="173">
        <f t="shared" si="54"/>
        <v>4.710448883512603</v>
      </c>
      <c r="AC200" s="173">
        <f t="shared" si="55"/>
        <v>27.536804134261153</v>
      </c>
      <c r="AD200" s="173">
        <f t="shared" si="56"/>
        <v>4.6937113450159798</v>
      </c>
      <c r="AE200" s="173">
        <f t="shared" si="57"/>
        <v>22.826355250748549</v>
      </c>
      <c r="AI200" s="178" t="e">
        <f t="shared" si="58"/>
        <v>#N/A</v>
      </c>
      <c r="AJ200" s="178" t="e">
        <f t="shared" si="59"/>
        <v>#N/A</v>
      </c>
      <c r="AK200" s="178" t="e">
        <f t="shared" si="60"/>
        <v>#N/A</v>
      </c>
      <c r="AL200" s="178" t="e">
        <f t="shared" si="61"/>
        <v>#N/A</v>
      </c>
      <c r="AM200" s="166" t="e">
        <f t="shared" si="62"/>
        <v>#N/A</v>
      </c>
      <c r="AN200" s="166" t="e">
        <f t="shared" si="63"/>
        <v>#N/A</v>
      </c>
    </row>
    <row r="201" spans="19:40" x14ac:dyDescent="0.45">
      <c r="S201" s="170">
        <f>'PubMatic Data'!A198</f>
        <v>46010</v>
      </c>
      <c r="T201" s="171">
        <f>'PubMatic Data'!B198</f>
        <v>8.83</v>
      </c>
      <c r="U201" s="171">
        <f>_xlfn.XLOOKUP(S201,'Trade Deck Data'!$A:$A,'Trade Deck Data'!$B:$B,NA())</f>
        <v>37.26</v>
      </c>
      <c r="V201" s="172">
        <f t="shared" si="48"/>
        <v>402206.5</v>
      </c>
      <c r="W201" s="172">
        <f t="shared" si="49"/>
        <v>282235.5</v>
      </c>
      <c r="X201" s="172">
        <f t="shared" si="50"/>
        <v>17616528</v>
      </c>
      <c r="Y201" s="172">
        <f t="shared" si="51"/>
        <v>16131195</v>
      </c>
      <c r="Z201" s="173">
        <f t="shared" si="52"/>
        <v>0.97603279777013896</v>
      </c>
      <c r="AA201" s="173">
        <f t="shared" si="53"/>
        <v>5.6852230394834686</v>
      </c>
      <c r="AB201" s="173">
        <f t="shared" si="54"/>
        <v>4.613651224376369</v>
      </c>
      <c r="AC201" s="173">
        <f t="shared" si="55"/>
        <v>27.512612566516577</v>
      </c>
      <c r="AD201" s="173">
        <f t="shared" si="56"/>
        <v>4.7091902417133298</v>
      </c>
      <c r="AE201" s="173">
        <f t="shared" si="57"/>
        <v>22.898961342140208</v>
      </c>
      <c r="AI201" s="178" t="e">
        <f t="shared" si="58"/>
        <v>#N/A</v>
      </c>
      <c r="AJ201" s="178" t="e">
        <f t="shared" si="59"/>
        <v>#N/A</v>
      </c>
      <c r="AK201" s="178" t="e">
        <f t="shared" si="60"/>
        <v>#N/A</v>
      </c>
      <c r="AL201" s="178" t="e">
        <f t="shared" si="61"/>
        <v>#N/A</v>
      </c>
      <c r="AM201" s="166" t="e">
        <f t="shared" si="62"/>
        <v>#N/A</v>
      </c>
      <c r="AN201" s="166" t="e">
        <f t="shared" si="63"/>
        <v>#N/A</v>
      </c>
    </row>
    <row r="202" spans="19:40" x14ac:dyDescent="0.45">
      <c r="S202" s="170">
        <f>'PubMatic Data'!A199</f>
        <v>46009</v>
      </c>
      <c r="T202" s="171">
        <f>'PubMatic Data'!B199</f>
        <v>9.02</v>
      </c>
      <c r="U202" s="171">
        <f>_xlfn.XLOOKUP(S202,'Trade Deck Data'!$A:$A,'Trade Deck Data'!$B:$B,NA())</f>
        <v>37.29</v>
      </c>
      <c r="V202" s="172">
        <f t="shared" si="48"/>
        <v>410860.99999999994</v>
      </c>
      <c r="W202" s="172">
        <f t="shared" si="49"/>
        <v>290889.99999999994</v>
      </c>
      <c r="X202" s="172">
        <f t="shared" si="50"/>
        <v>17630712</v>
      </c>
      <c r="Y202" s="172">
        <f t="shared" si="51"/>
        <v>16145379</v>
      </c>
      <c r="Z202" s="173">
        <f t="shared" si="52"/>
        <v>1.0059619733993621</v>
      </c>
      <c r="AA202" s="173">
        <f t="shared" si="53"/>
        <v>5.690221999795587</v>
      </c>
      <c r="AB202" s="173">
        <f t="shared" si="54"/>
        <v>4.7551247261908642</v>
      </c>
      <c r="AC202" s="173">
        <f t="shared" si="55"/>
        <v>27.536804134261153</v>
      </c>
      <c r="AD202" s="173">
        <f t="shared" si="56"/>
        <v>4.6842600263962249</v>
      </c>
      <c r="AE202" s="173">
        <f t="shared" si="57"/>
        <v>22.781679408070289</v>
      </c>
      <c r="AI202" s="178" t="e">
        <f t="shared" si="58"/>
        <v>#N/A</v>
      </c>
      <c r="AJ202" s="178" t="e">
        <f t="shared" si="59"/>
        <v>#N/A</v>
      </c>
      <c r="AK202" s="178" t="e">
        <f t="shared" si="60"/>
        <v>#N/A</v>
      </c>
      <c r="AL202" s="178" t="e">
        <f t="shared" si="61"/>
        <v>#N/A</v>
      </c>
      <c r="AM202" s="166" t="e">
        <f t="shared" si="62"/>
        <v>#N/A</v>
      </c>
      <c r="AN202" s="166" t="e">
        <f t="shared" si="63"/>
        <v>#N/A</v>
      </c>
    </row>
    <row r="203" spans="19:40" x14ac:dyDescent="0.45">
      <c r="S203" s="170">
        <f>'PubMatic Data'!A200</f>
        <v>46008</v>
      </c>
      <c r="T203" s="171">
        <f>'PubMatic Data'!B200</f>
        <v>8.92</v>
      </c>
      <c r="U203" s="171">
        <f>_xlfn.XLOOKUP(S203,'Trade Deck Data'!$A:$A,'Trade Deck Data'!$B:$B,NA())</f>
        <v>37.17</v>
      </c>
      <c r="V203" s="172">
        <f t="shared" si="48"/>
        <v>406306</v>
      </c>
      <c r="W203" s="172">
        <f t="shared" si="49"/>
        <v>286335</v>
      </c>
      <c r="X203" s="172">
        <f t="shared" si="50"/>
        <v>17573976.000000004</v>
      </c>
      <c r="Y203" s="172">
        <f t="shared" si="51"/>
        <v>16088643.000000004</v>
      </c>
      <c r="Z203" s="173">
        <f t="shared" si="52"/>
        <v>0.99020977569977109</v>
      </c>
      <c r="AA203" s="173">
        <f t="shared" si="53"/>
        <v>5.6702261585471172</v>
      </c>
      <c r="AB203" s="173">
        <f t="shared" si="54"/>
        <v>4.6806649883937617</v>
      </c>
      <c r="AC203" s="173">
        <f t="shared" si="55"/>
        <v>27.440037863282857</v>
      </c>
      <c r="AD203" s="173">
        <f t="shared" si="56"/>
        <v>4.680016382847346</v>
      </c>
      <c r="AE203" s="173">
        <f t="shared" si="57"/>
        <v>22.759372874889095</v>
      </c>
      <c r="AI203" s="178" t="e">
        <f t="shared" si="58"/>
        <v>#N/A</v>
      </c>
      <c r="AJ203" s="178" t="e">
        <f t="shared" si="59"/>
        <v>#N/A</v>
      </c>
      <c r="AK203" s="178" t="e">
        <f t="shared" si="60"/>
        <v>#N/A</v>
      </c>
      <c r="AL203" s="178" t="e">
        <f t="shared" si="61"/>
        <v>#N/A</v>
      </c>
      <c r="AM203" s="166" t="e">
        <f t="shared" si="62"/>
        <v>#N/A</v>
      </c>
      <c r="AN203" s="166" t="e">
        <f t="shared" si="63"/>
        <v>#N/A</v>
      </c>
    </row>
    <row r="204" spans="19:40" x14ac:dyDescent="0.45">
      <c r="S204" s="170">
        <f>'PubMatic Data'!A201</f>
        <v>46007</v>
      </c>
      <c r="T204" s="171">
        <f>'PubMatic Data'!B201</f>
        <v>8.98</v>
      </c>
      <c r="U204" s="171">
        <f>_xlfn.XLOOKUP(S204,'Trade Deck Data'!$A:$A,'Trade Deck Data'!$B:$B,NA())</f>
        <v>36.64</v>
      </c>
      <c r="V204" s="172">
        <f t="shared" si="48"/>
        <v>409039</v>
      </c>
      <c r="W204" s="172">
        <f t="shared" si="49"/>
        <v>289068</v>
      </c>
      <c r="X204" s="172">
        <f t="shared" si="50"/>
        <v>17323392</v>
      </c>
      <c r="Y204" s="172">
        <f t="shared" si="51"/>
        <v>15838059</v>
      </c>
      <c r="Z204" s="173">
        <f t="shared" si="52"/>
        <v>0.99966109431952577</v>
      </c>
      <c r="AA204" s="173">
        <f t="shared" si="53"/>
        <v>5.5819111930330338</v>
      </c>
      <c r="AB204" s="173">
        <f t="shared" si="54"/>
        <v>4.7253408310720237</v>
      </c>
      <c r="AC204" s="173">
        <f t="shared" si="55"/>
        <v>27.012653499795334</v>
      </c>
      <c r="AD204" s="173">
        <f t="shared" si="56"/>
        <v>4.5822500987135077</v>
      </c>
      <c r="AE204" s="173">
        <f t="shared" si="57"/>
        <v>22.28731266872331</v>
      </c>
      <c r="AI204" s="178" t="e">
        <f t="shared" si="58"/>
        <v>#N/A</v>
      </c>
      <c r="AJ204" s="178" t="e">
        <f t="shared" si="59"/>
        <v>#N/A</v>
      </c>
      <c r="AK204" s="178" t="e">
        <f t="shared" si="60"/>
        <v>#N/A</v>
      </c>
      <c r="AL204" s="178" t="e">
        <f t="shared" si="61"/>
        <v>#N/A</v>
      </c>
      <c r="AM204" s="166" t="e">
        <f t="shared" si="62"/>
        <v>#N/A</v>
      </c>
      <c r="AN204" s="166" t="e">
        <f t="shared" si="63"/>
        <v>#N/A</v>
      </c>
    </row>
    <row r="205" spans="19:40" x14ac:dyDescent="0.45">
      <c r="S205" s="170">
        <f>'PubMatic Data'!A202</f>
        <v>46006</v>
      </c>
      <c r="T205" s="171">
        <f>'PubMatic Data'!B202</f>
        <v>8.67</v>
      </c>
      <c r="U205" s="171">
        <f>_xlfn.XLOOKUP(S205,'Trade Deck Data'!$A:$A,'Trade Deck Data'!$B:$B,NA())</f>
        <v>36.19</v>
      </c>
      <c r="V205" s="172">
        <f t="shared" si="48"/>
        <v>394918.5</v>
      </c>
      <c r="W205" s="172">
        <f t="shared" si="49"/>
        <v>274947.5</v>
      </c>
      <c r="X205" s="172">
        <f t="shared" si="50"/>
        <v>17110631.999999996</v>
      </c>
      <c r="Y205" s="172">
        <f t="shared" si="51"/>
        <v>15625298.999999996</v>
      </c>
      <c r="Z205" s="173">
        <f t="shared" si="52"/>
        <v>0.95082928145079293</v>
      </c>
      <c r="AA205" s="173">
        <f t="shared" si="53"/>
        <v>5.5069267883512651</v>
      </c>
      <c r="AB205" s="173">
        <f t="shared" si="54"/>
        <v>4.4945156439010034</v>
      </c>
      <c r="AC205" s="173">
        <f t="shared" si="55"/>
        <v>26.649779983626683</v>
      </c>
      <c r="AD205" s="173">
        <f t="shared" si="56"/>
        <v>4.5560975069004721</v>
      </c>
      <c r="AE205" s="173">
        <f t="shared" si="57"/>
        <v>22.155264339725679</v>
      </c>
      <c r="AI205" s="178" t="e">
        <f t="shared" si="58"/>
        <v>#N/A</v>
      </c>
      <c r="AJ205" s="178" t="e">
        <f t="shared" si="59"/>
        <v>#N/A</v>
      </c>
      <c r="AK205" s="178" t="e">
        <f t="shared" si="60"/>
        <v>#N/A</v>
      </c>
      <c r="AL205" s="178" t="e">
        <f t="shared" si="61"/>
        <v>#N/A</v>
      </c>
      <c r="AM205" s="166" t="e">
        <f t="shared" si="62"/>
        <v>#N/A</v>
      </c>
      <c r="AN205" s="166" t="e">
        <f t="shared" si="63"/>
        <v>#N/A</v>
      </c>
    </row>
    <row r="206" spans="19:40" x14ac:dyDescent="0.45">
      <c r="S206" s="170">
        <f>'PubMatic Data'!A203</f>
        <v>46003</v>
      </c>
      <c r="T206" s="171">
        <f>'PubMatic Data'!B203</f>
        <v>9.0500000000000007</v>
      </c>
      <c r="U206" s="171">
        <f>_xlfn.XLOOKUP(S206,'Trade Deck Data'!$A:$A,'Trade Deck Data'!$B:$B,NA())</f>
        <v>36.65</v>
      </c>
      <c r="V206" s="172">
        <f t="shared" si="48"/>
        <v>412227.5</v>
      </c>
      <c r="W206" s="172">
        <f t="shared" si="49"/>
        <v>292256.5</v>
      </c>
      <c r="X206" s="172">
        <f t="shared" si="50"/>
        <v>17328120</v>
      </c>
      <c r="Y206" s="172">
        <f t="shared" si="51"/>
        <v>15842787</v>
      </c>
      <c r="Z206" s="173">
        <f t="shared" si="52"/>
        <v>1.0106876327092398</v>
      </c>
      <c r="AA206" s="173">
        <f t="shared" si="53"/>
        <v>5.5835775131370733</v>
      </c>
      <c r="AB206" s="173">
        <f t="shared" si="54"/>
        <v>4.7774626475299966</v>
      </c>
      <c r="AC206" s="173">
        <f t="shared" si="55"/>
        <v>27.020717355710193</v>
      </c>
      <c r="AD206" s="173">
        <f t="shared" si="56"/>
        <v>4.5728898804278337</v>
      </c>
      <c r="AE206" s="173">
        <f t="shared" si="57"/>
        <v>22.243254708180196</v>
      </c>
      <c r="AI206" s="178" t="e">
        <f t="shared" si="58"/>
        <v>#N/A</v>
      </c>
      <c r="AJ206" s="178" t="e">
        <f t="shared" si="59"/>
        <v>#N/A</v>
      </c>
      <c r="AK206" s="178" t="e">
        <f t="shared" si="60"/>
        <v>#N/A</v>
      </c>
      <c r="AL206" s="178" t="e">
        <f t="shared" si="61"/>
        <v>#N/A</v>
      </c>
      <c r="AM206" s="166" t="e">
        <f t="shared" si="62"/>
        <v>#N/A</v>
      </c>
      <c r="AN206" s="166" t="e">
        <f t="shared" si="63"/>
        <v>#N/A</v>
      </c>
    </row>
    <row r="207" spans="19:40" x14ac:dyDescent="0.45">
      <c r="S207" s="170">
        <f>'PubMatic Data'!A204</f>
        <v>46002</v>
      </c>
      <c r="T207" s="171">
        <f>'PubMatic Data'!B204</f>
        <v>9.33</v>
      </c>
      <c r="U207" s="171">
        <f>_xlfn.XLOOKUP(S207,'Trade Deck Data'!$A:$A,'Trade Deck Data'!$B:$B,NA())</f>
        <v>37.020000000000003</v>
      </c>
      <c r="V207" s="172">
        <f t="shared" si="48"/>
        <v>424981.5</v>
      </c>
      <c r="W207" s="172">
        <f t="shared" si="49"/>
        <v>305010.5</v>
      </c>
      <c r="X207" s="172">
        <f t="shared" si="50"/>
        <v>17503056</v>
      </c>
      <c r="Y207" s="172">
        <f t="shared" si="51"/>
        <v>16017723</v>
      </c>
      <c r="Z207" s="173">
        <f t="shared" si="52"/>
        <v>1.0547937862680952</v>
      </c>
      <c r="AA207" s="173">
        <f t="shared" si="53"/>
        <v>5.6452313569865264</v>
      </c>
      <c r="AB207" s="173">
        <f t="shared" si="54"/>
        <v>4.9859499133618854</v>
      </c>
      <c r="AC207" s="173">
        <f t="shared" si="55"/>
        <v>27.319080024559966</v>
      </c>
      <c r="AD207" s="173">
        <f t="shared" si="56"/>
        <v>4.5904375707184313</v>
      </c>
      <c r="AE207" s="173">
        <f t="shared" si="57"/>
        <v>22.333130111198081</v>
      </c>
      <c r="AI207" s="178" t="e">
        <f t="shared" si="58"/>
        <v>#N/A</v>
      </c>
      <c r="AJ207" s="178" t="e">
        <f t="shared" si="59"/>
        <v>#N/A</v>
      </c>
      <c r="AK207" s="178" t="e">
        <f t="shared" si="60"/>
        <v>#N/A</v>
      </c>
      <c r="AL207" s="178" t="e">
        <f t="shared" si="61"/>
        <v>#N/A</v>
      </c>
      <c r="AM207" s="166" t="e">
        <f t="shared" si="62"/>
        <v>#N/A</v>
      </c>
      <c r="AN207" s="166" t="e">
        <f t="shared" si="63"/>
        <v>#N/A</v>
      </c>
    </row>
    <row r="208" spans="19:40" x14ac:dyDescent="0.45">
      <c r="S208" s="170">
        <f>'PubMatic Data'!A205</f>
        <v>46001</v>
      </c>
      <c r="T208" s="171">
        <f>'PubMatic Data'!B205</f>
        <v>9.1750000000000007</v>
      </c>
      <c r="U208" s="171">
        <f>_xlfn.XLOOKUP(S208,'Trade Deck Data'!$A:$A,'Trade Deck Data'!$B:$B,NA())</f>
        <v>39.22</v>
      </c>
      <c r="V208" s="172">
        <f t="shared" si="48"/>
        <v>417921.25</v>
      </c>
      <c r="W208" s="172">
        <f t="shared" si="49"/>
        <v>297950.25</v>
      </c>
      <c r="X208" s="172">
        <f t="shared" si="50"/>
        <v>18543216</v>
      </c>
      <c r="Y208" s="172">
        <f t="shared" si="51"/>
        <v>17057883</v>
      </c>
      <c r="Z208" s="173">
        <f t="shared" si="52"/>
        <v>1.0303778798337286</v>
      </c>
      <c r="AA208" s="173">
        <f t="shared" si="53"/>
        <v>6.0118217798751665</v>
      </c>
      <c r="AB208" s="173">
        <f t="shared" si="54"/>
        <v>4.8705373197763757</v>
      </c>
      <c r="AC208" s="173">
        <f t="shared" si="55"/>
        <v>29.0931283258289</v>
      </c>
      <c r="AD208" s="173">
        <f t="shared" si="56"/>
        <v>4.9814439000414374</v>
      </c>
      <c r="AE208" s="173">
        <f t="shared" si="57"/>
        <v>24.222591006052525</v>
      </c>
      <c r="AI208" s="178" t="e">
        <f t="shared" si="58"/>
        <v>#N/A</v>
      </c>
      <c r="AJ208" s="178" t="e">
        <f t="shared" si="59"/>
        <v>#N/A</v>
      </c>
      <c r="AK208" s="178" t="e">
        <f t="shared" si="60"/>
        <v>#N/A</v>
      </c>
      <c r="AL208" s="178" t="e">
        <f t="shared" si="61"/>
        <v>#N/A</v>
      </c>
      <c r="AM208" s="166" t="e">
        <f t="shared" si="62"/>
        <v>#N/A</v>
      </c>
      <c r="AN208" s="166" t="e">
        <f t="shared" si="63"/>
        <v>#N/A</v>
      </c>
    </row>
    <row r="209" spans="19:40" x14ac:dyDescent="0.45">
      <c r="S209" s="170">
        <f>'PubMatic Data'!A206</f>
        <v>46000</v>
      </c>
      <c r="T209" s="171">
        <f>'PubMatic Data'!B206</f>
        <v>9.14</v>
      </c>
      <c r="U209" s="171">
        <f>_xlfn.XLOOKUP(S209,'Trade Deck Data'!$A:$A,'Trade Deck Data'!$B:$B,NA())</f>
        <v>39.4</v>
      </c>
      <c r="V209" s="172">
        <f t="shared" si="48"/>
        <v>416327</v>
      </c>
      <c r="W209" s="172">
        <f t="shared" si="49"/>
        <v>296356</v>
      </c>
      <c r="X209" s="172">
        <f t="shared" si="50"/>
        <v>18628320</v>
      </c>
      <c r="Y209" s="172">
        <f t="shared" si="51"/>
        <v>17142987</v>
      </c>
      <c r="Z209" s="173">
        <f t="shared" si="52"/>
        <v>1.0248646106388717</v>
      </c>
      <c r="AA209" s="173">
        <f t="shared" si="53"/>
        <v>6.0418155417478738</v>
      </c>
      <c r="AB209" s="173">
        <f t="shared" si="54"/>
        <v>4.8444764115473893</v>
      </c>
      <c r="AC209" s="173">
        <f t="shared" si="55"/>
        <v>29.238277732296357</v>
      </c>
      <c r="AD209" s="173">
        <f t="shared" si="56"/>
        <v>5.0169509311090019</v>
      </c>
      <c r="AE209" s="173">
        <f t="shared" si="57"/>
        <v>24.393801320748967</v>
      </c>
      <c r="AI209" s="178" t="e">
        <f t="shared" si="58"/>
        <v>#N/A</v>
      </c>
      <c r="AJ209" s="178" t="e">
        <f t="shared" si="59"/>
        <v>#N/A</v>
      </c>
      <c r="AK209" s="178" t="e">
        <f t="shared" si="60"/>
        <v>#N/A</v>
      </c>
      <c r="AL209" s="178" t="e">
        <f t="shared" si="61"/>
        <v>#N/A</v>
      </c>
      <c r="AM209" s="166" t="e">
        <f t="shared" si="62"/>
        <v>#N/A</v>
      </c>
      <c r="AN209" s="166" t="e">
        <f t="shared" si="63"/>
        <v>#N/A</v>
      </c>
    </row>
    <row r="210" spans="19:40" x14ac:dyDescent="0.45">
      <c r="S210" s="170">
        <f>'PubMatic Data'!A207</f>
        <v>45999</v>
      </c>
      <c r="T210" s="171">
        <f>'PubMatic Data'!B207</f>
        <v>8.86</v>
      </c>
      <c r="U210" s="171">
        <f>_xlfn.XLOOKUP(S210,'Trade Deck Data'!$A:$A,'Trade Deck Data'!$B:$B,NA())</f>
        <v>39.35</v>
      </c>
      <c r="V210" s="172">
        <f t="shared" si="48"/>
        <v>403572.99999999994</v>
      </c>
      <c r="W210" s="172">
        <f t="shared" si="49"/>
        <v>283601.99999999994</v>
      </c>
      <c r="X210" s="172">
        <f t="shared" si="50"/>
        <v>18604680</v>
      </c>
      <c r="Y210" s="172">
        <f t="shared" si="51"/>
        <v>17119347</v>
      </c>
      <c r="Z210" s="173">
        <f t="shared" si="52"/>
        <v>0.98075845708001608</v>
      </c>
      <c r="AA210" s="173">
        <f t="shared" si="53"/>
        <v>6.0334839412276775</v>
      </c>
      <c r="AB210" s="173">
        <f t="shared" si="54"/>
        <v>4.6359891457154987</v>
      </c>
      <c r="AC210" s="173">
        <f t="shared" si="55"/>
        <v>29.197958452722062</v>
      </c>
      <c r="AD210" s="173">
        <f t="shared" si="56"/>
        <v>5.0527254841476612</v>
      </c>
      <c r="AE210" s="173">
        <f t="shared" si="57"/>
        <v>24.561969307006564</v>
      </c>
      <c r="AI210" s="178" t="e">
        <f t="shared" si="58"/>
        <v>#N/A</v>
      </c>
      <c r="AJ210" s="178" t="e">
        <f t="shared" si="59"/>
        <v>#N/A</v>
      </c>
      <c r="AK210" s="178" t="e">
        <f t="shared" si="60"/>
        <v>#N/A</v>
      </c>
      <c r="AL210" s="178" t="e">
        <f t="shared" si="61"/>
        <v>#N/A</v>
      </c>
      <c r="AM210" s="166" t="e">
        <f t="shared" si="62"/>
        <v>#N/A</v>
      </c>
      <c r="AN210" s="166" t="e">
        <f t="shared" si="63"/>
        <v>#N/A</v>
      </c>
    </row>
    <row r="211" spans="19:40" x14ac:dyDescent="0.45">
      <c r="S211" s="170">
        <f>'PubMatic Data'!A208</f>
        <v>45996</v>
      </c>
      <c r="T211" s="171">
        <f>'PubMatic Data'!B208</f>
        <v>9.18</v>
      </c>
      <c r="U211" s="171">
        <f>_xlfn.XLOOKUP(S211,'Trade Deck Data'!$A:$A,'Trade Deck Data'!$B:$B,NA())</f>
        <v>40.049999999999997</v>
      </c>
      <c r="V211" s="172">
        <f t="shared" si="48"/>
        <v>418148.99999999994</v>
      </c>
      <c r="W211" s="172">
        <f t="shared" si="49"/>
        <v>298177.99999999994</v>
      </c>
      <c r="X211" s="172">
        <f t="shared" si="50"/>
        <v>18935640</v>
      </c>
      <c r="Y211" s="172">
        <f t="shared" si="51"/>
        <v>17450307</v>
      </c>
      <c r="Z211" s="173">
        <f t="shared" si="52"/>
        <v>1.0311654897187081</v>
      </c>
      <c r="AA211" s="173">
        <f t="shared" si="53"/>
        <v>6.1501263485104269</v>
      </c>
      <c r="AB211" s="173">
        <f t="shared" si="54"/>
        <v>4.8742603066662298</v>
      </c>
      <c r="AC211" s="173">
        <f t="shared" si="55"/>
        <v>29.762428366762176</v>
      </c>
      <c r="AD211" s="173">
        <f t="shared" si="56"/>
        <v>5.118960858791719</v>
      </c>
      <c r="AE211" s="173">
        <f t="shared" si="57"/>
        <v>24.888168060095946</v>
      </c>
      <c r="AI211" s="178" t="e">
        <f t="shared" si="58"/>
        <v>#N/A</v>
      </c>
      <c r="AJ211" s="178" t="e">
        <f t="shared" si="59"/>
        <v>#N/A</v>
      </c>
      <c r="AK211" s="178" t="e">
        <f t="shared" si="60"/>
        <v>#N/A</v>
      </c>
      <c r="AL211" s="178" t="e">
        <f t="shared" si="61"/>
        <v>#N/A</v>
      </c>
      <c r="AM211" s="166" t="e">
        <f t="shared" si="62"/>
        <v>#N/A</v>
      </c>
      <c r="AN211" s="166" t="e">
        <f t="shared" si="63"/>
        <v>#N/A</v>
      </c>
    </row>
    <row r="212" spans="19:40" x14ac:dyDescent="0.45">
      <c r="S212" s="170">
        <f>'PubMatic Data'!A209</f>
        <v>45995</v>
      </c>
      <c r="T212" s="171">
        <f>'PubMatic Data'!B209</f>
        <v>9.1</v>
      </c>
      <c r="U212" s="171">
        <f>_xlfn.XLOOKUP(S212,'Trade Deck Data'!$A:$A,'Trade Deck Data'!$B:$B,NA())</f>
        <v>39.35</v>
      </c>
      <c r="V212" s="172">
        <f t="shared" si="48"/>
        <v>414504.99999999994</v>
      </c>
      <c r="W212" s="172">
        <f t="shared" si="49"/>
        <v>294533.99999999994</v>
      </c>
      <c r="X212" s="172">
        <f t="shared" si="50"/>
        <v>18604680</v>
      </c>
      <c r="Y212" s="172">
        <f t="shared" si="51"/>
        <v>17119347</v>
      </c>
      <c r="Z212" s="173">
        <f t="shared" si="52"/>
        <v>1.018563731559035</v>
      </c>
      <c r="AA212" s="173">
        <f t="shared" si="53"/>
        <v>6.0334839412276775</v>
      </c>
      <c r="AB212" s="173">
        <f t="shared" si="54"/>
        <v>4.814692516428547</v>
      </c>
      <c r="AC212" s="173">
        <f t="shared" si="55"/>
        <v>29.197958452722062</v>
      </c>
      <c r="AD212" s="173">
        <f t="shared" si="56"/>
        <v>5.0149202096686425</v>
      </c>
      <c r="AE212" s="173">
        <f t="shared" si="57"/>
        <v>24.383265936293515</v>
      </c>
      <c r="AI212" s="178" t="e">
        <f t="shared" si="58"/>
        <v>#N/A</v>
      </c>
      <c r="AJ212" s="178" t="e">
        <f t="shared" si="59"/>
        <v>#N/A</v>
      </c>
      <c r="AK212" s="178" t="e">
        <f t="shared" si="60"/>
        <v>#N/A</v>
      </c>
      <c r="AL212" s="178" t="e">
        <f t="shared" si="61"/>
        <v>#N/A</v>
      </c>
      <c r="AM212" s="166" t="e">
        <f t="shared" si="62"/>
        <v>#N/A</v>
      </c>
      <c r="AN212" s="166" t="e">
        <f t="shared" si="63"/>
        <v>#N/A</v>
      </c>
    </row>
    <row r="213" spans="19:40" x14ac:dyDescent="0.45">
      <c r="S213" s="170">
        <f>'PubMatic Data'!A210</f>
        <v>45994</v>
      </c>
      <c r="T213" s="171">
        <f>'PubMatic Data'!B210</f>
        <v>9.01</v>
      </c>
      <c r="U213" s="171">
        <f>_xlfn.XLOOKUP(S213,'Trade Deck Data'!$A:$A,'Trade Deck Data'!$B:$B,NA())</f>
        <v>38.61</v>
      </c>
      <c r="V213" s="172">
        <f t="shared" si="48"/>
        <v>410405.49999999994</v>
      </c>
      <c r="W213" s="172">
        <f t="shared" si="49"/>
        <v>290434.49999999994</v>
      </c>
      <c r="X213" s="172">
        <f t="shared" si="50"/>
        <v>18254808</v>
      </c>
      <c r="Y213" s="172">
        <f t="shared" si="51"/>
        <v>16769475</v>
      </c>
      <c r="Z213" s="173">
        <f t="shared" si="52"/>
        <v>1.0043867536294029</v>
      </c>
      <c r="AA213" s="173">
        <f t="shared" si="53"/>
        <v>5.9101762535287712</v>
      </c>
      <c r="AB213" s="173">
        <f t="shared" si="54"/>
        <v>4.7476787524111543</v>
      </c>
      <c r="AC213" s="173">
        <f t="shared" si="55"/>
        <v>28.601233115022513</v>
      </c>
      <c r="AD213" s="173">
        <f t="shared" si="56"/>
        <v>4.9057894998993685</v>
      </c>
      <c r="AE213" s="173">
        <f t="shared" si="57"/>
        <v>23.853554362611359</v>
      </c>
      <c r="AI213" s="178" t="e">
        <f t="shared" si="58"/>
        <v>#N/A</v>
      </c>
      <c r="AJ213" s="178" t="e">
        <f t="shared" si="59"/>
        <v>#N/A</v>
      </c>
      <c r="AK213" s="178" t="e">
        <f t="shared" si="60"/>
        <v>#N/A</v>
      </c>
      <c r="AL213" s="178" t="e">
        <f t="shared" si="61"/>
        <v>#N/A</v>
      </c>
      <c r="AM213" s="166" t="e">
        <f t="shared" si="62"/>
        <v>#N/A</v>
      </c>
      <c r="AN213" s="166" t="e">
        <f t="shared" si="63"/>
        <v>#N/A</v>
      </c>
    </row>
    <row r="214" spans="19:40" x14ac:dyDescent="0.45">
      <c r="S214" s="170">
        <f>'PubMatic Data'!A211</f>
        <v>45993</v>
      </c>
      <c r="T214" s="171">
        <f>'PubMatic Data'!B211</f>
        <v>9.06</v>
      </c>
      <c r="U214" s="171">
        <f>_xlfn.XLOOKUP(S214,'Trade Deck Data'!$A:$A,'Trade Deck Data'!$B:$B,NA())</f>
        <v>39.950000000000003</v>
      </c>
      <c r="V214" s="172">
        <f t="shared" si="48"/>
        <v>412683</v>
      </c>
      <c r="W214" s="172">
        <f t="shared" si="49"/>
        <v>292712</v>
      </c>
      <c r="X214" s="172">
        <f t="shared" si="50"/>
        <v>18888360</v>
      </c>
      <c r="Y214" s="172">
        <f t="shared" si="51"/>
        <v>17403027</v>
      </c>
      <c r="Z214" s="173">
        <f t="shared" si="52"/>
        <v>1.0122628524791988</v>
      </c>
      <c r="AA214" s="173">
        <f t="shared" si="53"/>
        <v>6.1334631474700343</v>
      </c>
      <c r="AB214" s="173">
        <f t="shared" si="54"/>
        <v>4.7849086213097065</v>
      </c>
      <c r="AC214" s="173">
        <f t="shared" si="55"/>
        <v>29.68178980761359</v>
      </c>
      <c r="AD214" s="173">
        <f t="shared" si="56"/>
        <v>5.1212002949908353</v>
      </c>
      <c r="AE214" s="173">
        <f t="shared" si="57"/>
        <v>24.896881186303883</v>
      </c>
      <c r="AI214" s="178" t="e">
        <f t="shared" si="58"/>
        <v>#N/A</v>
      </c>
      <c r="AJ214" s="178" t="e">
        <f t="shared" si="59"/>
        <v>#N/A</v>
      </c>
      <c r="AK214" s="178" t="e">
        <f t="shared" si="60"/>
        <v>#N/A</v>
      </c>
      <c r="AL214" s="178" t="e">
        <f t="shared" si="61"/>
        <v>#N/A</v>
      </c>
      <c r="AM214" s="166" t="e">
        <f t="shared" si="62"/>
        <v>#N/A</v>
      </c>
      <c r="AN214" s="166" t="e">
        <f t="shared" si="63"/>
        <v>#N/A</v>
      </c>
    </row>
    <row r="215" spans="19:40" x14ac:dyDescent="0.45">
      <c r="S215" s="170">
        <f>'PubMatic Data'!A212</f>
        <v>45992</v>
      </c>
      <c r="T215" s="171">
        <f>'PubMatic Data'!B212</f>
        <v>9.0299999999999994</v>
      </c>
      <c r="U215" s="171">
        <f>_xlfn.XLOOKUP(S215,'Trade Deck Data'!$A:$A,'Trade Deck Data'!$B:$B,NA())</f>
        <v>39.58</v>
      </c>
      <c r="V215" s="172">
        <f t="shared" si="48"/>
        <v>411316.49999999994</v>
      </c>
      <c r="W215" s="172">
        <f t="shared" si="49"/>
        <v>291345.49999999994</v>
      </c>
      <c r="X215" s="172">
        <f t="shared" si="50"/>
        <v>18713424</v>
      </c>
      <c r="Y215" s="172">
        <f t="shared" si="51"/>
        <v>17228091</v>
      </c>
      <c r="Z215" s="173">
        <f t="shared" si="52"/>
        <v>1.0075371931693213</v>
      </c>
      <c r="AA215" s="173">
        <f t="shared" si="53"/>
        <v>6.0718093036205811</v>
      </c>
      <c r="AB215" s="173">
        <f t="shared" si="54"/>
        <v>4.762570699970575</v>
      </c>
      <c r="AC215" s="173">
        <f t="shared" si="55"/>
        <v>29.383427138763814</v>
      </c>
      <c r="AD215" s="173">
        <f t="shared" si="56"/>
        <v>5.0642721104512596</v>
      </c>
      <c r="AE215" s="173">
        <f t="shared" si="57"/>
        <v>24.62085643879324</v>
      </c>
      <c r="AI215" s="178" t="e">
        <f t="shared" si="58"/>
        <v>#N/A</v>
      </c>
      <c r="AJ215" s="178" t="e">
        <f t="shared" si="59"/>
        <v>#N/A</v>
      </c>
      <c r="AK215" s="178" t="e">
        <f t="shared" si="60"/>
        <v>#N/A</v>
      </c>
      <c r="AL215" s="178" t="e">
        <f t="shared" si="61"/>
        <v>#N/A</v>
      </c>
      <c r="AM215" s="166" t="e">
        <f t="shared" si="62"/>
        <v>#N/A</v>
      </c>
      <c r="AN215" s="166" t="e">
        <f t="shared" si="63"/>
        <v>#N/A</v>
      </c>
    </row>
    <row r="216" spans="19:40" x14ac:dyDescent="0.45">
      <c r="S216" s="170">
        <f>'PubMatic Data'!A213</f>
        <v>45989</v>
      </c>
      <c r="T216" s="171">
        <f>'PubMatic Data'!B213</f>
        <v>9.01</v>
      </c>
      <c r="U216" s="171">
        <f>_xlfn.XLOOKUP(S216,'Trade Deck Data'!$A:$A,'Trade Deck Data'!$B:$B,NA())</f>
        <v>39.56</v>
      </c>
      <c r="V216" s="172">
        <f t="shared" si="48"/>
        <v>410405.49999999994</v>
      </c>
      <c r="W216" s="172">
        <f t="shared" si="49"/>
        <v>290434.49999999994</v>
      </c>
      <c r="X216" s="172">
        <f t="shared" si="50"/>
        <v>18703968</v>
      </c>
      <c r="Y216" s="172">
        <f t="shared" si="51"/>
        <v>17218635</v>
      </c>
      <c r="Z216" s="173">
        <f t="shared" si="52"/>
        <v>1.0043867536294029</v>
      </c>
      <c r="AA216" s="173">
        <f t="shared" si="53"/>
        <v>6.0684766634125022</v>
      </c>
      <c r="AB216" s="173">
        <f t="shared" si="54"/>
        <v>4.7476787524111543</v>
      </c>
      <c r="AC216" s="173">
        <f t="shared" si="55"/>
        <v>29.367299426934096</v>
      </c>
      <c r="AD216" s="173">
        <f t="shared" si="56"/>
        <v>5.0640899097830996</v>
      </c>
      <c r="AE216" s="173">
        <f t="shared" si="57"/>
        <v>24.619620674522942</v>
      </c>
      <c r="AI216" s="178" t="e">
        <f t="shared" si="58"/>
        <v>#N/A</v>
      </c>
      <c r="AJ216" s="178" t="e">
        <f t="shared" si="59"/>
        <v>#N/A</v>
      </c>
      <c r="AK216" s="178" t="e">
        <f t="shared" si="60"/>
        <v>#N/A</v>
      </c>
      <c r="AL216" s="178" t="e">
        <f t="shared" si="61"/>
        <v>#N/A</v>
      </c>
      <c r="AM216" s="166" t="e">
        <f t="shared" si="62"/>
        <v>#N/A</v>
      </c>
      <c r="AN216" s="166" t="e">
        <f t="shared" si="63"/>
        <v>#N/A</v>
      </c>
    </row>
    <row r="217" spans="19:40" x14ac:dyDescent="0.45">
      <c r="S217" s="170">
        <f>'PubMatic Data'!A214</f>
        <v>45987</v>
      </c>
      <c r="T217" s="171">
        <f>'PubMatic Data'!B214</f>
        <v>9.1</v>
      </c>
      <c r="U217" s="171">
        <f>_xlfn.XLOOKUP(S217,'Trade Deck Data'!$A:$A,'Trade Deck Data'!$B:$B,NA())</f>
        <v>39.11</v>
      </c>
      <c r="V217" s="172">
        <f t="shared" si="48"/>
        <v>414504.99999999994</v>
      </c>
      <c r="W217" s="172">
        <f t="shared" si="49"/>
        <v>294533.99999999994</v>
      </c>
      <c r="X217" s="172">
        <f t="shared" si="50"/>
        <v>18491208</v>
      </c>
      <c r="Y217" s="172">
        <f t="shared" si="51"/>
        <v>17005875</v>
      </c>
      <c r="Z217" s="173">
        <f t="shared" si="52"/>
        <v>1.018563731559035</v>
      </c>
      <c r="AA217" s="173">
        <f t="shared" si="53"/>
        <v>5.9934922587307353</v>
      </c>
      <c r="AB217" s="173">
        <f t="shared" si="54"/>
        <v>4.814692516428547</v>
      </c>
      <c r="AC217" s="173">
        <f t="shared" si="55"/>
        <v>29.004425910765452</v>
      </c>
      <c r="AD217" s="173">
        <f t="shared" si="56"/>
        <v>4.9749285271717003</v>
      </c>
      <c r="AE217" s="173">
        <f t="shared" si="57"/>
        <v>24.189733394336905</v>
      </c>
      <c r="AI217" s="178" t="e">
        <f t="shared" si="58"/>
        <v>#N/A</v>
      </c>
      <c r="AJ217" s="178" t="e">
        <f t="shared" si="59"/>
        <v>#N/A</v>
      </c>
      <c r="AK217" s="178" t="e">
        <f t="shared" si="60"/>
        <v>#N/A</v>
      </c>
      <c r="AL217" s="178" t="e">
        <f t="shared" si="61"/>
        <v>#N/A</v>
      </c>
      <c r="AM217" s="166" t="e">
        <f t="shared" si="62"/>
        <v>#N/A</v>
      </c>
      <c r="AN217" s="166" t="e">
        <f t="shared" si="63"/>
        <v>#N/A</v>
      </c>
    </row>
    <row r="218" spans="19:40" x14ac:dyDescent="0.45">
      <c r="S218" s="170">
        <f>'PubMatic Data'!A215</f>
        <v>45986</v>
      </c>
      <c r="T218" s="171">
        <f>'PubMatic Data'!B215</f>
        <v>8.98</v>
      </c>
      <c r="U218" s="171">
        <f>_xlfn.XLOOKUP(S218,'Trade Deck Data'!$A:$A,'Trade Deck Data'!$B:$B,NA())</f>
        <v>39.090000000000003</v>
      </c>
      <c r="V218" s="172">
        <f t="shared" si="48"/>
        <v>409039</v>
      </c>
      <c r="W218" s="172">
        <f t="shared" si="49"/>
        <v>289068</v>
      </c>
      <c r="X218" s="172">
        <f t="shared" si="50"/>
        <v>18481752</v>
      </c>
      <c r="Y218" s="172">
        <f t="shared" si="51"/>
        <v>16996419</v>
      </c>
      <c r="Z218" s="173">
        <f t="shared" si="52"/>
        <v>0.99966109431952577</v>
      </c>
      <c r="AA218" s="173">
        <f t="shared" si="53"/>
        <v>5.9901596185226564</v>
      </c>
      <c r="AB218" s="173">
        <f t="shared" si="54"/>
        <v>4.7253408310720237</v>
      </c>
      <c r="AC218" s="173">
        <f t="shared" si="55"/>
        <v>28.988298198935734</v>
      </c>
      <c r="AD218" s="173">
        <f t="shared" si="56"/>
        <v>4.9904985242031303</v>
      </c>
      <c r="AE218" s="173">
        <f t="shared" si="57"/>
        <v>24.262957367863709</v>
      </c>
      <c r="AI218" s="178" t="e">
        <f t="shared" si="58"/>
        <v>#N/A</v>
      </c>
      <c r="AJ218" s="178" t="e">
        <f t="shared" si="59"/>
        <v>#N/A</v>
      </c>
      <c r="AK218" s="178" t="e">
        <f t="shared" si="60"/>
        <v>#N/A</v>
      </c>
      <c r="AL218" s="178" t="e">
        <f t="shared" si="61"/>
        <v>#N/A</v>
      </c>
      <c r="AM218" s="166" t="e">
        <f t="shared" si="62"/>
        <v>#N/A</v>
      </c>
      <c r="AN218" s="166" t="e">
        <f t="shared" si="63"/>
        <v>#N/A</v>
      </c>
    </row>
    <row r="219" spans="19:40" x14ac:dyDescent="0.45">
      <c r="S219" s="170">
        <f>'PubMatic Data'!A216</f>
        <v>45985</v>
      </c>
      <c r="T219" s="171">
        <f>'PubMatic Data'!B216</f>
        <v>8.66</v>
      </c>
      <c r="U219" s="171">
        <f>_xlfn.XLOOKUP(S219,'Trade Deck Data'!$A:$A,'Trade Deck Data'!$B:$B,NA())</f>
        <v>39.06</v>
      </c>
      <c r="V219" s="172">
        <f t="shared" si="48"/>
        <v>394462.99999999994</v>
      </c>
      <c r="W219" s="172">
        <f t="shared" si="49"/>
        <v>274491.99999999994</v>
      </c>
      <c r="X219" s="172">
        <f t="shared" si="50"/>
        <v>18467568.000000004</v>
      </c>
      <c r="Y219" s="172">
        <f t="shared" si="51"/>
        <v>16982235.000000004</v>
      </c>
      <c r="Z219" s="173">
        <f t="shared" si="52"/>
        <v>0.94925406168083359</v>
      </c>
      <c r="AA219" s="173">
        <f t="shared" si="53"/>
        <v>5.9851606582105399</v>
      </c>
      <c r="AB219" s="173">
        <f t="shared" si="54"/>
        <v>4.4870696701212927</v>
      </c>
      <c r="AC219" s="173">
        <f t="shared" si="55"/>
        <v>28.964106631191164</v>
      </c>
      <c r="AD219" s="173">
        <f t="shared" si="56"/>
        <v>5.0359065965297063</v>
      </c>
      <c r="AE219" s="173">
        <f t="shared" si="57"/>
        <v>24.477036961069871</v>
      </c>
      <c r="AI219" s="178" t="e">
        <f t="shared" si="58"/>
        <v>#N/A</v>
      </c>
      <c r="AJ219" s="178" t="e">
        <f t="shared" si="59"/>
        <v>#N/A</v>
      </c>
      <c r="AK219" s="178" t="e">
        <f t="shared" si="60"/>
        <v>#N/A</v>
      </c>
      <c r="AL219" s="178" t="e">
        <f t="shared" si="61"/>
        <v>#N/A</v>
      </c>
      <c r="AM219" s="166" t="e">
        <f t="shared" si="62"/>
        <v>#N/A</v>
      </c>
      <c r="AN219" s="166" t="e">
        <f t="shared" si="63"/>
        <v>#N/A</v>
      </c>
    </row>
    <row r="220" spans="19:40" x14ac:dyDescent="0.45">
      <c r="S220" s="170">
        <f>'PubMatic Data'!A217</f>
        <v>45982</v>
      </c>
      <c r="T220" s="171">
        <f>'PubMatic Data'!B217</f>
        <v>8.82</v>
      </c>
      <c r="U220" s="171">
        <f>_xlfn.XLOOKUP(S220,'Trade Deck Data'!$A:$A,'Trade Deck Data'!$B:$B,NA())</f>
        <v>39.65</v>
      </c>
      <c r="V220" s="172">
        <f t="shared" si="48"/>
        <v>401751</v>
      </c>
      <c r="W220" s="172">
        <f t="shared" si="49"/>
        <v>281780</v>
      </c>
      <c r="X220" s="172">
        <f t="shared" si="50"/>
        <v>18746520</v>
      </c>
      <c r="Y220" s="172">
        <f t="shared" si="51"/>
        <v>17261187</v>
      </c>
      <c r="Z220" s="173">
        <f t="shared" si="52"/>
        <v>0.97445757800017985</v>
      </c>
      <c r="AA220" s="173">
        <f t="shared" si="53"/>
        <v>6.0834735443488555</v>
      </c>
      <c r="AB220" s="173">
        <f t="shared" si="54"/>
        <v>4.6062052505966591</v>
      </c>
      <c r="AC220" s="173">
        <f t="shared" si="55"/>
        <v>29.439874130167826</v>
      </c>
      <c r="AD220" s="173">
        <f t="shared" si="56"/>
        <v>5.1090159663486752</v>
      </c>
      <c r="AE220" s="173">
        <f t="shared" si="57"/>
        <v>24.833668879571167</v>
      </c>
      <c r="AI220" s="178" t="e">
        <f t="shared" si="58"/>
        <v>#N/A</v>
      </c>
      <c r="AJ220" s="178" t="e">
        <f t="shared" si="59"/>
        <v>#N/A</v>
      </c>
      <c r="AK220" s="178" t="e">
        <f t="shared" si="60"/>
        <v>#N/A</v>
      </c>
      <c r="AL220" s="178" t="e">
        <f t="shared" si="61"/>
        <v>#N/A</v>
      </c>
      <c r="AM220" s="166" t="e">
        <f t="shared" si="62"/>
        <v>#N/A</v>
      </c>
      <c r="AN220" s="166" t="e">
        <f t="shared" si="63"/>
        <v>#N/A</v>
      </c>
    </row>
    <row r="221" spans="19:40" x14ac:dyDescent="0.45">
      <c r="S221" s="170">
        <f>'PubMatic Data'!A218</f>
        <v>45981</v>
      </c>
      <c r="T221" s="171">
        <f>'PubMatic Data'!B218</f>
        <v>8.58</v>
      </c>
      <c r="U221" s="171">
        <f>_xlfn.XLOOKUP(S221,'Trade Deck Data'!$A:$A,'Trade Deck Data'!$B:$B,NA())</f>
        <v>38.35</v>
      </c>
      <c r="V221" s="172">
        <f t="shared" si="48"/>
        <v>390818.99999999994</v>
      </c>
      <c r="W221" s="172">
        <f t="shared" si="49"/>
        <v>270847.99999999994</v>
      </c>
      <c r="X221" s="172">
        <f t="shared" si="50"/>
        <v>18131880</v>
      </c>
      <c r="Y221" s="172">
        <f t="shared" si="51"/>
        <v>16646547</v>
      </c>
      <c r="Z221" s="173">
        <f t="shared" si="52"/>
        <v>0.93665230352116069</v>
      </c>
      <c r="AA221" s="173">
        <f t="shared" si="53"/>
        <v>5.8668519308237501</v>
      </c>
      <c r="AB221" s="173">
        <f t="shared" si="54"/>
        <v>4.4275018798836099</v>
      </c>
      <c r="AC221" s="173">
        <f t="shared" si="55"/>
        <v>28.391572861236185</v>
      </c>
      <c r="AD221" s="173">
        <f t="shared" si="56"/>
        <v>4.9301996273025894</v>
      </c>
      <c r="AE221" s="173">
        <f t="shared" si="57"/>
        <v>23.964070981352574</v>
      </c>
      <c r="AI221" s="178" t="e">
        <f t="shared" si="58"/>
        <v>#N/A</v>
      </c>
      <c r="AJ221" s="178" t="e">
        <f t="shared" si="59"/>
        <v>#N/A</v>
      </c>
      <c r="AK221" s="178" t="e">
        <f t="shared" si="60"/>
        <v>#N/A</v>
      </c>
      <c r="AL221" s="178" t="e">
        <f t="shared" si="61"/>
        <v>#N/A</v>
      </c>
      <c r="AM221" s="166" t="e">
        <f t="shared" si="62"/>
        <v>#N/A</v>
      </c>
      <c r="AN221" s="166" t="e">
        <f t="shared" si="63"/>
        <v>#N/A</v>
      </c>
    </row>
    <row r="222" spans="19:40" x14ac:dyDescent="0.45">
      <c r="S222" s="170">
        <f>'PubMatic Data'!A219</f>
        <v>45980</v>
      </c>
      <c r="T222" s="171">
        <f>'PubMatic Data'!B219</f>
        <v>9.15</v>
      </c>
      <c r="U222" s="171">
        <f>_xlfn.XLOOKUP(S222,'Trade Deck Data'!$A:$A,'Trade Deck Data'!$B:$B,NA())</f>
        <v>40.19</v>
      </c>
      <c r="V222" s="172">
        <f t="shared" si="48"/>
        <v>416782.49999999994</v>
      </c>
      <c r="W222" s="172">
        <f t="shared" si="49"/>
        <v>296811.49999999994</v>
      </c>
      <c r="X222" s="172">
        <f t="shared" si="50"/>
        <v>19001832</v>
      </c>
      <c r="Y222" s="172">
        <f t="shared" si="51"/>
        <v>17516499</v>
      </c>
      <c r="Z222" s="173">
        <f t="shared" si="52"/>
        <v>1.0264398304088307</v>
      </c>
      <c r="AA222" s="173">
        <f t="shared" si="53"/>
        <v>6.1734548299669765</v>
      </c>
      <c r="AB222" s="173">
        <f t="shared" si="54"/>
        <v>4.8519223853270992</v>
      </c>
      <c r="AC222" s="173">
        <f t="shared" si="55"/>
        <v>29.875322349570201</v>
      </c>
      <c r="AD222" s="173">
        <f t="shared" si="56"/>
        <v>5.147014999558146</v>
      </c>
      <c r="AE222" s="173">
        <f t="shared" si="57"/>
        <v>25.023399964243101</v>
      </c>
      <c r="AI222" s="178" t="e">
        <f t="shared" si="58"/>
        <v>#N/A</v>
      </c>
      <c r="AJ222" s="178" t="e">
        <f t="shared" si="59"/>
        <v>#N/A</v>
      </c>
      <c r="AK222" s="178" t="e">
        <f t="shared" si="60"/>
        <v>#N/A</v>
      </c>
      <c r="AL222" s="178" t="e">
        <f t="shared" si="61"/>
        <v>#N/A</v>
      </c>
      <c r="AM222" s="166" t="e">
        <f t="shared" si="62"/>
        <v>#N/A</v>
      </c>
      <c r="AN222" s="166" t="e">
        <f t="shared" si="63"/>
        <v>#N/A</v>
      </c>
    </row>
    <row r="223" spans="19:40" x14ac:dyDescent="0.45">
      <c r="S223" s="170">
        <f>'PubMatic Data'!A220</f>
        <v>45979</v>
      </c>
      <c r="T223" s="171">
        <f>'PubMatic Data'!B220</f>
        <v>9.3049999999999997</v>
      </c>
      <c r="U223" s="171">
        <f>_xlfn.XLOOKUP(S223,'Trade Deck Data'!$A:$A,'Trade Deck Data'!$B:$B,NA())</f>
        <v>40.47</v>
      </c>
      <c r="V223" s="172">
        <f t="shared" si="48"/>
        <v>423842.74999999994</v>
      </c>
      <c r="W223" s="172">
        <f t="shared" si="49"/>
        <v>303871.74999999994</v>
      </c>
      <c r="X223" s="172">
        <f t="shared" si="50"/>
        <v>19134216</v>
      </c>
      <c r="Y223" s="172">
        <f t="shared" si="51"/>
        <v>17648883</v>
      </c>
      <c r="Z223" s="173">
        <f t="shared" si="52"/>
        <v>1.0508557368431972</v>
      </c>
      <c r="AA223" s="173">
        <f t="shared" si="53"/>
        <v>6.2201117928800764</v>
      </c>
      <c r="AB223" s="173">
        <f t="shared" si="54"/>
        <v>4.9673349789126089</v>
      </c>
      <c r="AC223" s="173">
        <f t="shared" si="55"/>
        <v>30.101110315186247</v>
      </c>
      <c r="AD223" s="173">
        <f t="shared" si="56"/>
        <v>5.169256056036879</v>
      </c>
      <c r="AE223" s="173">
        <f t="shared" si="57"/>
        <v>25.133775336273636</v>
      </c>
      <c r="AI223" s="178" t="e">
        <f t="shared" si="58"/>
        <v>#N/A</v>
      </c>
      <c r="AJ223" s="178" t="e">
        <f t="shared" si="59"/>
        <v>#N/A</v>
      </c>
      <c r="AK223" s="178" t="e">
        <f t="shared" si="60"/>
        <v>#N/A</v>
      </c>
      <c r="AL223" s="178" t="e">
        <f t="shared" si="61"/>
        <v>#N/A</v>
      </c>
      <c r="AM223" s="166" t="e">
        <f t="shared" si="62"/>
        <v>#N/A</v>
      </c>
      <c r="AN223" s="166" t="e">
        <f t="shared" si="63"/>
        <v>#N/A</v>
      </c>
    </row>
    <row r="224" spans="19:40" x14ac:dyDescent="0.45">
      <c r="S224" s="170">
        <f>'PubMatic Data'!A221</f>
        <v>45978</v>
      </c>
      <c r="T224" s="171">
        <f>'PubMatic Data'!B221</f>
        <v>9.19</v>
      </c>
      <c r="U224" s="171">
        <f>_xlfn.XLOOKUP(S224,'Trade Deck Data'!$A:$A,'Trade Deck Data'!$B:$B,NA())</f>
        <v>40.21</v>
      </c>
      <c r="V224" s="172">
        <f t="shared" si="48"/>
        <v>418604.5</v>
      </c>
      <c r="W224" s="172">
        <f t="shared" si="49"/>
        <v>298633.5</v>
      </c>
      <c r="X224" s="172">
        <f t="shared" si="50"/>
        <v>19011288</v>
      </c>
      <c r="Y224" s="172">
        <f t="shared" si="51"/>
        <v>17525955</v>
      </c>
      <c r="Z224" s="173">
        <f t="shared" si="52"/>
        <v>1.0327407094886674</v>
      </c>
      <c r="AA224" s="173">
        <f t="shared" si="53"/>
        <v>6.1767874701750554</v>
      </c>
      <c r="AB224" s="173">
        <f t="shared" si="54"/>
        <v>4.8817062804459415</v>
      </c>
      <c r="AC224" s="173">
        <f t="shared" si="55"/>
        <v>29.891450061399919</v>
      </c>
      <c r="AD224" s="173">
        <f t="shared" si="56"/>
        <v>5.144046760686388</v>
      </c>
      <c r="AE224" s="173">
        <f t="shared" si="57"/>
        <v>25.009743780953976</v>
      </c>
      <c r="AI224" s="178" t="e">
        <f t="shared" si="58"/>
        <v>#N/A</v>
      </c>
      <c r="AJ224" s="178" t="e">
        <f t="shared" si="59"/>
        <v>#N/A</v>
      </c>
      <c r="AK224" s="178" t="e">
        <f t="shared" si="60"/>
        <v>#N/A</v>
      </c>
      <c r="AL224" s="178" t="e">
        <f t="shared" si="61"/>
        <v>#N/A</v>
      </c>
      <c r="AM224" s="166" t="e">
        <f t="shared" si="62"/>
        <v>#N/A</v>
      </c>
      <c r="AN224" s="166" t="e">
        <f t="shared" si="63"/>
        <v>#N/A</v>
      </c>
    </row>
    <row r="225" spans="19:40" x14ac:dyDescent="0.45">
      <c r="S225" s="170">
        <f>'PubMatic Data'!A222</f>
        <v>45975</v>
      </c>
      <c r="T225" s="171">
        <f>'PubMatic Data'!B222</f>
        <v>9.43</v>
      </c>
      <c r="U225" s="171">
        <f>_xlfn.XLOOKUP(S225,'Trade Deck Data'!$A:$A,'Trade Deck Data'!$B:$B,NA())</f>
        <v>41.93</v>
      </c>
      <c r="V225" s="172">
        <f t="shared" si="48"/>
        <v>429536.49999999994</v>
      </c>
      <c r="W225" s="172">
        <f t="shared" si="49"/>
        <v>309565.49999999994</v>
      </c>
      <c r="X225" s="172">
        <f t="shared" si="50"/>
        <v>19824504</v>
      </c>
      <c r="Y225" s="172">
        <f t="shared" si="51"/>
        <v>18339171</v>
      </c>
      <c r="Z225" s="173">
        <f t="shared" si="52"/>
        <v>1.0705459839676861</v>
      </c>
      <c r="AA225" s="173">
        <f t="shared" si="53"/>
        <v>6.4633945280698111</v>
      </c>
      <c r="AB225" s="173">
        <f t="shared" si="54"/>
        <v>5.060409651158988</v>
      </c>
      <c r="AC225" s="173">
        <f t="shared" si="55"/>
        <v>31.278433278755628</v>
      </c>
      <c r="AD225" s="173">
        <f t="shared" si="56"/>
        <v>5.392848544102125</v>
      </c>
      <c r="AE225" s="173">
        <f t="shared" si="57"/>
        <v>26.21802362759664</v>
      </c>
      <c r="AI225" s="178" t="e">
        <f t="shared" si="58"/>
        <v>#N/A</v>
      </c>
      <c r="AJ225" s="178" t="e">
        <f t="shared" si="59"/>
        <v>#N/A</v>
      </c>
      <c r="AK225" s="178" t="e">
        <f t="shared" si="60"/>
        <v>#N/A</v>
      </c>
      <c r="AL225" s="178" t="e">
        <f t="shared" si="61"/>
        <v>#N/A</v>
      </c>
      <c r="AM225" s="166" t="e">
        <f t="shared" si="62"/>
        <v>#N/A</v>
      </c>
      <c r="AN225" s="166" t="e">
        <f t="shared" si="63"/>
        <v>#N/A</v>
      </c>
    </row>
    <row r="226" spans="19:40" x14ac:dyDescent="0.45">
      <c r="S226" s="170">
        <f>'PubMatic Data'!A223</f>
        <v>45974</v>
      </c>
      <c r="T226" s="171">
        <f>'PubMatic Data'!B223</f>
        <v>9.1750000000000007</v>
      </c>
      <c r="U226" s="171">
        <f>_xlfn.XLOOKUP(S226,'Trade Deck Data'!$A:$A,'Trade Deck Data'!$B:$B,NA())</f>
        <v>42.87</v>
      </c>
      <c r="V226" s="172">
        <f t="shared" si="48"/>
        <v>417921.25</v>
      </c>
      <c r="W226" s="172">
        <f t="shared" si="49"/>
        <v>297950.25</v>
      </c>
      <c r="X226" s="172">
        <f t="shared" si="50"/>
        <v>20268935.999999996</v>
      </c>
      <c r="Y226" s="172">
        <f t="shared" si="51"/>
        <v>18783602.999999996</v>
      </c>
      <c r="Z226" s="173">
        <f t="shared" si="52"/>
        <v>1.0303778798337286</v>
      </c>
      <c r="AA226" s="173">
        <f t="shared" si="53"/>
        <v>6.6200286178495009</v>
      </c>
      <c r="AB226" s="173">
        <f t="shared" si="54"/>
        <v>4.8705373197763757</v>
      </c>
      <c r="AC226" s="173">
        <f t="shared" si="55"/>
        <v>32.036435734752345</v>
      </c>
      <c r="AD226" s="173">
        <f t="shared" si="56"/>
        <v>5.5896507380157718</v>
      </c>
      <c r="AE226" s="173">
        <f t="shared" si="57"/>
        <v>27.16589841497597</v>
      </c>
      <c r="AI226" s="178" t="e">
        <f t="shared" si="58"/>
        <v>#N/A</v>
      </c>
      <c r="AJ226" s="178" t="e">
        <f t="shared" si="59"/>
        <v>#N/A</v>
      </c>
      <c r="AK226" s="178" t="e">
        <f t="shared" si="60"/>
        <v>#N/A</v>
      </c>
      <c r="AL226" s="178" t="e">
        <f t="shared" si="61"/>
        <v>#N/A</v>
      </c>
      <c r="AM226" s="166" t="e">
        <f t="shared" si="62"/>
        <v>#N/A</v>
      </c>
      <c r="AN226" s="166" t="e">
        <f t="shared" si="63"/>
        <v>#N/A</v>
      </c>
    </row>
    <row r="227" spans="19:40" x14ac:dyDescent="0.45">
      <c r="S227" s="170">
        <f>'PubMatic Data'!A224</f>
        <v>45973</v>
      </c>
      <c r="T227" s="171">
        <f>'PubMatic Data'!B224</f>
        <v>9.5649999999999995</v>
      </c>
      <c r="U227" s="171">
        <f>_xlfn.XLOOKUP(S227,'Trade Deck Data'!$A:$A,'Trade Deck Data'!$B:$B,NA())</f>
        <v>43.79</v>
      </c>
      <c r="V227" s="172">
        <f t="shared" si="48"/>
        <v>435685.74999999994</v>
      </c>
      <c r="W227" s="172">
        <f t="shared" si="49"/>
        <v>315714.74999999994</v>
      </c>
      <c r="X227" s="172">
        <f t="shared" si="50"/>
        <v>20703912</v>
      </c>
      <c r="Y227" s="172">
        <f t="shared" si="51"/>
        <v>19218579</v>
      </c>
      <c r="Z227" s="173">
        <f t="shared" si="52"/>
        <v>1.0918114508621344</v>
      </c>
      <c r="AA227" s="173">
        <f t="shared" si="53"/>
        <v>6.7733300674211163</v>
      </c>
      <c r="AB227" s="173">
        <f t="shared" si="54"/>
        <v>5.1609302971850779</v>
      </c>
      <c r="AC227" s="173">
        <f t="shared" si="55"/>
        <v>32.778310478919359</v>
      </c>
      <c r="AD227" s="173">
        <f t="shared" si="56"/>
        <v>5.6815186165589822</v>
      </c>
      <c r="AE227" s="173">
        <f t="shared" si="57"/>
        <v>27.61738018173428</v>
      </c>
      <c r="AI227" s="178" t="e">
        <f t="shared" si="58"/>
        <v>#N/A</v>
      </c>
      <c r="AJ227" s="178" t="e">
        <f t="shared" si="59"/>
        <v>#N/A</v>
      </c>
      <c r="AK227" s="178" t="e">
        <f t="shared" si="60"/>
        <v>#N/A</v>
      </c>
      <c r="AL227" s="178" t="e">
        <f t="shared" si="61"/>
        <v>#N/A</v>
      </c>
      <c r="AM227" s="166" t="e">
        <f t="shared" si="62"/>
        <v>#N/A</v>
      </c>
      <c r="AN227" s="166" t="e">
        <f t="shared" si="63"/>
        <v>#N/A</v>
      </c>
    </row>
    <row r="228" spans="19:40" x14ac:dyDescent="0.45">
      <c r="S228" s="170">
        <f>'PubMatic Data'!A225</f>
        <v>45972</v>
      </c>
      <c r="T228" s="171">
        <f>'PubMatic Data'!B225</f>
        <v>10.97</v>
      </c>
      <c r="U228" s="171">
        <f>_xlfn.XLOOKUP(S228,'Trade Deck Data'!$A:$A,'Trade Deck Data'!$B:$B,NA())</f>
        <v>44.2</v>
      </c>
      <c r="V228" s="172">
        <f t="shared" si="48"/>
        <v>499683.5</v>
      </c>
      <c r="W228" s="172">
        <f t="shared" si="49"/>
        <v>379712.5</v>
      </c>
      <c r="X228" s="172">
        <f t="shared" si="50"/>
        <v>20897760.000000004</v>
      </c>
      <c r="Y228" s="172">
        <f t="shared" si="51"/>
        <v>19412427.000000004</v>
      </c>
      <c r="Z228" s="173">
        <f t="shared" si="52"/>
        <v>1.3131298285413915</v>
      </c>
      <c r="AA228" s="173">
        <f t="shared" si="53"/>
        <v>6.8416491916867272</v>
      </c>
      <c r="AB228" s="173">
        <f t="shared" si="54"/>
        <v>6.2070896132343805</v>
      </c>
      <c r="AC228" s="173">
        <f t="shared" si="55"/>
        <v>33.108928571428578</v>
      </c>
      <c r="AD228" s="173">
        <f t="shared" si="56"/>
        <v>5.5285193631453353</v>
      </c>
      <c r="AE228" s="173">
        <f t="shared" si="57"/>
        <v>26.901838958194197</v>
      </c>
      <c r="AI228" s="178" t="e">
        <f t="shared" si="58"/>
        <v>#N/A</v>
      </c>
      <c r="AJ228" s="178" t="e">
        <f t="shared" si="59"/>
        <v>#N/A</v>
      </c>
      <c r="AK228" s="178" t="e">
        <f t="shared" si="60"/>
        <v>#N/A</v>
      </c>
      <c r="AL228" s="178" t="e">
        <f t="shared" si="61"/>
        <v>#N/A</v>
      </c>
      <c r="AM228" s="166" t="e">
        <f t="shared" si="62"/>
        <v>#N/A</v>
      </c>
      <c r="AN228" s="166" t="e">
        <f t="shared" si="63"/>
        <v>#N/A</v>
      </c>
    </row>
    <row r="229" spans="19:40" x14ac:dyDescent="0.45">
      <c r="S229" s="170">
        <f>'PubMatic Data'!A226</f>
        <v>45971</v>
      </c>
      <c r="T229" s="171">
        <f>'PubMatic Data'!B226</f>
        <v>7.65</v>
      </c>
      <c r="U229" s="171">
        <f>_xlfn.XLOOKUP(S229,'Trade Deck Data'!$A:$A,'Trade Deck Data'!$B:$B,NA())</f>
        <v>43.26</v>
      </c>
      <c r="V229" s="172">
        <f t="shared" si="48"/>
        <v>348457.5</v>
      </c>
      <c r="W229" s="172">
        <f t="shared" si="49"/>
        <v>228486.5</v>
      </c>
      <c r="X229" s="172">
        <f t="shared" si="50"/>
        <v>20453328</v>
      </c>
      <c r="Y229" s="172">
        <f t="shared" si="51"/>
        <v>18967995</v>
      </c>
      <c r="Z229" s="173">
        <f t="shared" si="52"/>
        <v>0.79015686491496229</v>
      </c>
      <c r="AA229" s="173">
        <f t="shared" si="53"/>
        <v>6.6850151019070339</v>
      </c>
      <c r="AB229" s="173">
        <f t="shared" si="54"/>
        <v>3.7350263183705494</v>
      </c>
      <c r="AC229" s="173">
        <f t="shared" si="55"/>
        <v>32.350926115431847</v>
      </c>
      <c r="AD229" s="173">
        <f t="shared" si="56"/>
        <v>5.8948582369920715</v>
      </c>
      <c r="AE229" s="173">
        <f t="shared" si="57"/>
        <v>28.615899797061296</v>
      </c>
      <c r="AI229" s="178">
        <f t="shared" si="58"/>
        <v>0.79015686491496229</v>
      </c>
      <c r="AJ229" s="178" t="e">
        <f t="shared" si="59"/>
        <v>#N/A</v>
      </c>
      <c r="AK229" s="178">
        <f t="shared" si="60"/>
        <v>3.7350263183705494</v>
      </c>
      <c r="AL229" s="178" t="e">
        <f t="shared" si="61"/>
        <v>#N/A</v>
      </c>
      <c r="AM229" s="166">
        <f t="shared" si="62"/>
        <v>7.65</v>
      </c>
      <c r="AN229" s="166" t="e">
        <f t="shared" si="63"/>
        <v>#N/A</v>
      </c>
    </row>
    <row r="230" spans="19:40" x14ac:dyDescent="0.45">
      <c r="S230" s="170">
        <f>'PubMatic Data'!A227</f>
        <v>45968</v>
      </c>
      <c r="T230" s="171">
        <f>'PubMatic Data'!B227</f>
        <v>7.4</v>
      </c>
      <c r="U230" s="171">
        <f>_xlfn.XLOOKUP(S230,'Trade Deck Data'!$A:$A,'Trade Deck Data'!$B:$B,NA())</f>
        <v>43</v>
      </c>
      <c r="V230" s="172">
        <f t="shared" si="48"/>
        <v>337070</v>
      </c>
      <c r="W230" s="172">
        <f t="shared" si="49"/>
        <v>217099</v>
      </c>
      <c r="X230" s="172">
        <f t="shared" si="50"/>
        <v>20330400</v>
      </c>
      <c r="Y230" s="172">
        <f t="shared" si="51"/>
        <v>18845067</v>
      </c>
      <c r="Z230" s="173">
        <f t="shared" si="52"/>
        <v>0.75077637066598424</v>
      </c>
      <c r="AA230" s="173">
        <f t="shared" si="53"/>
        <v>6.6416907792020128</v>
      </c>
      <c r="AB230" s="173">
        <f t="shared" si="54"/>
        <v>3.5488769738777912</v>
      </c>
      <c r="AC230" s="173">
        <f t="shared" si="55"/>
        <v>32.141265861645515</v>
      </c>
      <c r="AD230" s="173">
        <f t="shared" si="56"/>
        <v>5.8909144085360285</v>
      </c>
      <c r="AE230" s="173">
        <f t="shared" si="57"/>
        <v>28.592388887767722</v>
      </c>
      <c r="AI230" s="178" t="e">
        <f t="shared" si="58"/>
        <v>#N/A</v>
      </c>
      <c r="AJ230" s="178" t="e">
        <f t="shared" si="59"/>
        <v>#N/A</v>
      </c>
      <c r="AK230" s="178" t="e">
        <f t="shared" si="60"/>
        <v>#N/A</v>
      </c>
      <c r="AL230" s="178" t="e">
        <f t="shared" si="61"/>
        <v>#N/A</v>
      </c>
      <c r="AM230" s="166" t="e">
        <f t="shared" si="62"/>
        <v>#N/A</v>
      </c>
      <c r="AN230" s="166" t="e">
        <f t="shared" si="63"/>
        <v>#N/A</v>
      </c>
    </row>
    <row r="231" spans="19:40" x14ac:dyDescent="0.45">
      <c r="S231" s="170">
        <f>'PubMatic Data'!A228</f>
        <v>45967</v>
      </c>
      <c r="T231" s="171">
        <f>'PubMatic Data'!B228</f>
        <v>7.38</v>
      </c>
      <c r="U231" s="171">
        <f>_xlfn.XLOOKUP(S231,'Trade Deck Data'!$A:$A,'Trade Deck Data'!$B:$B,NA())</f>
        <v>45.9</v>
      </c>
      <c r="V231" s="172">
        <f t="shared" si="48"/>
        <v>336159</v>
      </c>
      <c r="W231" s="172">
        <f t="shared" si="49"/>
        <v>216188</v>
      </c>
      <c r="X231" s="172">
        <f t="shared" si="50"/>
        <v>21701520</v>
      </c>
      <c r="Y231" s="172">
        <f t="shared" si="51"/>
        <v>20216187</v>
      </c>
      <c r="Z231" s="173">
        <f t="shared" si="52"/>
        <v>0.74762593112606601</v>
      </c>
      <c r="AA231" s="173">
        <f t="shared" si="53"/>
        <v>7.1249236093734032</v>
      </c>
      <c r="AB231" s="173">
        <f t="shared" si="54"/>
        <v>3.5339850263183705</v>
      </c>
      <c r="AC231" s="173">
        <f t="shared" si="55"/>
        <v>34.479784076954566</v>
      </c>
      <c r="AD231" s="173">
        <f t="shared" si="56"/>
        <v>6.377297678247337</v>
      </c>
      <c r="AE231" s="173">
        <f t="shared" si="57"/>
        <v>30.945799050636197</v>
      </c>
      <c r="AI231" s="178" t="e">
        <f t="shared" si="58"/>
        <v>#N/A</v>
      </c>
      <c r="AJ231" s="178">
        <f t="shared" si="59"/>
        <v>7.1249236093734032</v>
      </c>
      <c r="AK231" s="178" t="e">
        <f t="shared" si="60"/>
        <v>#N/A</v>
      </c>
      <c r="AL231" s="178">
        <f t="shared" si="61"/>
        <v>34.479784076954566</v>
      </c>
      <c r="AM231" s="166" t="e">
        <f t="shared" si="62"/>
        <v>#N/A</v>
      </c>
      <c r="AN231" s="166">
        <f t="shared" si="63"/>
        <v>45.9</v>
      </c>
    </row>
    <row r="232" spans="19:40" x14ac:dyDescent="0.45">
      <c r="S232" s="170">
        <f>'PubMatic Data'!A229</f>
        <v>45966</v>
      </c>
      <c r="T232" s="171">
        <f>'PubMatic Data'!B229</f>
        <v>8.06</v>
      </c>
      <c r="U232" s="171">
        <f>_xlfn.XLOOKUP(S232,'Trade Deck Data'!$A:$A,'Trade Deck Data'!$B:$B,NA())</f>
        <v>47.7</v>
      </c>
      <c r="V232" s="172">
        <f t="shared" si="48"/>
        <v>367133</v>
      </c>
      <c r="W232" s="172">
        <f t="shared" si="49"/>
        <v>247162</v>
      </c>
      <c r="X232" s="172">
        <f t="shared" si="50"/>
        <v>22552560</v>
      </c>
      <c r="Y232" s="172">
        <f t="shared" si="51"/>
        <v>21067227</v>
      </c>
      <c r="Z232" s="173">
        <f t="shared" si="52"/>
        <v>0.85474087548328637</v>
      </c>
      <c r="AA232" s="173">
        <f t="shared" si="53"/>
        <v>7.4248612281004727</v>
      </c>
      <c r="AB232" s="173">
        <f t="shared" si="54"/>
        <v>4.0403112433386736</v>
      </c>
      <c r="AC232" s="173">
        <f t="shared" si="55"/>
        <v>35.931278141629143</v>
      </c>
      <c r="AD232" s="173">
        <f t="shared" si="56"/>
        <v>6.5701203526171863</v>
      </c>
      <c r="AE232" s="173">
        <f t="shared" si="57"/>
        <v>31.890966898290468</v>
      </c>
      <c r="AI232" s="178" t="e">
        <f t="shared" si="58"/>
        <v>#N/A</v>
      </c>
      <c r="AJ232" s="178" t="e">
        <f t="shared" si="59"/>
        <v>#N/A</v>
      </c>
      <c r="AK232" s="178" t="e">
        <f t="shared" si="60"/>
        <v>#N/A</v>
      </c>
      <c r="AL232" s="178" t="e">
        <f t="shared" si="61"/>
        <v>#N/A</v>
      </c>
      <c r="AM232" s="166" t="e">
        <f t="shared" si="62"/>
        <v>#N/A</v>
      </c>
      <c r="AN232" s="166" t="e">
        <f t="shared" si="63"/>
        <v>#N/A</v>
      </c>
    </row>
    <row r="233" spans="19:40" x14ac:dyDescent="0.45">
      <c r="S233" s="170">
        <f>'PubMatic Data'!A230</f>
        <v>45965</v>
      </c>
      <c r="T233" s="171">
        <f>'PubMatic Data'!B230</f>
        <v>7.87</v>
      </c>
      <c r="U233" s="171">
        <f>_xlfn.XLOOKUP(S233,'Trade Deck Data'!$A:$A,'Trade Deck Data'!$B:$B,NA())</f>
        <v>47.24</v>
      </c>
      <c r="V233" s="172">
        <f t="shared" si="48"/>
        <v>358478.5</v>
      </c>
      <c r="W233" s="172">
        <f t="shared" si="49"/>
        <v>238507.5</v>
      </c>
      <c r="X233" s="172">
        <f t="shared" si="50"/>
        <v>22335072</v>
      </c>
      <c r="Y233" s="172">
        <f t="shared" si="51"/>
        <v>20849739</v>
      </c>
      <c r="Z233" s="173">
        <f t="shared" si="52"/>
        <v>0.82481169985406311</v>
      </c>
      <c r="AA233" s="173">
        <f t="shared" si="53"/>
        <v>7.3482105033146663</v>
      </c>
      <c r="AB233" s="173">
        <f t="shared" si="54"/>
        <v>3.8988377415241771</v>
      </c>
      <c r="AC233" s="173">
        <f t="shared" si="55"/>
        <v>35.56034076954564</v>
      </c>
      <c r="AD233" s="173">
        <f t="shared" si="56"/>
        <v>6.5233988034606032</v>
      </c>
      <c r="AE233" s="173">
        <f t="shared" si="57"/>
        <v>31.661503028021464</v>
      </c>
      <c r="AI233" s="178" t="e">
        <f t="shared" si="58"/>
        <v>#N/A</v>
      </c>
      <c r="AJ233" s="178" t="e">
        <f t="shared" si="59"/>
        <v>#N/A</v>
      </c>
      <c r="AK233" s="178" t="e">
        <f t="shared" si="60"/>
        <v>#N/A</v>
      </c>
      <c r="AL233" s="178" t="e">
        <f t="shared" si="61"/>
        <v>#N/A</v>
      </c>
      <c r="AM233" s="166" t="e">
        <f t="shared" si="62"/>
        <v>#N/A</v>
      </c>
      <c r="AN233" s="166" t="e">
        <f t="shared" si="63"/>
        <v>#N/A</v>
      </c>
    </row>
    <row r="234" spans="19:40" x14ac:dyDescent="0.45">
      <c r="S234" s="170">
        <f>'PubMatic Data'!A231</f>
        <v>45964</v>
      </c>
      <c r="T234" s="171">
        <f>'PubMatic Data'!B231</f>
        <v>8.3049999999999997</v>
      </c>
      <c r="U234" s="171">
        <f>_xlfn.XLOOKUP(S234,'Trade Deck Data'!$A:$A,'Trade Deck Data'!$B:$B,NA())</f>
        <v>49.12</v>
      </c>
      <c r="V234" s="172">
        <f t="shared" si="48"/>
        <v>378292.74999999994</v>
      </c>
      <c r="W234" s="172">
        <f t="shared" si="49"/>
        <v>258321.74999999994</v>
      </c>
      <c r="X234" s="172">
        <f t="shared" si="50"/>
        <v>23223935.999999996</v>
      </c>
      <c r="Y234" s="172">
        <f t="shared" si="51"/>
        <v>21738602.999999996</v>
      </c>
      <c r="Z234" s="173">
        <f t="shared" si="52"/>
        <v>0.8933337598472848</v>
      </c>
      <c r="AA234" s="173">
        <f t="shared" si="53"/>
        <v>7.6614786828740487</v>
      </c>
      <c r="AB234" s="173">
        <f t="shared" si="54"/>
        <v>4.2227376009415751</v>
      </c>
      <c r="AC234" s="173">
        <f t="shared" si="55"/>
        <v>37.076345681539088</v>
      </c>
      <c r="AD234" s="173">
        <f t="shared" si="56"/>
        <v>6.7681449230267638</v>
      </c>
      <c r="AE234" s="173">
        <f t="shared" si="57"/>
        <v>32.85360808059751</v>
      </c>
      <c r="AI234" s="178" t="e">
        <f t="shared" si="58"/>
        <v>#N/A</v>
      </c>
      <c r="AJ234" s="178" t="e">
        <f t="shared" si="59"/>
        <v>#N/A</v>
      </c>
      <c r="AK234" s="178" t="e">
        <f t="shared" si="60"/>
        <v>#N/A</v>
      </c>
      <c r="AL234" s="178" t="e">
        <f t="shared" si="61"/>
        <v>#N/A</v>
      </c>
      <c r="AM234" s="166" t="e">
        <f t="shared" si="62"/>
        <v>#N/A</v>
      </c>
      <c r="AN234" s="166" t="e">
        <f t="shared" si="63"/>
        <v>#N/A</v>
      </c>
    </row>
    <row r="235" spans="19:40" x14ac:dyDescent="0.45">
      <c r="S235" s="170">
        <f>'PubMatic Data'!A232</f>
        <v>45961</v>
      </c>
      <c r="T235" s="171">
        <f>'PubMatic Data'!B232</f>
        <v>8.36</v>
      </c>
      <c r="U235" s="171">
        <f>_xlfn.XLOOKUP(S235,'Trade Deck Data'!$A:$A,'Trade Deck Data'!$B:$B,NA())</f>
        <v>50.28</v>
      </c>
      <c r="V235" s="172">
        <f t="shared" si="48"/>
        <v>380797.99999999994</v>
      </c>
      <c r="W235" s="172">
        <f t="shared" si="49"/>
        <v>260826.99999999994</v>
      </c>
      <c r="X235" s="172">
        <f t="shared" si="50"/>
        <v>23772384</v>
      </c>
      <c r="Y235" s="172">
        <f t="shared" si="51"/>
        <v>22287051</v>
      </c>
      <c r="Z235" s="173">
        <f t="shared" si="52"/>
        <v>0.90199746858205998</v>
      </c>
      <c r="AA235" s="173">
        <f t="shared" si="53"/>
        <v>7.8547718149426053</v>
      </c>
      <c r="AB235" s="173">
        <f t="shared" si="54"/>
        <v>4.2636904567299823</v>
      </c>
      <c r="AC235" s="173">
        <f t="shared" si="55"/>
        <v>38.011752967662709</v>
      </c>
      <c r="AD235" s="173">
        <f t="shared" si="56"/>
        <v>6.9527743463605454</v>
      </c>
      <c r="AE235" s="173">
        <f t="shared" si="57"/>
        <v>33.748062510932726</v>
      </c>
      <c r="AI235" s="178" t="e">
        <f t="shared" si="58"/>
        <v>#N/A</v>
      </c>
      <c r="AJ235" s="178" t="e">
        <f t="shared" si="59"/>
        <v>#N/A</v>
      </c>
      <c r="AK235" s="178" t="e">
        <f t="shared" si="60"/>
        <v>#N/A</v>
      </c>
      <c r="AL235" s="178" t="e">
        <f t="shared" si="61"/>
        <v>#N/A</v>
      </c>
      <c r="AM235" s="166" t="e">
        <f t="shared" si="62"/>
        <v>#N/A</v>
      </c>
      <c r="AN235" s="166" t="e">
        <f t="shared" si="63"/>
        <v>#N/A</v>
      </c>
    </row>
    <row r="236" spans="19:40" x14ac:dyDescent="0.45">
      <c r="S236" s="170">
        <f>'PubMatic Data'!A233</f>
        <v>45960</v>
      </c>
      <c r="T236" s="171">
        <f>'PubMatic Data'!B233</f>
        <v>8.23</v>
      </c>
      <c r="U236" s="171">
        <f>_xlfn.XLOOKUP(S236,'Trade Deck Data'!$A:$A,'Trade Deck Data'!$B:$B,NA())</f>
        <v>48.97</v>
      </c>
      <c r="V236" s="172">
        <f t="shared" si="48"/>
        <v>374876.5</v>
      </c>
      <c r="W236" s="172">
        <f t="shared" si="49"/>
        <v>254905.5</v>
      </c>
      <c r="X236" s="172">
        <f t="shared" si="50"/>
        <v>23153016</v>
      </c>
      <c r="Y236" s="172">
        <f t="shared" si="51"/>
        <v>21667683</v>
      </c>
      <c r="Z236" s="173">
        <f t="shared" si="52"/>
        <v>0.88151961157259151</v>
      </c>
      <c r="AA236" s="173">
        <f t="shared" si="53"/>
        <v>7.6364838813134606</v>
      </c>
      <c r="AB236" s="173">
        <f t="shared" si="54"/>
        <v>4.1668927975937491</v>
      </c>
      <c r="AC236" s="173">
        <f t="shared" si="55"/>
        <v>36.955387842816208</v>
      </c>
      <c r="AD236" s="173">
        <f t="shared" si="56"/>
        <v>6.7549642697408689</v>
      </c>
      <c r="AE236" s="173">
        <f t="shared" si="57"/>
        <v>32.788495045222461</v>
      </c>
      <c r="AI236" s="178" t="e">
        <f t="shared" si="58"/>
        <v>#N/A</v>
      </c>
      <c r="AJ236" s="178" t="e">
        <f t="shared" si="59"/>
        <v>#N/A</v>
      </c>
      <c r="AK236" s="178" t="e">
        <f t="shared" si="60"/>
        <v>#N/A</v>
      </c>
      <c r="AL236" s="178" t="e">
        <f t="shared" si="61"/>
        <v>#N/A</v>
      </c>
      <c r="AM236" s="166" t="e">
        <f t="shared" si="62"/>
        <v>#N/A</v>
      </c>
      <c r="AN236" s="166" t="e">
        <f t="shared" si="63"/>
        <v>#N/A</v>
      </c>
    </row>
    <row r="237" spans="19:40" x14ac:dyDescent="0.45">
      <c r="S237" s="170">
        <f>'PubMatic Data'!A234</f>
        <v>45959</v>
      </c>
      <c r="T237" s="171">
        <f>'PubMatic Data'!B234</f>
        <v>8.4600000000000009</v>
      </c>
      <c r="U237" s="171">
        <f>_xlfn.XLOOKUP(S237,'Trade Deck Data'!$A:$A,'Trade Deck Data'!$B:$B,NA())</f>
        <v>49.96</v>
      </c>
      <c r="V237" s="172">
        <f t="shared" si="48"/>
        <v>385353</v>
      </c>
      <c r="W237" s="172">
        <f t="shared" si="49"/>
        <v>265382</v>
      </c>
      <c r="X237" s="172">
        <f t="shared" si="50"/>
        <v>23621088</v>
      </c>
      <c r="Y237" s="172">
        <f t="shared" si="51"/>
        <v>22135755</v>
      </c>
      <c r="Z237" s="173">
        <f t="shared" si="52"/>
        <v>0.91774966628165133</v>
      </c>
      <c r="AA237" s="173">
        <f t="shared" si="53"/>
        <v>7.8014495716133485</v>
      </c>
      <c r="AB237" s="173">
        <f t="shared" si="54"/>
        <v>4.3381501945270866</v>
      </c>
      <c r="AC237" s="173">
        <f t="shared" si="55"/>
        <v>37.75370957838723</v>
      </c>
      <c r="AD237" s="173">
        <f t="shared" si="56"/>
        <v>6.8836999053316976</v>
      </c>
      <c r="AE237" s="173">
        <f t="shared" si="57"/>
        <v>33.415559383860142</v>
      </c>
      <c r="AI237" s="178" t="e">
        <f t="shared" si="58"/>
        <v>#N/A</v>
      </c>
      <c r="AJ237" s="178" t="e">
        <f t="shared" si="59"/>
        <v>#N/A</v>
      </c>
      <c r="AK237" s="178" t="e">
        <f t="shared" si="60"/>
        <v>#N/A</v>
      </c>
      <c r="AL237" s="178" t="e">
        <f t="shared" si="61"/>
        <v>#N/A</v>
      </c>
      <c r="AM237" s="166" t="e">
        <f t="shared" si="62"/>
        <v>#N/A</v>
      </c>
      <c r="AN237" s="166" t="e">
        <f t="shared" si="63"/>
        <v>#N/A</v>
      </c>
    </row>
    <row r="238" spans="19:40" x14ac:dyDescent="0.45">
      <c r="S238" s="170">
        <f>'PubMatic Data'!A235</f>
        <v>45958</v>
      </c>
      <c r="T238" s="171">
        <f>'PubMatic Data'!B235</f>
        <v>8.84</v>
      </c>
      <c r="U238" s="171">
        <f>_xlfn.XLOOKUP(S238,'Trade Deck Data'!$A:$A,'Trade Deck Data'!$B:$B,NA())</f>
        <v>51.67</v>
      </c>
      <c r="V238" s="172">
        <f t="shared" si="48"/>
        <v>402662</v>
      </c>
      <c r="W238" s="172">
        <f t="shared" si="49"/>
        <v>282691</v>
      </c>
      <c r="X238" s="172">
        <f t="shared" si="50"/>
        <v>24429576</v>
      </c>
      <c r="Y238" s="172">
        <f t="shared" si="51"/>
        <v>22944243</v>
      </c>
      <c r="Z238" s="173">
        <f t="shared" si="52"/>
        <v>0.97760801754009807</v>
      </c>
      <c r="AA238" s="173">
        <f t="shared" si="53"/>
        <v>8.0863903094040648</v>
      </c>
      <c r="AB238" s="173">
        <f t="shared" si="54"/>
        <v>4.6210971981560798</v>
      </c>
      <c r="AC238" s="173">
        <f t="shared" si="55"/>
        <v>39.132628939828081</v>
      </c>
      <c r="AD238" s="173">
        <f t="shared" si="56"/>
        <v>7.1087822918639665</v>
      </c>
      <c r="AE238" s="173">
        <f t="shared" si="57"/>
        <v>34.511531741672002</v>
      </c>
      <c r="AI238" s="178" t="e">
        <f t="shared" si="58"/>
        <v>#N/A</v>
      </c>
      <c r="AJ238" s="178" t="e">
        <f t="shared" si="59"/>
        <v>#N/A</v>
      </c>
      <c r="AK238" s="178" t="e">
        <f t="shared" si="60"/>
        <v>#N/A</v>
      </c>
      <c r="AL238" s="178" t="e">
        <f t="shared" si="61"/>
        <v>#N/A</v>
      </c>
      <c r="AM238" s="166" t="e">
        <f t="shared" si="62"/>
        <v>#N/A</v>
      </c>
      <c r="AN238" s="166" t="e">
        <f t="shared" si="63"/>
        <v>#N/A</v>
      </c>
    </row>
    <row r="239" spans="19:40" x14ac:dyDescent="0.45">
      <c r="S239" s="170">
        <f>'PubMatic Data'!A236</f>
        <v>45957</v>
      </c>
      <c r="T239" s="171">
        <f>'PubMatic Data'!B236</f>
        <v>8.7799999999999994</v>
      </c>
      <c r="U239" s="171">
        <f>_xlfn.XLOOKUP(S239,'Trade Deck Data'!$A:$A,'Trade Deck Data'!$B:$B,NA())</f>
        <v>53.61</v>
      </c>
      <c r="V239" s="172">
        <f t="shared" si="48"/>
        <v>399929</v>
      </c>
      <c r="W239" s="172">
        <f t="shared" si="49"/>
        <v>279958</v>
      </c>
      <c r="X239" s="172">
        <f t="shared" si="50"/>
        <v>25346808</v>
      </c>
      <c r="Y239" s="172">
        <f t="shared" si="51"/>
        <v>23861475</v>
      </c>
      <c r="Z239" s="173">
        <f t="shared" si="52"/>
        <v>0.96815669892034328</v>
      </c>
      <c r="AA239" s="173">
        <f t="shared" si="53"/>
        <v>8.4096564095876847</v>
      </c>
      <c r="AB239" s="173">
        <f t="shared" si="54"/>
        <v>4.5764213554778177</v>
      </c>
      <c r="AC239" s="173">
        <f t="shared" si="55"/>
        <v>40.697016987310683</v>
      </c>
      <c r="AD239" s="173">
        <f t="shared" si="56"/>
        <v>7.4414997106673413</v>
      </c>
      <c r="AE239" s="173">
        <f t="shared" si="57"/>
        <v>36.120595631832863</v>
      </c>
      <c r="AI239" s="178" t="e">
        <f t="shared" si="58"/>
        <v>#N/A</v>
      </c>
      <c r="AJ239" s="178" t="e">
        <f t="shared" si="59"/>
        <v>#N/A</v>
      </c>
      <c r="AK239" s="178" t="e">
        <f t="shared" si="60"/>
        <v>#N/A</v>
      </c>
      <c r="AL239" s="178" t="e">
        <f t="shared" si="61"/>
        <v>#N/A</v>
      </c>
      <c r="AM239" s="166" t="e">
        <f t="shared" si="62"/>
        <v>#N/A</v>
      </c>
      <c r="AN239" s="166" t="e">
        <f t="shared" si="63"/>
        <v>#N/A</v>
      </c>
    </row>
    <row r="240" spans="19:40" x14ac:dyDescent="0.45">
      <c r="S240" s="170">
        <f>'PubMatic Data'!A237</f>
        <v>45954</v>
      </c>
      <c r="T240" s="171">
        <f>'PubMatic Data'!B237</f>
        <v>8.75</v>
      </c>
      <c r="U240" s="171">
        <f>_xlfn.XLOOKUP(S240,'Trade Deck Data'!$A:$A,'Trade Deck Data'!$B:$B,NA())</f>
        <v>52</v>
      </c>
      <c r="V240" s="172">
        <f t="shared" si="48"/>
        <v>398562.5</v>
      </c>
      <c r="W240" s="172">
        <f t="shared" si="49"/>
        <v>278591.5</v>
      </c>
      <c r="X240" s="172">
        <f t="shared" si="50"/>
        <v>24585600.000000004</v>
      </c>
      <c r="Y240" s="172">
        <f t="shared" si="51"/>
        <v>23100267.000000004</v>
      </c>
      <c r="Z240" s="173">
        <f t="shared" si="52"/>
        <v>0.96343103961046594</v>
      </c>
      <c r="AA240" s="173">
        <f t="shared" si="53"/>
        <v>8.1413788728373628</v>
      </c>
      <c r="AB240" s="173">
        <f t="shared" si="54"/>
        <v>4.5540834341386862</v>
      </c>
      <c r="AC240" s="173">
        <f t="shared" si="55"/>
        <v>39.398736185018429</v>
      </c>
      <c r="AD240" s="173">
        <f t="shared" si="56"/>
        <v>7.1779478332268969</v>
      </c>
      <c r="AE240" s="173">
        <f t="shared" si="57"/>
        <v>34.844652750879746</v>
      </c>
      <c r="AI240" s="178" t="e">
        <f t="shared" si="58"/>
        <v>#N/A</v>
      </c>
      <c r="AJ240" s="178" t="e">
        <f t="shared" si="59"/>
        <v>#N/A</v>
      </c>
      <c r="AK240" s="178" t="e">
        <f t="shared" si="60"/>
        <v>#N/A</v>
      </c>
      <c r="AL240" s="178" t="e">
        <f t="shared" si="61"/>
        <v>#N/A</v>
      </c>
      <c r="AM240" s="166" t="e">
        <f t="shared" si="62"/>
        <v>#N/A</v>
      </c>
      <c r="AN240" s="166" t="e">
        <f t="shared" si="63"/>
        <v>#N/A</v>
      </c>
    </row>
    <row r="241" spans="19:40" x14ac:dyDescent="0.45">
      <c r="S241" s="170">
        <f>'PubMatic Data'!A238</f>
        <v>45953</v>
      </c>
      <c r="T241" s="171">
        <f>'PubMatic Data'!B238</f>
        <v>8.59</v>
      </c>
      <c r="U241" s="171">
        <f>_xlfn.XLOOKUP(S241,'Trade Deck Data'!$A:$A,'Trade Deck Data'!$B:$B,NA())</f>
        <v>54.13</v>
      </c>
      <c r="V241" s="172">
        <f t="shared" si="48"/>
        <v>391274.5</v>
      </c>
      <c r="W241" s="172">
        <f t="shared" si="49"/>
        <v>271303.5</v>
      </c>
      <c r="X241" s="172">
        <f t="shared" si="50"/>
        <v>25592664</v>
      </c>
      <c r="Y241" s="172">
        <f t="shared" si="51"/>
        <v>24107331</v>
      </c>
      <c r="Z241" s="173">
        <f t="shared" si="52"/>
        <v>0.93822752329112002</v>
      </c>
      <c r="AA241" s="173">
        <f t="shared" si="53"/>
        <v>8.4963050549977268</v>
      </c>
      <c r="AB241" s="173">
        <f t="shared" si="54"/>
        <v>4.4349478536633207</v>
      </c>
      <c r="AC241" s="173">
        <f t="shared" si="55"/>
        <v>41.116337494883339</v>
      </c>
      <c r="AD241" s="173">
        <f t="shared" si="56"/>
        <v>7.5580775317066067</v>
      </c>
      <c r="AE241" s="173">
        <f t="shared" si="57"/>
        <v>36.681389641220022</v>
      </c>
      <c r="AI241" s="178" t="e">
        <f t="shared" si="58"/>
        <v>#N/A</v>
      </c>
      <c r="AJ241" s="178" t="e">
        <f t="shared" si="59"/>
        <v>#N/A</v>
      </c>
      <c r="AK241" s="178" t="e">
        <f t="shared" si="60"/>
        <v>#N/A</v>
      </c>
      <c r="AL241" s="178" t="e">
        <f t="shared" si="61"/>
        <v>#N/A</v>
      </c>
      <c r="AM241" s="166" t="e">
        <f t="shared" si="62"/>
        <v>#N/A</v>
      </c>
      <c r="AN241" s="166" t="e">
        <f t="shared" si="63"/>
        <v>#N/A</v>
      </c>
    </row>
    <row r="242" spans="19:40" x14ac:dyDescent="0.45">
      <c r="S242" s="170">
        <f>'PubMatic Data'!A239</f>
        <v>45952</v>
      </c>
      <c r="T242" s="171">
        <f>'PubMatic Data'!B239</f>
        <v>8.42</v>
      </c>
      <c r="U242" s="171">
        <f>_xlfn.XLOOKUP(S242,'Trade Deck Data'!$A:$A,'Trade Deck Data'!$B:$B,NA())</f>
        <v>53.89</v>
      </c>
      <c r="V242" s="172">
        <f t="shared" si="48"/>
        <v>383530.99999999994</v>
      </c>
      <c r="W242" s="172">
        <f t="shared" si="49"/>
        <v>263559.99999999994</v>
      </c>
      <c r="X242" s="172">
        <f t="shared" si="50"/>
        <v>25479192</v>
      </c>
      <c r="Y242" s="172">
        <f t="shared" si="51"/>
        <v>23993859</v>
      </c>
      <c r="Z242" s="173">
        <f t="shared" si="52"/>
        <v>0.91144878720181466</v>
      </c>
      <c r="AA242" s="173">
        <f t="shared" si="53"/>
        <v>8.4563133725007837</v>
      </c>
      <c r="AB242" s="173">
        <f t="shared" si="54"/>
        <v>4.3083662994082443</v>
      </c>
      <c r="AC242" s="173">
        <f t="shared" si="55"/>
        <v>40.922804952926732</v>
      </c>
      <c r="AD242" s="173">
        <f t="shared" si="56"/>
        <v>7.5448645852989689</v>
      </c>
      <c r="AE242" s="173">
        <f t="shared" si="57"/>
        <v>36.614438653518491</v>
      </c>
      <c r="AI242" s="178" t="e">
        <f t="shared" si="58"/>
        <v>#N/A</v>
      </c>
      <c r="AJ242" s="178" t="e">
        <f t="shared" si="59"/>
        <v>#N/A</v>
      </c>
      <c r="AK242" s="178" t="e">
        <f t="shared" si="60"/>
        <v>#N/A</v>
      </c>
      <c r="AL242" s="178" t="e">
        <f t="shared" si="61"/>
        <v>#N/A</v>
      </c>
      <c r="AM242" s="166" t="e">
        <f t="shared" si="62"/>
        <v>#N/A</v>
      </c>
      <c r="AN242" s="166" t="e">
        <f t="shared" si="63"/>
        <v>#N/A</v>
      </c>
    </row>
    <row r="243" spans="19:40" x14ac:dyDescent="0.45">
      <c r="S243" s="170">
        <f>'PubMatic Data'!A240</f>
        <v>45951</v>
      </c>
      <c r="T243" s="171">
        <f>'PubMatic Data'!B240</f>
        <v>8.4700000000000006</v>
      </c>
      <c r="U243" s="171">
        <f>_xlfn.XLOOKUP(S243,'Trade Deck Data'!$A:$A,'Trade Deck Data'!$B:$B,NA())</f>
        <v>53.92</v>
      </c>
      <c r="V243" s="172">
        <f t="shared" si="48"/>
        <v>385808.5</v>
      </c>
      <c r="W243" s="172">
        <f t="shared" si="49"/>
        <v>265837.5</v>
      </c>
      <c r="X243" s="172">
        <f t="shared" si="50"/>
        <v>25493376</v>
      </c>
      <c r="Y243" s="172">
        <f t="shared" si="51"/>
        <v>24008043</v>
      </c>
      <c r="Z243" s="173">
        <f t="shared" si="52"/>
        <v>0.91932488605161045</v>
      </c>
      <c r="AA243" s="173">
        <f t="shared" si="53"/>
        <v>8.4613123328129021</v>
      </c>
      <c r="AB243" s="173">
        <f t="shared" si="54"/>
        <v>4.3455961683067974</v>
      </c>
      <c r="AC243" s="173">
        <f t="shared" si="55"/>
        <v>40.946996520671306</v>
      </c>
      <c r="AD243" s="173">
        <f t="shared" si="56"/>
        <v>7.5419874467612917</v>
      </c>
      <c r="AE243" s="173">
        <f t="shared" si="57"/>
        <v>36.601400352364507</v>
      </c>
      <c r="AI243" s="178" t="e">
        <f t="shared" si="58"/>
        <v>#N/A</v>
      </c>
      <c r="AJ243" s="178" t="e">
        <f t="shared" si="59"/>
        <v>#N/A</v>
      </c>
      <c r="AK243" s="178" t="e">
        <f t="shared" si="60"/>
        <v>#N/A</v>
      </c>
      <c r="AL243" s="178" t="e">
        <f t="shared" si="61"/>
        <v>#N/A</v>
      </c>
      <c r="AM243" s="166" t="e">
        <f t="shared" si="62"/>
        <v>#N/A</v>
      </c>
      <c r="AN243" s="166" t="e">
        <f t="shared" si="63"/>
        <v>#N/A</v>
      </c>
    </row>
    <row r="244" spans="19:40" x14ac:dyDescent="0.45">
      <c r="S244" s="170">
        <f>'PubMatic Data'!A241</f>
        <v>45950</v>
      </c>
      <c r="T244" s="171">
        <f>'PubMatic Data'!B241</f>
        <v>8.32</v>
      </c>
      <c r="U244" s="171">
        <f>_xlfn.XLOOKUP(S244,'Trade Deck Data'!$A:$A,'Trade Deck Data'!$B:$B,NA())</f>
        <v>52.494999999999997</v>
      </c>
      <c r="V244" s="172">
        <f t="shared" si="48"/>
        <v>378976</v>
      </c>
      <c r="W244" s="172">
        <f t="shared" si="49"/>
        <v>259005</v>
      </c>
      <c r="X244" s="172">
        <f t="shared" si="50"/>
        <v>24819636</v>
      </c>
      <c r="Y244" s="172">
        <f t="shared" si="51"/>
        <v>23334303</v>
      </c>
      <c r="Z244" s="173">
        <f t="shared" si="52"/>
        <v>0.89569658950222364</v>
      </c>
      <c r="AA244" s="173">
        <f t="shared" si="53"/>
        <v>8.2238617179873046</v>
      </c>
      <c r="AB244" s="173">
        <f t="shared" si="54"/>
        <v>4.2339065616111418</v>
      </c>
      <c r="AC244" s="173">
        <f t="shared" si="55"/>
        <v>39.797897052803933</v>
      </c>
      <c r="AD244" s="173">
        <f t="shared" si="56"/>
        <v>7.3281651284850806</v>
      </c>
      <c r="AE244" s="173">
        <f t="shared" si="57"/>
        <v>35.56399049119279</v>
      </c>
      <c r="AI244" s="178" t="e">
        <f t="shared" si="58"/>
        <v>#N/A</v>
      </c>
      <c r="AJ244" s="178" t="e">
        <f t="shared" si="59"/>
        <v>#N/A</v>
      </c>
      <c r="AK244" s="178" t="e">
        <f t="shared" si="60"/>
        <v>#N/A</v>
      </c>
      <c r="AL244" s="178" t="e">
        <f t="shared" si="61"/>
        <v>#N/A</v>
      </c>
      <c r="AM244" s="166" t="e">
        <f t="shared" si="62"/>
        <v>#N/A</v>
      </c>
      <c r="AN244" s="166" t="e">
        <f t="shared" si="63"/>
        <v>#N/A</v>
      </c>
    </row>
    <row r="245" spans="19:40" x14ac:dyDescent="0.45">
      <c r="S245" s="170">
        <f>'PubMatic Data'!A242</f>
        <v>45947</v>
      </c>
      <c r="T245" s="171">
        <f>'PubMatic Data'!B242</f>
        <v>7.95</v>
      </c>
      <c r="U245" s="171">
        <f>_xlfn.XLOOKUP(S245,'Trade Deck Data'!$A:$A,'Trade Deck Data'!$B:$B,NA())</f>
        <v>49.98</v>
      </c>
      <c r="V245" s="172">
        <f t="shared" si="48"/>
        <v>362122.5</v>
      </c>
      <c r="W245" s="172">
        <f t="shared" si="49"/>
        <v>242151.5</v>
      </c>
      <c r="X245" s="172">
        <f t="shared" si="50"/>
        <v>23630543.999999996</v>
      </c>
      <c r="Y245" s="172">
        <f t="shared" si="51"/>
        <v>22145210.999999996</v>
      </c>
      <c r="Z245" s="173">
        <f t="shared" si="52"/>
        <v>0.83741345801373601</v>
      </c>
      <c r="AA245" s="173">
        <f t="shared" si="53"/>
        <v>7.8047822118214265</v>
      </c>
      <c r="AB245" s="173">
        <f t="shared" si="54"/>
        <v>3.9584055317618598</v>
      </c>
      <c r="AC245" s="173">
        <f t="shared" si="55"/>
        <v>37.769837290216941</v>
      </c>
      <c r="AD245" s="173">
        <f t="shared" si="56"/>
        <v>6.9673687538076905</v>
      </c>
      <c r="AE245" s="173">
        <f t="shared" si="57"/>
        <v>33.811431758455079</v>
      </c>
      <c r="AI245" s="178" t="e">
        <f t="shared" si="58"/>
        <v>#N/A</v>
      </c>
      <c r="AJ245" s="178" t="e">
        <f t="shared" si="59"/>
        <v>#N/A</v>
      </c>
      <c r="AK245" s="178" t="e">
        <f t="shared" si="60"/>
        <v>#N/A</v>
      </c>
      <c r="AL245" s="178" t="e">
        <f t="shared" si="61"/>
        <v>#N/A</v>
      </c>
      <c r="AM245" s="166" t="e">
        <f t="shared" si="62"/>
        <v>#N/A</v>
      </c>
      <c r="AN245" s="166" t="e">
        <f t="shared" si="63"/>
        <v>#N/A</v>
      </c>
    </row>
    <row r="246" spans="19:40" x14ac:dyDescent="0.45">
      <c r="S246" s="170">
        <f>'PubMatic Data'!A243</f>
        <v>45946</v>
      </c>
      <c r="T246" s="171">
        <f>'PubMatic Data'!B243</f>
        <v>8.0399999999999991</v>
      </c>
      <c r="U246" s="171">
        <f>_xlfn.XLOOKUP(S246,'Trade Deck Data'!$A:$A,'Trade Deck Data'!$B:$B,NA())</f>
        <v>49.9</v>
      </c>
      <c r="V246" s="172">
        <f t="shared" si="48"/>
        <v>366221.99999999994</v>
      </c>
      <c r="W246" s="172">
        <f t="shared" si="49"/>
        <v>246250.99999999994</v>
      </c>
      <c r="X246" s="172">
        <f t="shared" si="50"/>
        <v>23592720</v>
      </c>
      <c r="Y246" s="172">
        <f t="shared" si="51"/>
        <v>22107387</v>
      </c>
      <c r="Z246" s="173">
        <f t="shared" si="52"/>
        <v>0.85159043594336792</v>
      </c>
      <c r="AA246" s="173">
        <f t="shared" si="53"/>
        <v>7.7914516509891136</v>
      </c>
      <c r="AB246" s="173">
        <f t="shared" si="54"/>
        <v>4.0254192957792521</v>
      </c>
      <c r="AC246" s="173">
        <f t="shared" si="55"/>
        <v>37.705326442898077</v>
      </c>
      <c r="AD246" s="173">
        <f t="shared" si="56"/>
        <v>6.9398612150457453</v>
      </c>
      <c r="AE246" s="173">
        <f t="shared" si="57"/>
        <v>33.679907147118826</v>
      </c>
      <c r="AI246" s="178" t="e">
        <f t="shared" si="58"/>
        <v>#N/A</v>
      </c>
      <c r="AJ246" s="178" t="e">
        <f t="shared" si="59"/>
        <v>#N/A</v>
      </c>
      <c r="AK246" s="178" t="e">
        <f t="shared" si="60"/>
        <v>#N/A</v>
      </c>
      <c r="AL246" s="178" t="e">
        <f t="shared" si="61"/>
        <v>#N/A</v>
      </c>
      <c r="AM246" s="166" t="e">
        <f t="shared" si="62"/>
        <v>#N/A</v>
      </c>
      <c r="AN246" s="166" t="e">
        <f t="shared" si="63"/>
        <v>#N/A</v>
      </c>
    </row>
    <row r="247" spans="19:40" x14ac:dyDescent="0.45">
      <c r="S247" s="170">
        <f>'PubMatic Data'!A244</f>
        <v>45945</v>
      </c>
      <c r="T247" s="171">
        <f>'PubMatic Data'!B244</f>
        <v>8.24</v>
      </c>
      <c r="U247" s="171">
        <f>_xlfn.XLOOKUP(S247,'Trade Deck Data'!$A:$A,'Trade Deck Data'!$B:$B,NA())</f>
        <v>51.1</v>
      </c>
      <c r="V247" s="172">
        <f t="shared" si="48"/>
        <v>375332</v>
      </c>
      <c r="W247" s="172">
        <f t="shared" si="49"/>
        <v>255361</v>
      </c>
      <c r="X247" s="172">
        <f t="shared" si="50"/>
        <v>24160080</v>
      </c>
      <c r="Y247" s="172">
        <f t="shared" si="51"/>
        <v>22674747</v>
      </c>
      <c r="Z247" s="173">
        <f t="shared" si="52"/>
        <v>0.88309483134255062</v>
      </c>
      <c r="AA247" s="173">
        <f t="shared" si="53"/>
        <v>7.9914100634738263</v>
      </c>
      <c r="AB247" s="173">
        <f t="shared" si="54"/>
        <v>4.174338771373459</v>
      </c>
      <c r="AC247" s="173">
        <f t="shared" si="55"/>
        <v>38.672989152681133</v>
      </c>
      <c r="AD247" s="173">
        <f t="shared" si="56"/>
        <v>7.1083152321312753</v>
      </c>
      <c r="AE247" s="173">
        <f t="shared" si="57"/>
        <v>34.498650381307677</v>
      </c>
      <c r="AI247" s="178" t="e">
        <f t="shared" si="58"/>
        <v>#N/A</v>
      </c>
      <c r="AJ247" s="178" t="e">
        <f t="shared" si="59"/>
        <v>#N/A</v>
      </c>
      <c r="AK247" s="178" t="e">
        <f t="shared" si="60"/>
        <v>#N/A</v>
      </c>
      <c r="AL247" s="178" t="e">
        <f t="shared" si="61"/>
        <v>#N/A</v>
      </c>
      <c r="AM247" s="166" t="e">
        <f t="shared" si="62"/>
        <v>#N/A</v>
      </c>
      <c r="AN247" s="166" t="e">
        <f t="shared" si="63"/>
        <v>#N/A</v>
      </c>
    </row>
    <row r="248" spans="19:40" x14ac:dyDescent="0.45">
      <c r="S248" s="170">
        <f>'PubMatic Data'!A245</f>
        <v>45944</v>
      </c>
      <c r="T248" s="171">
        <f>'PubMatic Data'!B245</f>
        <v>8.24</v>
      </c>
      <c r="U248" s="171">
        <f>_xlfn.XLOOKUP(S248,'Trade Deck Data'!$A:$A,'Trade Deck Data'!$B:$B,NA())</f>
        <v>50.73</v>
      </c>
      <c r="V248" s="172">
        <f t="shared" si="48"/>
        <v>375332</v>
      </c>
      <c r="W248" s="172">
        <f t="shared" si="49"/>
        <v>255361</v>
      </c>
      <c r="X248" s="172">
        <f t="shared" si="50"/>
        <v>23985144</v>
      </c>
      <c r="Y248" s="172">
        <f t="shared" si="51"/>
        <v>22499811</v>
      </c>
      <c r="Z248" s="173">
        <f t="shared" si="52"/>
        <v>0.88309483134255062</v>
      </c>
      <c r="AA248" s="173">
        <f t="shared" si="53"/>
        <v>7.9297562196243732</v>
      </c>
      <c r="AB248" s="173">
        <f t="shared" si="54"/>
        <v>4.174338771373459</v>
      </c>
      <c r="AC248" s="173">
        <f t="shared" si="55"/>
        <v>38.374626483831356</v>
      </c>
      <c r="AD248" s="173">
        <f t="shared" si="56"/>
        <v>7.046661388281823</v>
      </c>
      <c r="AE248" s="173">
        <f t="shared" si="57"/>
        <v>34.2002877124579</v>
      </c>
      <c r="AI248" s="178" t="e">
        <f t="shared" si="58"/>
        <v>#N/A</v>
      </c>
      <c r="AJ248" s="178" t="e">
        <f t="shared" si="59"/>
        <v>#N/A</v>
      </c>
      <c r="AK248" s="178" t="e">
        <f t="shared" si="60"/>
        <v>#N/A</v>
      </c>
      <c r="AL248" s="178" t="e">
        <f t="shared" si="61"/>
        <v>#N/A</v>
      </c>
      <c r="AM248" s="166" t="e">
        <f t="shared" si="62"/>
        <v>#N/A</v>
      </c>
      <c r="AN248" s="166" t="e">
        <f t="shared" si="63"/>
        <v>#N/A</v>
      </c>
    </row>
    <row r="249" spans="19:40" x14ac:dyDescent="0.45">
      <c r="S249" s="170">
        <f>'PubMatic Data'!A246</f>
        <v>45943</v>
      </c>
      <c r="T249" s="171">
        <f>'PubMatic Data'!B246</f>
        <v>8.1999999999999993</v>
      </c>
      <c r="U249" s="171">
        <f>_xlfn.XLOOKUP(S249,'Trade Deck Data'!$A:$A,'Trade Deck Data'!$B:$B,NA())</f>
        <v>51.274999999999999</v>
      </c>
      <c r="V249" s="172">
        <f t="shared" si="48"/>
        <v>373509.99999999994</v>
      </c>
      <c r="W249" s="172">
        <f t="shared" si="49"/>
        <v>253538.99999999994</v>
      </c>
      <c r="X249" s="172">
        <f t="shared" si="50"/>
        <v>24242820</v>
      </c>
      <c r="Y249" s="172">
        <f t="shared" si="51"/>
        <v>22757487</v>
      </c>
      <c r="Z249" s="173">
        <f t="shared" si="52"/>
        <v>0.87679395226271395</v>
      </c>
      <c r="AA249" s="173">
        <f t="shared" si="53"/>
        <v>8.0205706652945139</v>
      </c>
      <c r="AB249" s="173">
        <f t="shared" si="54"/>
        <v>4.1445548762546167</v>
      </c>
      <c r="AC249" s="173">
        <f t="shared" si="55"/>
        <v>38.814106631191159</v>
      </c>
      <c r="AD249" s="173">
        <f t="shared" si="56"/>
        <v>7.1437767130317997</v>
      </c>
      <c r="AE249" s="173">
        <f t="shared" si="57"/>
        <v>34.669551754936542</v>
      </c>
      <c r="AI249" s="178" t="e">
        <f t="shared" si="58"/>
        <v>#N/A</v>
      </c>
      <c r="AJ249" s="178" t="e">
        <f t="shared" si="59"/>
        <v>#N/A</v>
      </c>
      <c r="AK249" s="178" t="e">
        <f t="shared" si="60"/>
        <v>#N/A</v>
      </c>
      <c r="AL249" s="178" t="e">
        <f t="shared" si="61"/>
        <v>#N/A</v>
      </c>
      <c r="AM249" s="166" t="e">
        <f t="shared" si="62"/>
        <v>#N/A</v>
      </c>
      <c r="AN249" s="166" t="e">
        <f t="shared" si="63"/>
        <v>#N/A</v>
      </c>
    </row>
    <row r="250" spans="19:40" x14ac:dyDescent="0.45">
      <c r="S250" s="170">
        <f>'PubMatic Data'!A247</f>
        <v>45940</v>
      </c>
      <c r="T250" s="171">
        <f>'PubMatic Data'!B247</f>
        <v>7.99</v>
      </c>
      <c r="U250" s="171">
        <f>_xlfn.XLOOKUP(S250,'Trade Deck Data'!$A:$A,'Trade Deck Data'!$B:$B,NA())</f>
        <v>52.36</v>
      </c>
      <c r="V250" s="172">
        <f t="shared" si="48"/>
        <v>363944.5</v>
      </c>
      <c r="W250" s="172">
        <f t="shared" si="49"/>
        <v>243973.5</v>
      </c>
      <c r="X250" s="172">
        <f t="shared" si="50"/>
        <v>24755808</v>
      </c>
      <c r="Y250" s="172">
        <f t="shared" si="51"/>
        <v>23270475</v>
      </c>
      <c r="Z250" s="173">
        <f t="shared" si="52"/>
        <v>0.84371433709357258</v>
      </c>
      <c r="AA250" s="173">
        <f t="shared" si="53"/>
        <v>8.2013663965827757</v>
      </c>
      <c r="AB250" s="173">
        <f t="shared" si="54"/>
        <v>3.9881894268807008</v>
      </c>
      <c r="AC250" s="173">
        <f t="shared" si="55"/>
        <v>39.689034997953335</v>
      </c>
      <c r="AD250" s="173">
        <f t="shared" si="56"/>
        <v>7.3576520594892028</v>
      </c>
      <c r="AE250" s="173">
        <f t="shared" si="57"/>
        <v>35.700845571072634</v>
      </c>
      <c r="AI250" s="178" t="e">
        <f t="shared" si="58"/>
        <v>#N/A</v>
      </c>
      <c r="AJ250" s="178" t="e">
        <f t="shared" si="59"/>
        <v>#N/A</v>
      </c>
      <c r="AK250" s="178" t="e">
        <f t="shared" si="60"/>
        <v>#N/A</v>
      </c>
      <c r="AL250" s="178" t="e">
        <f t="shared" si="61"/>
        <v>#N/A</v>
      </c>
      <c r="AM250" s="166" t="e">
        <f t="shared" si="62"/>
        <v>#N/A</v>
      </c>
      <c r="AN250" s="166" t="e">
        <f t="shared" si="63"/>
        <v>#N/A</v>
      </c>
    </row>
    <row r="251" spans="19:40" x14ac:dyDescent="0.45">
      <c r="S251" s="170">
        <f>'PubMatic Data'!A248</f>
        <v>45939</v>
      </c>
      <c r="T251" s="171">
        <f>'PubMatic Data'!B248</f>
        <v>8.33</v>
      </c>
      <c r="U251" s="171">
        <f>_xlfn.XLOOKUP(S251,'Trade Deck Data'!$A:$A,'Trade Deck Data'!$B:$B,NA())</f>
        <v>54.09</v>
      </c>
      <c r="V251" s="172">
        <f t="shared" si="48"/>
        <v>379431.5</v>
      </c>
      <c r="W251" s="172">
        <f t="shared" si="49"/>
        <v>259460.5</v>
      </c>
      <c r="X251" s="172">
        <f t="shared" si="50"/>
        <v>25573752.000000004</v>
      </c>
      <c r="Y251" s="172">
        <f t="shared" si="51"/>
        <v>24088419.000000004</v>
      </c>
      <c r="Z251" s="173">
        <f t="shared" si="52"/>
        <v>0.89727180927218275</v>
      </c>
      <c r="AA251" s="173">
        <f t="shared" si="53"/>
        <v>8.4896397745815708</v>
      </c>
      <c r="AB251" s="173">
        <f t="shared" si="54"/>
        <v>4.2413525353908526</v>
      </c>
      <c r="AC251" s="173">
        <f t="shared" si="55"/>
        <v>41.084082071223911</v>
      </c>
      <c r="AD251" s="173">
        <f t="shared" si="56"/>
        <v>7.5923679653093883</v>
      </c>
      <c r="AE251" s="173">
        <f t="shared" si="57"/>
        <v>36.842729535833058</v>
      </c>
      <c r="AI251" s="178" t="e">
        <f t="shared" si="58"/>
        <v>#N/A</v>
      </c>
      <c r="AJ251" s="178" t="e">
        <f t="shared" si="59"/>
        <v>#N/A</v>
      </c>
      <c r="AK251" s="178" t="e">
        <f t="shared" si="60"/>
        <v>#N/A</v>
      </c>
      <c r="AL251" s="178" t="e">
        <f t="shared" si="61"/>
        <v>#N/A</v>
      </c>
      <c r="AM251" s="166" t="e">
        <f t="shared" si="62"/>
        <v>#N/A</v>
      </c>
      <c r="AN251" s="166" t="e">
        <f t="shared" si="63"/>
        <v>#N/A</v>
      </c>
    </row>
    <row r="252" spans="19:40" x14ac:dyDescent="0.45">
      <c r="S252" s="170">
        <f>'PubMatic Data'!A249</f>
        <v>45938</v>
      </c>
      <c r="T252" s="171">
        <f>'PubMatic Data'!B249</f>
        <v>8.89</v>
      </c>
      <c r="U252" s="171">
        <f>_xlfn.XLOOKUP(S252,'Trade Deck Data'!$A:$A,'Trade Deck Data'!$B:$B,NA())</f>
        <v>54.07</v>
      </c>
      <c r="V252" s="172">
        <f t="shared" si="48"/>
        <v>404939.5</v>
      </c>
      <c r="W252" s="172">
        <f t="shared" si="49"/>
        <v>284968.5</v>
      </c>
      <c r="X252" s="172">
        <f t="shared" si="50"/>
        <v>25564296.000000004</v>
      </c>
      <c r="Y252" s="172">
        <f t="shared" si="51"/>
        <v>24078963.000000004</v>
      </c>
      <c r="Z252" s="173">
        <f t="shared" si="52"/>
        <v>0.98548411638989375</v>
      </c>
      <c r="AA252" s="173">
        <f t="shared" si="53"/>
        <v>8.4863071343734919</v>
      </c>
      <c r="AB252" s="173">
        <f t="shared" si="54"/>
        <v>4.6583270670546311</v>
      </c>
      <c r="AC252" s="173">
        <f t="shared" si="55"/>
        <v>41.067954359394193</v>
      </c>
      <c r="AD252" s="173">
        <f t="shared" si="56"/>
        <v>7.5008230179835982</v>
      </c>
      <c r="AE252" s="173">
        <f t="shared" si="57"/>
        <v>36.409627292339565</v>
      </c>
      <c r="AI252" s="178" t="e">
        <f t="shared" si="58"/>
        <v>#N/A</v>
      </c>
      <c r="AJ252" s="178" t="e">
        <f t="shared" si="59"/>
        <v>#N/A</v>
      </c>
      <c r="AK252" s="178" t="e">
        <f t="shared" si="60"/>
        <v>#N/A</v>
      </c>
      <c r="AL252" s="178" t="e">
        <f t="shared" si="61"/>
        <v>#N/A</v>
      </c>
      <c r="AM252" s="166" t="e">
        <f t="shared" si="62"/>
        <v>#N/A</v>
      </c>
      <c r="AN252" s="166" t="e">
        <f t="shared" si="63"/>
        <v>#N/A</v>
      </c>
    </row>
    <row r="253" spans="19:40" x14ac:dyDescent="0.45">
      <c r="S253" s="170">
        <f>'PubMatic Data'!A250</f>
        <v>45937</v>
      </c>
      <c r="T253" s="171">
        <f>'PubMatic Data'!B250</f>
        <v>8.27</v>
      </c>
      <c r="U253" s="171">
        <f>_xlfn.XLOOKUP(S253,'Trade Deck Data'!$A:$A,'Trade Deck Data'!$B:$B,NA())</f>
        <v>53.49</v>
      </c>
      <c r="V253" s="172">
        <f t="shared" si="48"/>
        <v>376698.49999999994</v>
      </c>
      <c r="W253" s="172">
        <f t="shared" si="49"/>
        <v>256727.49999999994</v>
      </c>
      <c r="X253" s="172">
        <f t="shared" si="50"/>
        <v>25290072</v>
      </c>
      <c r="Y253" s="172">
        <f t="shared" si="51"/>
        <v>23804739</v>
      </c>
      <c r="Z253" s="173">
        <f t="shared" si="52"/>
        <v>0.88782049065242785</v>
      </c>
      <c r="AA253" s="173">
        <f t="shared" si="53"/>
        <v>8.3896605683392131</v>
      </c>
      <c r="AB253" s="173">
        <f t="shared" si="54"/>
        <v>4.1966766927125896</v>
      </c>
      <c r="AC253" s="173">
        <f t="shared" si="55"/>
        <v>40.600250716332376</v>
      </c>
      <c r="AD253" s="173">
        <f t="shared" si="56"/>
        <v>7.5018400776867855</v>
      </c>
      <c r="AE253" s="173">
        <f t="shared" si="57"/>
        <v>36.403574023619782</v>
      </c>
      <c r="AI253" s="178" t="e">
        <f t="shared" si="58"/>
        <v>#N/A</v>
      </c>
      <c r="AJ253" s="178" t="e">
        <f t="shared" si="59"/>
        <v>#N/A</v>
      </c>
      <c r="AK253" s="178" t="e">
        <f t="shared" si="60"/>
        <v>#N/A</v>
      </c>
      <c r="AL253" s="178" t="e">
        <f t="shared" si="61"/>
        <v>#N/A</v>
      </c>
      <c r="AM253" s="166" t="e">
        <f t="shared" si="62"/>
        <v>#N/A</v>
      </c>
      <c r="AN253" s="166" t="e">
        <f t="shared" si="63"/>
        <v>#N/A</v>
      </c>
    </row>
    <row r="254" spans="19:40" x14ac:dyDescent="0.45">
      <c r="S254" s="170">
        <f>'PubMatic Data'!A251</f>
        <v>45936</v>
      </c>
      <c r="T254" s="171">
        <f>'PubMatic Data'!B251</f>
        <v>8.4700000000000006</v>
      </c>
      <c r="U254" s="171">
        <f>_xlfn.XLOOKUP(S254,'Trade Deck Data'!$A:$A,'Trade Deck Data'!$B:$B,NA())</f>
        <v>53.14</v>
      </c>
      <c r="V254" s="172">
        <f t="shared" si="48"/>
        <v>385808.5</v>
      </c>
      <c r="W254" s="172">
        <f t="shared" si="49"/>
        <v>265837.5</v>
      </c>
      <c r="X254" s="172">
        <f t="shared" si="50"/>
        <v>25124592</v>
      </c>
      <c r="Y254" s="172">
        <f t="shared" si="51"/>
        <v>23639259</v>
      </c>
      <c r="Z254" s="173">
        <f t="shared" si="52"/>
        <v>0.91932488605161045</v>
      </c>
      <c r="AA254" s="173">
        <f t="shared" si="53"/>
        <v>8.331339364697838</v>
      </c>
      <c r="AB254" s="173">
        <f t="shared" si="54"/>
        <v>4.3455961683067974</v>
      </c>
      <c r="AC254" s="173">
        <f t="shared" si="55"/>
        <v>40.318015759312324</v>
      </c>
      <c r="AD254" s="173">
        <f t="shared" si="56"/>
        <v>7.4120144786462276</v>
      </c>
      <c r="AE254" s="173">
        <f t="shared" si="57"/>
        <v>35.972419591005526</v>
      </c>
      <c r="AI254" s="178" t="e">
        <f t="shared" si="58"/>
        <v>#N/A</v>
      </c>
      <c r="AJ254" s="178" t="e">
        <f t="shared" si="59"/>
        <v>#N/A</v>
      </c>
      <c r="AK254" s="178" t="e">
        <f t="shared" si="60"/>
        <v>#N/A</v>
      </c>
      <c r="AL254" s="178" t="e">
        <f t="shared" si="61"/>
        <v>#N/A</v>
      </c>
      <c r="AM254" s="166" t="e">
        <f t="shared" si="62"/>
        <v>#N/A</v>
      </c>
      <c r="AN254" s="166" t="e">
        <f t="shared" si="63"/>
        <v>#N/A</v>
      </c>
    </row>
    <row r="255" spans="19:40" x14ac:dyDescent="0.45">
      <c r="S255" s="170">
        <f>'PubMatic Data'!A252</f>
        <v>45933</v>
      </c>
      <c r="T255" s="171">
        <f>'PubMatic Data'!B252</f>
        <v>8.44</v>
      </c>
      <c r="U255" s="171">
        <f>_xlfn.XLOOKUP(S255,'Trade Deck Data'!$A:$A,'Trade Deck Data'!$B:$B,NA())</f>
        <v>51.55</v>
      </c>
      <c r="V255" s="172">
        <f t="shared" si="48"/>
        <v>384441.99999999994</v>
      </c>
      <c r="W255" s="172">
        <f t="shared" si="49"/>
        <v>264470.99999999994</v>
      </c>
      <c r="X255" s="172">
        <f t="shared" si="50"/>
        <v>24372840</v>
      </c>
      <c r="Y255" s="172">
        <f t="shared" si="51"/>
        <v>22887507</v>
      </c>
      <c r="Z255" s="173">
        <f t="shared" si="52"/>
        <v>0.91459922674173288</v>
      </c>
      <c r="AA255" s="173">
        <f t="shared" si="53"/>
        <v>8.0663944681555932</v>
      </c>
      <c r="AB255" s="173">
        <f t="shared" si="54"/>
        <v>4.323258246967665</v>
      </c>
      <c r="AC255" s="173">
        <f t="shared" si="55"/>
        <v>39.035862668849774</v>
      </c>
      <c r="AD255" s="173">
        <f t="shared" si="56"/>
        <v>7.1517952414138604</v>
      </c>
      <c r="AE255" s="173">
        <f t="shared" si="57"/>
        <v>34.712604421882105</v>
      </c>
      <c r="AI255" s="178" t="e">
        <f t="shared" si="58"/>
        <v>#N/A</v>
      </c>
      <c r="AJ255" s="178" t="e">
        <f t="shared" si="59"/>
        <v>#N/A</v>
      </c>
      <c r="AK255" s="178" t="e">
        <f t="shared" si="60"/>
        <v>#N/A</v>
      </c>
      <c r="AL255" s="178" t="e">
        <f t="shared" si="61"/>
        <v>#N/A</v>
      </c>
      <c r="AM255" s="166" t="e">
        <f t="shared" si="62"/>
        <v>#N/A</v>
      </c>
      <c r="AN255" s="166" t="e">
        <f t="shared" si="63"/>
        <v>#N/A</v>
      </c>
    </row>
  </sheetData>
  <mergeCells count="10">
    <mergeCell ref="B59:N59"/>
    <mergeCell ref="B60:N60"/>
    <mergeCell ref="B61:N61"/>
    <mergeCell ref="B62:N62"/>
    <mergeCell ref="B53:N53"/>
    <mergeCell ref="B54:N54"/>
    <mergeCell ref="B55:N55"/>
    <mergeCell ref="B56:N56"/>
    <mergeCell ref="B57:N57"/>
    <mergeCell ref="B58:N58"/>
  </mergeCell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1D60-CD4C-4B38-9175-E0FDB186A88E}">
  <dimension ref="A1:C253"/>
  <sheetViews>
    <sheetView workbookViewId="0"/>
  </sheetViews>
  <sheetFormatPr defaultRowHeight="14.25" x14ac:dyDescent="0.45"/>
  <cols>
    <col min="1" max="1" width="20.265625" style="155" customWidth="1"/>
    <col min="2" max="2" width="32.59765625" style="155" customWidth="1"/>
    <col min="3" max="3" width="26" style="155" customWidth="1"/>
    <col min="4" max="16384" width="9.06640625" style="155"/>
  </cols>
  <sheetData>
    <row r="1" spans="1:3" x14ac:dyDescent="0.45">
      <c r="A1" s="153" t="s">
        <v>675</v>
      </c>
      <c r="B1" s="154" t="s">
        <v>676</v>
      </c>
      <c r="C1" s="154" t="s">
        <v>677</v>
      </c>
    </row>
    <row r="2" spans="1:3" x14ac:dyDescent="0.45">
      <c r="A2" s="156">
        <v>46297</v>
      </c>
      <c r="B2" s="157">
        <v>18.420000000000002</v>
      </c>
      <c r="C2" s="158">
        <v>874286</v>
      </c>
    </row>
    <row r="3" spans="1:3" x14ac:dyDescent="0.45">
      <c r="A3" s="156">
        <v>46296</v>
      </c>
      <c r="B3" s="157">
        <v>19.18</v>
      </c>
      <c r="C3" s="158">
        <v>753430</v>
      </c>
    </row>
    <row r="4" spans="1:3" x14ac:dyDescent="0.45">
      <c r="A4" s="156">
        <v>46295</v>
      </c>
      <c r="B4" s="157">
        <v>18.73</v>
      </c>
      <c r="C4" s="158">
        <v>879224</v>
      </c>
    </row>
    <row r="5" spans="1:3" x14ac:dyDescent="0.45">
      <c r="A5" s="156">
        <v>46294</v>
      </c>
      <c r="B5" s="157">
        <v>18.8</v>
      </c>
      <c r="C5" s="158">
        <v>701772</v>
      </c>
    </row>
    <row r="6" spans="1:3" x14ac:dyDescent="0.45">
      <c r="A6" s="156">
        <v>46293</v>
      </c>
      <c r="B6" s="157">
        <v>18.41</v>
      </c>
      <c r="C6" s="158">
        <v>839466</v>
      </c>
    </row>
    <row r="7" spans="1:3" x14ac:dyDescent="0.45">
      <c r="A7" s="156">
        <v>46290</v>
      </c>
      <c r="B7" s="157">
        <v>18.600000000000001</v>
      </c>
      <c r="C7" s="158">
        <v>827314</v>
      </c>
    </row>
    <row r="8" spans="1:3" x14ac:dyDescent="0.45">
      <c r="A8" s="156">
        <v>46289</v>
      </c>
      <c r="B8" s="157">
        <v>18.55</v>
      </c>
      <c r="C8" s="158">
        <v>1529032</v>
      </c>
    </row>
    <row r="9" spans="1:3" x14ac:dyDescent="0.45">
      <c r="A9" s="156">
        <v>46288</v>
      </c>
      <c r="B9" s="157">
        <v>17.454999999999998</v>
      </c>
      <c r="C9" s="158">
        <v>745714</v>
      </c>
    </row>
    <row r="10" spans="1:3" x14ac:dyDescent="0.45">
      <c r="A10" s="156">
        <v>46287</v>
      </c>
      <c r="B10" s="157">
        <v>17.77</v>
      </c>
      <c r="C10" s="158">
        <v>553460</v>
      </c>
    </row>
    <row r="11" spans="1:3" x14ac:dyDescent="0.45">
      <c r="A11" s="156">
        <v>46286</v>
      </c>
      <c r="B11" s="157">
        <v>17.88</v>
      </c>
      <c r="C11" s="158">
        <v>745471</v>
      </c>
    </row>
    <row r="12" spans="1:3" x14ac:dyDescent="0.45">
      <c r="A12" s="156">
        <v>46283</v>
      </c>
      <c r="B12" s="157">
        <v>17.55</v>
      </c>
      <c r="C12" s="158">
        <v>1151270</v>
      </c>
    </row>
    <row r="13" spans="1:3" x14ac:dyDescent="0.45">
      <c r="A13" s="156">
        <v>46282</v>
      </c>
      <c r="B13" s="157">
        <v>17.329999999999998</v>
      </c>
      <c r="C13" s="158">
        <v>1139674</v>
      </c>
    </row>
    <row r="14" spans="1:3" x14ac:dyDescent="0.45">
      <c r="A14" s="156">
        <v>46281</v>
      </c>
      <c r="B14" s="157">
        <v>16.850000000000001</v>
      </c>
      <c r="C14" s="158">
        <v>457027</v>
      </c>
    </row>
    <row r="15" spans="1:3" x14ac:dyDescent="0.45">
      <c r="A15" s="156">
        <v>46280</v>
      </c>
      <c r="B15" s="157">
        <v>16.78</v>
      </c>
      <c r="C15" s="158">
        <v>639067</v>
      </c>
    </row>
    <row r="16" spans="1:3" x14ac:dyDescent="0.45">
      <c r="A16" s="156">
        <v>46279</v>
      </c>
      <c r="B16" s="157">
        <v>16.59</v>
      </c>
      <c r="C16" s="158">
        <v>418944</v>
      </c>
    </row>
    <row r="17" spans="1:3" x14ac:dyDescent="0.45">
      <c r="A17" s="156">
        <v>46276</v>
      </c>
      <c r="B17" s="157">
        <v>16.489999999999998</v>
      </c>
      <c r="C17" s="158">
        <v>686520</v>
      </c>
    </row>
    <row r="18" spans="1:3" x14ac:dyDescent="0.45">
      <c r="A18" s="156">
        <v>46275</v>
      </c>
      <c r="B18" s="157">
        <v>16.23</v>
      </c>
      <c r="C18" s="158">
        <v>249618</v>
      </c>
    </row>
    <row r="19" spans="1:3" x14ac:dyDescent="0.45">
      <c r="A19" s="156">
        <v>46274</v>
      </c>
      <c r="B19" s="157">
        <v>16.18</v>
      </c>
      <c r="C19" s="158">
        <v>472546</v>
      </c>
    </row>
    <row r="20" spans="1:3" x14ac:dyDescent="0.45">
      <c r="A20" s="156">
        <v>46273</v>
      </c>
      <c r="B20" s="157">
        <v>16.29</v>
      </c>
      <c r="C20" s="158">
        <v>520454</v>
      </c>
    </row>
    <row r="21" spans="1:3" x14ac:dyDescent="0.45">
      <c r="A21" s="156">
        <v>46269</v>
      </c>
      <c r="B21" s="157">
        <v>16.5</v>
      </c>
      <c r="C21" s="158">
        <v>345744</v>
      </c>
    </row>
    <row r="22" spans="1:3" x14ac:dyDescent="0.45">
      <c r="A22" s="156">
        <v>46268</v>
      </c>
      <c r="B22" s="157">
        <v>16.96</v>
      </c>
      <c r="C22" s="158">
        <v>782716</v>
      </c>
    </row>
    <row r="23" spans="1:3" x14ac:dyDescent="0.45">
      <c r="A23" s="156">
        <v>46267</v>
      </c>
      <c r="B23" s="157">
        <v>17.38</v>
      </c>
      <c r="C23" s="158">
        <v>1153861</v>
      </c>
    </row>
    <row r="24" spans="1:3" x14ac:dyDescent="0.45">
      <c r="A24" s="156">
        <v>46266</v>
      </c>
      <c r="B24" s="157">
        <v>16.27</v>
      </c>
      <c r="C24" s="158">
        <v>514445</v>
      </c>
    </row>
    <row r="25" spans="1:3" x14ac:dyDescent="0.45">
      <c r="A25" s="156">
        <v>46265</v>
      </c>
      <c r="B25" s="157">
        <v>16.63</v>
      </c>
      <c r="C25" s="158">
        <v>473831</v>
      </c>
    </row>
    <row r="26" spans="1:3" x14ac:dyDescent="0.45">
      <c r="A26" s="156">
        <v>46262</v>
      </c>
      <c r="B26" s="157">
        <v>16.82</v>
      </c>
      <c r="C26" s="158">
        <v>746028</v>
      </c>
    </row>
    <row r="27" spans="1:3" x14ac:dyDescent="0.45">
      <c r="A27" s="156">
        <v>46261</v>
      </c>
      <c r="B27" s="157">
        <v>16.350000000000001</v>
      </c>
      <c r="C27" s="158">
        <v>488011</v>
      </c>
    </row>
    <row r="28" spans="1:3" x14ac:dyDescent="0.45">
      <c r="A28" s="156">
        <v>46260</v>
      </c>
      <c r="B28" s="157">
        <v>16.25</v>
      </c>
      <c r="C28" s="158">
        <v>583229</v>
      </c>
    </row>
    <row r="29" spans="1:3" x14ac:dyDescent="0.45">
      <c r="A29" s="156">
        <v>46259</v>
      </c>
      <c r="B29" s="157">
        <v>16.55</v>
      </c>
      <c r="C29" s="158">
        <v>467142</v>
      </c>
    </row>
    <row r="30" spans="1:3" x14ac:dyDescent="0.45">
      <c r="A30" s="156">
        <v>46258</v>
      </c>
      <c r="B30" s="157">
        <v>16.36</v>
      </c>
      <c r="C30" s="158">
        <v>415280</v>
      </c>
    </row>
    <row r="31" spans="1:3" x14ac:dyDescent="0.45">
      <c r="A31" s="156">
        <v>46255</v>
      </c>
      <c r="B31" s="157">
        <v>16.41</v>
      </c>
      <c r="C31" s="158">
        <v>528678</v>
      </c>
    </row>
    <row r="32" spans="1:3" x14ac:dyDescent="0.45">
      <c r="A32" s="156">
        <v>46254</v>
      </c>
      <c r="B32" s="157">
        <v>16.39</v>
      </c>
      <c r="C32" s="158">
        <v>786425</v>
      </c>
    </row>
    <row r="33" spans="1:3" x14ac:dyDescent="0.45">
      <c r="A33" s="156">
        <v>46253</v>
      </c>
      <c r="B33" s="157">
        <v>16.78</v>
      </c>
      <c r="C33" s="158">
        <v>622327</v>
      </c>
    </row>
    <row r="34" spans="1:3" x14ac:dyDescent="0.45">
      <c r="A34" s="156">
        <v>46252</v>
      </c>
      <c r="B34" s="157">
        <v>17.36</v>
      </c>
      <c r="C34" s="158">
        <v>920950</v>
      </c>
    </row>
    <row r="35" spans="1:3" x14ac:dyDescent="0.45">
      <c r="A35" s="156">
        <v>46251</v>
      </c>
      <c r="B35" s="157">
        <v>17.27</v>
      </c>
      <c r="C35" s="158">
        <v>925731</v>
      </c>
    </row>
    <row r="36" spans="1:3" x14ac:dyDescent="0.45">
      <c r="A36" s="156">
        <v>46248</v>
      </c>
      <c r="B36" s="157">
        <v>17.59</v>
      </c>
      <c r="C36" s="158">
        <v>664088</v>
      </c>
    </row>
    <row r="37" spans="1:3" x14ac:dyDescent="0.45">
      <c r="A37" s="156">
        <v>46247</v>
      </c>
      <c r="B37" s="157">
        <v>17.28</v>
      </c>
      <c r="C37" s="158">
        <v>975789</v>
      </c>
    </row>
    <row r="38" spans="1:3" x14ac:dyDescent="0.45">
      <c r="A38" s="156">
        <v>46246</v>
      </c>
      <c r="B38" s="157">
        <v>17.18</v>
      </c>
      <c r="C38" s="158">
        <v>805791</v>
      </c>
    </row>
    <row r="39" spans="1:3" x14ac:dyDescent="0.45">
      <c r="A39" s="156">
        <v>46245</v>
      </c>
      <c r="B39" s="157">
        <v>17.649999999999999</v>
      </c>
      <c r="C39" s="158">
        <v>980981</v>
      </c>
    </row>
    <row r="40" spans="1:3" x14ac:dyDescent="0.45">
      <c r="A40" s="156">
        <v>46244</v>
      </c>
      <c r="B40" s="157">
        <v>17.760000000000002</v>
      </c>
      <c r="C40" s="158">
        <v>1639157</v>
      </c>
    </row>
    <row r="41" spans="1:3" x14ac:dyDescent="0.45">
      <c r="A41" s="156">
        <v>46241</v>
      </c>
      <c r="B41" s="157">
        <v>17.78</v>
      </c>
      <c r="C41" s="158">
        <v>3285782</v>
      </c>
    </row>
    <row r="42" spans="1:3" x14ac:dyDescent="0.45">
      <c r="A42" s="156">
        <v>46240</v>
      </c>
      <c r="B42" s="157">
        <v>13.48</v>
      </c>
      <c r="C42" s="158">
        <v>804128</v>
      </c>
    </row>
    <row r="43" spans="1:3" x14ac:dyDescent="0.45">
      <c r="A43" s="156">
        <v>46239</v>
      </c>
      <c r="B43" s="157">
        <v>13.51</v>
      </c>
      <c r="C43" s="158">
        <v>525104</v>
      </c>
    </row>
    <row r="44" spans="1:3" x14ac:dyDescent="0.45">
      <c r="A44" s="156">
        <v>46238</v>
      </c>
      <c r="B44" s="157">
        <v>13.64</v>
      </c>
      <c r="C44" s="158">
        <v>502113</v>
      </c>
    </row>
    <row r="45" spans="1:3" x14ac:dyDescent="0.45">
      <c r="A45" s="156">
        <v>46237</v>
      </c>
      <c r="B45" s="157">
        <v>12.96</v>
      </c>
      <c r="C45" s="158">
        <v>453827</v>
      </c>
    </row>
    <row r="46" spans="1:3" x14ac:dyDescent="0.45">
      <c r="A46" s="156">
        <v>46234</v>
      </c>
      <c r="B46" s="157">
        <v>12.6</v>
      </c>
      <c r="C46" s="158">
        <v>392338</v>
      </c>
    </row>
    <row r="47" spans="1:3" x14ac:dyDescent="0.45">
      <c r="A47" s="156">
        <v>46233</v>
      </c>
      <c r="B47" s="157">
        <v>12.74</v>
      </c>
      <c r="C47" s="158">
        <v>295779</v>
      </c>
    </row>
    <row r="48" spans="1:3" x14ac:dyDescent="0.45">
      <c r="A48" s="156">
        <v>46232</v>
      </c>
      <c r="B48" s="157">
        <v>13.1</v>
      </c>
      <c r="C48" s="158">
        <v>315113</v>
      </c>
    </row>
    <row r="49" spans="1:3" x14ac:dyDescent="0.45">
      <c r="A49" s="156">
        <v>46231</v>
      </c>
      <c r="B49" s="157">
        <v>13.03</v>
      </c>
      <c r="C49" s="158">
        <v>299517</v>
      </c>
    </row>
    <row r="50" spans="1:3" x14ac:dyDescent="0.45">
      <c r="A50" s="156">
        <v>46230</v>
      </c>
      <c r="B50" s="157">
        <v>12.79</v>
      </c>
      <c r="C50" s="158">
        <v>311479</v>
      </c>
    </row>
    <row r="51" spans="1:3" x14ac:dyDescent="0.45">
      <c r="A51" s="156">
        <v>46227</v>
      </c>
      <c r="B51" s="157">
        <v>12.52</v>
      </c>
      <c r="C51" s="158">
        <v>414513</v>
      </c>
    </row>
    <row r="52" spans="1:3" x14ac:dyDescent="0.45">
      <c r="A52" s="156">
        <v>46226</v>
      </c>
      <c r="B52" s="157">
        <v>12.3</v>
      </c>
      <c r="C52" s="158">
        <v>450567</v>
      </c>
    </row>
    <row r="53" spans="1:3" x14ac:dyDescent="0.45">
      <c r="A53" s="156">
        <v>46225</v>
      </c>
      <c r="B53" s="157">
        <v>12.65</v>
      </c>
      <c r="C53" s="158">
        <v>541025</v>
      </c>
    </row>
    <row r="54" spans="1:3" x14ac:dyDescent="0.45">
      <c r="A54" s="156">
        <v>46224</v>
      </c>
      <c r="B54" s="157">
        <v>12.92</v>
      </c>
      <c r="C54" s="158">
        <v>435230</v>
      </c>
    </row>
    <row r="55" spans="1:3" x14ac:dyDescent="0.45">
      <c r="A55" s="156">
        <v>46223</v>
      </c>
      <c r="B55" s="157">
        <v>13.09</v>
      </c>
      <c r="C55" s="158">
        <v>478733</v>
      </c>
    </row>
    <row r="56" spans="1:3" x14ac:dyDescent="0.45">
      <c r="A56" s="156">
        <v>46220</v>
      </c>
      <c r="B56" s="157">
        <v>12.73</v>
      </c>
      <c r="C56" s="158">
        <v>835578</v>
      </c>
    </row>
    <row r="57" spans="1:3" x14ac:dyDescent="0.45">
      <c r="A57" s="156">
        <v>46219</v>
      </c>
      <c r="B57" s="157">
        <v>13.63</v>
      </c>
      <c r="C57" s="158">
        <v>411586</v>
      </c>
    </row>
    <row r="58" spans="1:3" x14ac:dyDescent="0.45">
      <c r="A58" s="156">
        <v>46218</v>
      </c>
      <c r="B58" s="157">
        <v>13.8</v>
      </c>
      <c r="C58" s="158">
        <v>409934</v>
      </c>
    </row>
    <row r="59" spans="1:3" x14ac:dyDescent="0.45">
      <c r="A59" s="156">
        <v>46217</v>
      </c>
      <c r="B59" s="157">
        <v>13.69</v>
      </c>
      <c r="C59" s="158">
        <v>370820</v>
      </c>
    </row>
    <row r="60" spans="1:3" x14ac:dyDescent="0.45">
      <c r="A60" s="156">
        <v>46216</v>
      </c>
      <c r="B60" s="157">
        <v>13.57</v>
      </c>
      <c r="C60" s="158">
        <v>313308</v>
      </c>
    </row>
    <row r="61" spans="1:3" x14ac:dyDescent="0.45">
      <c r="A61" s="156">
        <v>46213</v>
      </c>
      <c r="B61" s="157">
        <v>13.55</v>
      </c>
      <c r="C61" s="158">
        <v>277433</v>
      </c>
    </row>
    <row r="62" spans="1:3" x14ac:dyDescent="0.45">
      <c r="A62" s="156">
        <v>46212</v>
      </c>
      <c r="B62" s="157">
        <v>13.56</v>
      </c>
      <c r="C62" s="158">
        <v>369613</v>
      </c>
    </row>
    <row r="63" spans="1:3" x14ac:dyDescent="0.45">
      <c r="A63" s="156">
        <v>46211</v>
      </c>
      <c r="B63" s="157">
        <v>13.16</v>
      </c>
      <c r="C63" s="158">
        <v>515938</v>
      </c>
    </row>
    <row r="64" spans="1:3" x14ac:dyDescent="0.45">
      <c r="A64" s="156">
        <v>46210</v>
      </c>
      <c r="B64" s="157">
        <v>13.32</v>
      </c>
      <c r="C64" s="158">
        <v>363614</v>
      </c>
    </row>
    <row r="65" spans="1:3" x14ac:dyDescent="0.45">
      <c r="A65" s="156">
        <v>46209</v>
      </c>
      <c r="B65" s="157">
        <v>13.52</v>
      </c>
      <c r="C65" s="158">
        <v>433177</v>
      </c>
    </row>
    <row r="66" spans="1:3" x14ac:dyDescent="0.45">
      <c r="A66" s="156">
        <v>46205</v>
      </c>
      <c r="B66" s="157">
        <v>13.55</v>
      </c>
      <c r="C66" s="158">
        <v>605119</v>
      </c>
    </row>
    <row r="67" spans="1:3" x14ac:dyDescent="0.45">
      <c r="A67" s="156">
        <v>46204</v>
      </c>
      <c r="B67" s="157">
        <v>13.83</v>
      </c>
      <c r="C67" s="158">
        <v>771391</v>
      </c>
    </row>
    <row r="68" spans="1:3" x14ac:dyDescent="0.45">
      <c r="A68" s="156">
        <v>46203</v>
      </c>
      <c r="B68" s="157">
        <v>13.12</v>
      </c>
      <c r="C68" s="158">
        <v>557844</v>
      </c>
    </row>
    <row r="69" spans="1:3" x14ac:dyDescent="0.45">
      <c r="A69" s="156">
        <v>46202</v>
      </c>
      <c r="B69" s="157">
        <v>13.07</v>
      </c>
      <c r="C69" s="158">
        <v>794701</v>
      </c>
    </row>
    <row r="70" spans="1:3" x14ac:dyDescent="0.45">
      <c r="A70" s="156">
        <v>46199</v>
      </c>
      <c r="B70" s="157">
        <v>12.65</v>
      </c>
      <c r="C70" s="158">
        <v>1864124</v>
      </c>
    </row>
    <row r="71" spans="1:3" x14ac:dyDescent="0.45">
      <c r="A71" s="156">
        <v>46198</v>
      </c>
      <c r="B71" s="157">
        <v>11.51</v>
      </c>
      <c r="C71" s="158">
        <v>486682</v>
      </c>
    </row>
    <row r="72" spans="1:3" x14ac:dyDescent="0.45">
      <c r="A72" s="156">
        <v>46197</v>
      </c>
      <c r="B72" s="157">
        <v>11.92</v>
      </c>
      <c r="C72" s="158">
        <v>474392</v>
      </c>
    </row>
    <row r="73" spans="1:3" x14ac:dyDescent="0.45">
      <c r="A73" s="156">
        <v>46196</v>
      </c>
      <c r="B73" s="157">
        <v>11.51</v>
      </c>
      <c r="C73" s="158">
        <v>337656</v>
      </c>
    </row>
    <row r="74" spans="1:3" x14ac:dyDescent="0.45">
      <c r="A74" s="156">
        <v>46195</v>
      </c>
      <c r="B74" s="157">
        <v>11.3</v>
      </c>
      <c r="C74" s="158">
        <v>484954</v>
      </c>
    </row>
    <row r="75" spans="1:3" x14ac:dyDescent="0.45">
      <c r="A75" s="156">
        <v>46191</v>
      </c>
      <c r="B75" s="157">
        <v>11.3</v>
      </c>
      <c r="C75" s="158">
        <v>488235</v>
      </c>
    </row>
    <row r="76" spans="1:3" x14ac:dyDescent="0.45">
      <c r="A76" s="156">
        <v>46190</v>
      </c>
      <c r="B76" s="157">
        <v>11.3</v>
      </c>
      <c r="C76" s="158">
        <v>396981</v>
      </c>
    </row>
    <row r="77" spans="1:3" x14ac:dyDescent="0.45">
      <c r="A77" s="156">
        <v>46189</v>
      </c>
      <c r="B77" s="157">
        <v>11.58</v>
      </c>
      <c r="C77" s="158">
        <v>589790</v>
      </c>
    </row>
    <row r="78" spans="1:3" x14ac:dyDescent="0.45">
      <c r="A78" s="156">
        <v>46188</v>
      </c>
      <c r="B78" s="157">
        <v>11.47</v>
      </c>
      <c r="C78" s="158">
        <v>489040</v>
      </c>
    </row>
    <row r="79" spans="1:3" x14ac:dyDescent="0.45">
      <c r="A79" s="156">
        <v>46185</v>
      </c>
      <c r="B79" s="157">
        <v>11.35</v>
      </c>
      <c r="C79" s="158">
        <v>556393</v>
      </c>
    </row>
    <row r="80" spans="1:3" x14ac:dyDescent="0.45">
      <c r="A80" s="156">
        <v>46184</v>
      </c>
      <c r="B80" s="157">
        <v>11.27</v>
      </c>
      <c r="C80" s="158">
        <v>554644</v>
      </c>
    </row>
    <row r="81" spans="1:3" x14ac:dyDescent="0.45">
      <c r="A81" s="156">
        <v>46183</v>
      </c>
      <c r="B81" s="157">
        <v>11.18</v>
      </c>
      <c r="C81" s="158">
        <v>326711</v>
      </c>
    </row>
    <row r="82" spans="1:3" x14ac:dyDescent="0.45">
      <c r="A82" s="156">
        <v>46182</v>
      </c>
      <c r="B82" s="157">
        <v>11.51</v>
      </c>
      <c r="C82" s="158">
        <v>488258</v>
      </c>
    </row>
    <row r="83" spans="1:3" x14ac:dyDescent="0.45">
      <c r="A83" s="156">
        <v>46181</v>
      </c>
      <c r="B83" s="157">
        <v>11.24</v>
      </c>
      <c r="C83" s="158">
        <v>462863</v>
      </c>
    </row>
    <row r="84" spans="1:3" x14ac:dyDescent="0.45">
      <c r="A84" s="156">
        <v>46178</v>
      </c>
      <c r="B84" s="157">
        <v>11.54</v>
      </c>
      <c r="C84" s="158">
        <v>558597</v>
      </c>
    </row>
    <row r="85" spans="1:3" x14ac:dyDescent="0.45">
      <c r="A85" s="156">
        <v>46177</v>
      </c>
      <c r="B85" s="157">
        <v>11.88</v>
      </c>
      <c r="C85" s="158">
        <v>859432</v>
      </c>
    </row>
    <row r="86" spans="1:3" x14ac:dyDescent="0.45">
      <c r="A86" s="156">
        <v>46176</v>
      </c>
      <c r="B86" s="157">
        <v>11.38</v>
      </c>
      <c r="C86" s="158">
        <v>882811</v>
      </c>
    </row>
    <row r="87" spans="1:3" x14ac:dyDescent="0.45">
      <c r="A87" s="156">
        <v>46175</v>
      </c>
      <c r="B87" s="157">
        <v>12.04</v>
      </c>
      <c r="C87" s="158">
        <v>698675</v>
      </c>
    </row>
    <row r="88" spans="1:3" x14ac:dyDescent="0.45">
      <c r="A88" s="156">
        <v>46174</v>
      </c>
      <c r="B88" s="157">
        <v>12.22</v>
      </c>
      <c r="C88" s="158">
        <v>916992</v>
      </c>
    </row>
    <row r="89" spans="1:3" x14ac:dyDescent="0.45">
      <c r="A89" s="156">
        <v>46171</v>
      </c>
      <c r="B89" s="157">
        <v>11.68</v>
      </c>
      <c r="C89" s="158">
        <v>992911</v>
      </c>
    </row>
    <row r="90" spans="1:3" x14ac:dyDescent="0.45">
      <c r="A90" s="156">
        <v>46170</v>
      </c>
      <c r="B90" s="157">
        <v>11.44</v>
      </c>
      <c r="C90" s="158">
        <v>903489</v>
      </c>
    </row>
    <row r="91" spans="1:3" x14ac:dyDescent="0.45">
      <c r="A91" s="156">
        <v>46169</v>
      </c>
      <c r="B91" s="157">
        <v>11.05</v>
      </c>
      <c r="C91" s="158">
        <v>756684</v>
      </c>
    </row>
    <row r="92" spans="1:3" x14ac:dyDescent="0.45">
      <c r="A92" s="156">
        <v>46168</v>
      </c>
      <c r="B92" s="157">
        <v>10.54</v>
      </c>
      <c r="C92" s="158">
        <v>807944</v>
      </c>
    </row>
    <row r="93" spans="1:3" x14ac:dyDescent="0.45">
      <c r="A93" s="156">
        <v>46164</v>
      </c>
      <c r="B93" s="157">
        <v>10.36</v>
      </c>
      <c r="C93" s="158">
        <v>442393</v>
      </c>
    </row>
    <row r="94" spans="1:3" x14ac:dyDescent="0.45">
      <c r="A94" s="156">
        <v>46163</v>
      </c>
      <c r="B94" s="157">
        <v>10.210000000000001</v>
      </c>
      <c r="C94" s="158">
        <v>534010</v>
      </c>
    </row>
    <row r="95" spans="1:3" x14ac:dyDescent="0.45">
      <c r="A95" s="156">
        <v>46162</v>
      </c>
      <c r="B95" s="157">
        <v>9.8800000000000008</v>
      </c>
      <c r="C95" s="158">
        <v>648220</v>
      </c>
    </row>
    <row r="96" spans="1:3" x14ac:dyDescent="0.45">
      <c r="A96" s="156">
        <v>46161</v>
      </c>
      <c r="B96" s="157">
        <v>10.06</v>
      </c>
      <c r="C96" s="158">
        <v>617792</v>
      </c>
    </row>
    <row r="97" spans="1:3" x14ac:dyDescent="0.45">
      <c r="A97" s="156">
        <v>46160</v>
      </c>
      <c r="B97" s="157">
        <v>9.91</v>
      </c>
      <c r="C97" s="158">
        <v>763919</v>
      </c>
    </row>
    <row r="98" spans="1:3" x14ac:dyDescent="0.45">
      <c r="A98" s="156">
        <v>46157</v>
      </c>
      <c r="B98" s="157">
        <v>9.7200000000000006</v>
      </c>
      <c r="C98" s="158">
        <v>551972</v>
      </c>
    </row>
    <row r="99" spans="1:3" x14ac:dyDescent="0.45">
      <c r="A99" s="156">
        <v>46156</v>
      </c>
      <c r="B99" s="157">
        <v>9.52</v>
      </c>
      <c r="C99" s="158">
        <v>655140</v>
      </c>
    </row>
    <row r="100" spans="1:3" x14ac:dyDescent="0.45">
      <c r="A100" s="156">
        <v>46155</v>
      </c>
      <c r="B100" s="157">
        <v>9.48</v>
      </c>
      <c r="C100" s="158">
        <v>993675</v>
      </c>
    </row>
    <row r="101" spans="1:3" x14ac:dyDescent="0.45">
      <c r="A101" s="156">
        <v>46154</v>
      </c>
      <c r="B101" s="157">
        <v>9.7799999999999994</v>
      </c>
      <c r="C101" s="158">
        <v>767165</v>
      </c>
    </row>
    <row r="102" spans="1:3" x14ac:dyDescent="0.45">
      <c r="A102" s="156">
        <v>46153</v>
      </c>
      <c r="B102" s="157">
        <v>9.8800000000000008</v>
      </c>
      <c r="C102" s="158">
        <v>1828395</v>
      </c>
    </row>
    <row r="103" spans="1:3" x14ac:dyDescent="0.45">
      <c r="A103" s="156">
        <v>46150</v>
      </c>
      <c r="B103" s="157">
        <v>10.74</v>
      </c>
      <c r="C103" s="158">
        <v>1625410</v>
      </c>
    </row>
    <row r="104" spans="1:3" x14ac:dyDescent="0.45">
      <c r="A104" s="156">
        <v>46149</v>
      </c>
      <c r="B104" s="157">
        <v>10.24</v>
      </c>
      <c r="C104" s="158">
        <v>722418</v>
      </c>
    </row>
    <row r="105" spans="1:3" x14ac:dyDescent="0.45">
      <c r="A105" s="156">
        <v>46148</v>
      </c>
      <c r="B105" s="157">
        <v>10.14</v>
      </c>
      <c r="C105" s="158">
        <v>674972</v>
      </c>
    </row>
    <row r="106" spans="1:3" x14ac:dyDescent="0.45">
      <c r="A106" s="156">
        <v>46147</v>
      </c>
      <c r="B106" s="157">
        <v>10.4</v>
      </c>
      <c r="C106" s="158">
        <v>573805</v>
      </c>
    </row>
    <row r="107" spans="1:3" x14ac:dyDescent="0.45">
      <c r="A107" s="156">
        <v>46146</v>
      </c>
      <c r="B107" s="157">
        <v>10.25</v>
      </c>
      <c r="C107" s="158">
        <v>483551</v>
      </c>
    </row>
    <row r="108" spans="1:3" x14ac:dyDescent="0.45">
      <c r="A108" s="156">
        <v>46143</v>
      </c>
      <c r="B108" s="157">
        <v>10.23</v>
      </c>
      <c r="C108" s="158">
        <v>751052</v>
      </c>
    </row>
    <row r="109" spans="1:3" x14ac:dyDescent="0.45">
      <c r="A109" s="156">
        <v>46142</v>
      </c>
      <c r="B109" s="157">
        <v>9.7799999999999994</v>
      </c>
      <c r="C109" s="158">
        <v>675905</v>
      </c>
    </row>
    <row r="110" spans="1:3" x14ac:dyDescent="0.45">
      <c r="A110" s="156">
        <v>46141</v>
      </c>
      <c r="B110" s="157">
        <v>9.7200000000000006</v>
      </c>
      <c r="C110" s="158">
        <v>450111</v>
      </c>
    </row>
    <row r="111" spans="1:3" x14ac:dyDescent="0.45">
      <c r="A111" s="156">
        <v>46140</v>
      </c>
      <c r="B111" s="157">
        <v>9.7799999999999994</v>
      </c>
      <c r="C111" s="158">
        <v>517158</v>
      </c>
    </row>
    <row r="112" spans="1:3" x14ac:dyDescent="0.45">
      <c r="A112" s="156">
        <v>46139</v>
      </c>
      <c r="B112" s="157">
        <v>9.73</v>
      </c>
      <c r="C112" s="158">
        <v>689036</v>
      </c>
    </row>
    <row r="113" spans="1:3" x14ac:dyDescent="0.45">
      <c r="A113" s="156">
        <v>46136</v>
      </c>
      <c r="B113" s="157">
        <v>9.6199999999999992</v>
      </c>
      <c r="C113" s="158">
        <v>502927</v>
      </c>
    </row>
    <row r="114" spans="1:3" x14ac:dyDescent="0.45">
      <c r="A114" s="156">
        <v>46135</v>
      </c>
      <c r="B114" s="157">
        <v>9.16</v>
      </c>
      <c r="C114" s="158">
        <v>839226</v>
      </c>
    </row>
    <row r="115" spans="1:3" x14ac:dyDescent="0.45">
      <c r="A115" s="156">
        <v>46134</v>
      </c>
      <c r="B115" s="157">
        <v>9.52</v>
      </c>
      <c r="C115" s="158">
        <v>410804</v>
      </c>
    </row>
    <row r="116" spans="1:3" x14ac:dyDescent="0.45">
      <c r="A116" s="156">
        <v>46133</v>
      </c>
      <c r="B116" s="157">
        <v>9.4700000000000006</v>
      </c>
      <c r="C116" s="158">
        <v>466030</v>
      </c>
    </row>
    <row r="117" spans="1:3" x14ac:dyDescent="0.45">
      <c r="A117" s="156">
        <v>46132</v>
      </c>
      <c r="B117" s="157">
        <v>9.89</v>
      </c>
      <c r="C117" s="158">
        <v>498480</v>
      </c>
    </row>
    <row r="118" spans="1:3" x14ac:dyDescent="0.45">
      <c r="A118" s="156">
        <v>46129</v>
      </c>
      <c r="B118" s="157">
        <v>9.81</v>
      </c>
      <c r="C118" s="158">
        <v>739732</v>
      </c>
    </row>
    <row r="119" spans="1:3" x14ac:dyDescent="0.45">
      <c r="A119" s="156">
        <v>46128</v>
      </c>
      <c r="B119" s="157">
        <v>9.7899999999999991</v>
      </c>
      <c r="C119" s="158">
        <v>548625</v>
      </c>
    </row>
    <row r="120" spans="1:3" x14ac:dyDescent="0.45">
      <c r="A120" s="156">
        <v>46127</v>
      </c>
      <c r="B120" s="157">
        <v>9.69</v>
      </c>
      <c r="C120" s="158">
        <v>997625</v>
      </c>
    </row>
    <row r="121" spans="1:3" x14ac:dyDescent="0.45">
      <c r="A121" s="156">
        <v>46126</v>
      </c>
      <c r="B121" s="157">
        <v>8.7899999999999991</v>
      </c>
      <c r="C121" s="158">
        <v>395852</v>
      </c>
    </row>
    <row r="122" spans="1:3" x14ac:dyDescent="0.45">
      <c r="A122" s="156">
        <v>46125</v>
      </c>
      <c r="B122" s="157">
        <v>8.65</v>
      </c>
      <c r="C122" s="158">
        <v>627163</v>
      </c>
    </row>
    <row r="123" spans="1:3" x14ac:dyDescent="0.45">
      <c r="A123" s="156">
        <v>46122</v>
      </c>
      <c r="B123" s="157">
        <v>8.4700000000000006</v>
      </c>
      <c r="C123" s="158">
        <v>519889</v>
      </c>
    </row>
    <row r="124" spans="1:3" x14ac:dyDescent="0.45">
      <c r="A124" s="156">
        <v>46121</v>
      </c>
      <c r="B124" s="157">
        <v>8.4499999999999993</v>
      </c>
      <c r="C124" s="158">
        <v>864606</v>
      </c>
    </row>
    <row r="125" spans="1:3" x14ac:dyDescent="0.45">
      <c r="A125" s="156">
        <v>46120</v>
      </c>
      <c r="B125" s="157">
        <v>8.41</v>
      </c>
      <c r="C125" s="158">
        <v>423139</v>
      </c>
    </row>
    <row r="126" spans="1:3" x14ac:dyDescent="0.45">
      <c r="A126" s="156">
        <v>46119</v>
      </c>
      <c r="B126" s="157">
        <v>8.49</v>
      </c>
      <c r="C126" s="158">
        <v>690544</v>
      </c>
    </row>
    <row r="127" spans="1:3" x14ac:dyDescent="0.45">
      <c r="A127" s="156">
        <v>46118</v>
      </c>
      <c r="B127" s="157">
        <v>8.5</v>
      </c>
      <c r="C127" s="158">
        <v>547780</v>
      </c>
    </row>
    <row r="128" spans="1:3" x14ac:dyDescent="0.45">
      <c r="A128" s="156">
        <v>46114</v>
      </c>
      <c r="B128" s="157">
        <v>8.27</v>
      </c>
      <c r="C128" s="158">
        <v>618176</v>
      </c>
    </row>
    <row r="129" spans="1:3" x14ac:dyDescent="0.45">
      <c r="A129" s="156">
        <v>46113</v>
      </c>
      <c r="B129" s="157">
        <v>8.2100000000000009</v>
      </c>
      <c r="C129" s="158">
        <v>582287</v>
      </c>
    </row>
    <row r="130" spans="1:3" x14ac:dyDescent="0.45">
      <c r="A130" s="156">
        <v>46112</v>
      </c>
      <c r="B130" s="157">
        <v>8.18</v>
      </c>
      <c r="C130" s="158">
        <v>586891</v>
      </c>
    </row>
    <row r="131" spans="1:3" x14ac:dyDescent="0.45">
      <c r="A131" s="156">
        <v>46111</v>
      </c>
      <c r="B131" s="157">
        <v>8.1199999999999992</v>
      </c>
      <c r="C131" s="158">
        <v>832641</v>
      </c>
    </row>
    <row r="132" spans="1:3" x14ac:dyDescent="0.45">
      <c r="A132" s="156">
        <v>46108</v>
      </c>
      <c r="B132" s="157">
        <v>8.19</v>
      </c>
      <c r="C132" s="158">
        <v>1150540</v>
      </c>
    </row>
    <row r="133" spans="1:3" x14ac:dyDescent="0.45">
      <c r="A133" s="156">
        <v>46107</v>
      </c>
      <c r="B133" s="157">
        <v>8.31</v>
      </c>
      <c r="C133" s="158">
        <v>783484</v>
      </c>
    </row>
    <row r="134" spans="1:3" x14ac:dyDescent="0.45">
      <c r="A134" s="156">
        <v>46106</v>
      </c>
      <c r="B134" s="157">
        <v>8.11</v>
      </c>
      <c r="C134" s="158">
        <v>716539</v>
      </c>
    </row>
    <row r="135" spans="1:3" x14ac:dyDescent="0.45">
      <c r="A135" s="156">
        <v>46105</v>
      </c>
      <c r="B135" s="158">
        <v>8</v>
      </c>
      <c r="C135" s="158">
        <v>1040670</v>
      </c>
    </row>
    <row r="136" spans="1:3" x14ac:dyDescent="0.45">
      <c r="A136" s="156">
        <v>46104</v>
      </c>
      <c r="B136" s="157">
        <v>8.07</v>
      </c>
      <c r="C136" s="158">
        <v>547891</v>
      </c>
    </row>
    <row r="137" spans="1:3" x14ac:dyDescent="0.45">
      <c r="A137" s="156">
        <v>46101</v>
      </c>
      <c r="B137" s="157">
        <v>7.9850000000000003</v>
      </c>
      <c r="C137" s="158">
        <v>563860</v>
      </c>
    </row>
    <row r="138" spans="1:3" x14ac:dyDescent="0.45">
      <c r="A138" s="156">
        <v>46100</v>
      </c>
      <c r="B138" s="157">
        <v>8.07</v>
      </c>
      <c r="C138" s="158">
        <v>530081</v>
      </c>
    </row>
    <row r="139" spans="1:3" x14ac:dyDescent="0.45">
      <c r="A139" s="156">
        <v>46099</v>
      </c>
      <c r="B139" s="157">
        <v>8.11</v>
      </c>
      <c r="C139" s="158">
        <v>566930</v>
      </c>
    </row>
    <row r="140" spans="1:3" x14ac:dyDescent="0.45">
      <c r="A140" s="156">
        <v>46098</v>
      </c>
      <c r="B140" s="157">
        <v>8.17</v>
      </c>
      <c r="C140" s="158">
        <v>477660</v>
      </c>
    </row>
    <row r="141" spans="1:3" x14ac:dyDescent="0.45">
      <c r="A141" s="156">
        <v>46097</v>
      </c>
      <c r="B141" s="157">
        <v>8.19</v>
      </c>
      <c r="C141" s="158">
        <v>600375</v>
      </c>
    </row>
    <row r="142" spans="1:3" x14ac:dyDescent="0.45">
      <c r="A142" s="156">
        <v>46094</v>
      </c>
      <c r="B142" s="157">
        <v>8.0299999999999994</v>
      </c>
      <c r="C142" s="158">
        <v>935096</v>
      </c>
    </row>
    <row r="143" spans="1:3" x14ac:dyDescent="0.45">
      <c r="A143" s="156">
        <v>46093</v>
      </c>
      <c r="B143" s="157">
        <v>8.11</v>
      </c>
      <c r="C143" s="158">
        <v>612430</v>
      </c>
    </row>
    <row r="144" spans="1:3" x14ac:dyDescent="0.45">
      <c r="A144" s="156">
        <v>46092</v>
      </c>
      <c r="B144" s="157">
        <v>8.42</v>
      </c>
      <c r="C144" s="158">
        <v>582689</v>
      </c>
    </row>
    <row r="145" spans="1:3" x14ac:dyDescent="0.45">
      <c r="A145" s="156">
        <v>46091</v>
      </c>
      <c r="B145" s="157">
        <v>8.5</v>
      </c>
      <c r="C145" s="158">
        <v>599442</v>
      </c>
    </row>
    <row r="146" spans="1:3" x14ac:dyDescent="0.45">
      <c r="A146" s="156">
        <v>46090</v>
      </c>
      <c r="B146" s="157">
        <v>8.8000000000000007</v>
      </c>
      <c r="C146" s="158">
        <v>871347</v>
      </c>
    </row>
    <row r="147" spans="1:3" x14ac:dyDescent="0.45">
      <c r="A147" s="156">
        <v>46087</v>
      </c>
      <c r="B147" s="157">
        <v>8.91</v>
      </c>
      <c r="C147" s="158">
        <v>855807</v>
      </c>
    </row>
    <row r="148" spans="1:3" x14ac:dyDescent="0.45">
      <c r="A148" s="156">
        <v>46086</v>
      </c>
      <c r="B148" s="157">
        <v>8.8699999999999992</v>
      </c>
      <c r="C148" s="158">
        <v>1201930</v>
      </c>
    </row>
    <row r="149" spans="1:3" x14ac:dyDescent="0.45">
      <c r="A149" s="156">
        <v>46085</v>
      </c>
      <c r="B149" s="157">
        <v>8.73</v>
      </c>
      <c r="C149" s="158">
        <v>1266592</v>
      </c>
    </row>
    <row r="150" spans="1:3" x14ac:dyDescent="0.45">
      <c r="A150" s="156">
        <v>46084</v>
      </c>
      <c r="B150" s="157">
        <v>8.2899999999999991</v>
      </c>
      <c r="C150" s="158">
        <v>1305043</v>
      </c>
    </row>
    <row r="151" spans="1:3" x14ac:dyDescent="0.45">
      <c r="A151" s="156">
        <v>46083</v>
      </c>
      <c r="B151" s="157">
        <v>8.18</v>
      </c>
      <c r="C151" s="158">
        <v>1646730</v>
      </c>
    </row>
    <row r="152" spans="1:3" x14ac:dyDescent="0.45">
      <c r="A152" s="156">
        <v>46080</v>
      </c>
      <c r="B152" s="157">
        <v>8.1</v>
      </c>
      <c r="C152" s="158">
        <v>1926158</v>
      </c>
    </row>
    <row r="153" spans="1:3" x14ac:dyDescent="0.45">
      <c r="A153" s="156">
        <v>46079</v>
      </c>
      <c r="B153" s="157">
        <v>7.07</v>
      </c>
      <c r="C153" s="158">
        <v>2061762</v>
      </c>
    </row>
    <row r="154" spans="1:3" x14ac:dyDescent="0.45">
      <c r="A154" s="156">
        <v>46078</v>
      </c>
      <c r="B154" s="157">
        <v>6.58</v>
      </c>
      <c r="C154" s="158">
        <v>596373</v>
      </c>
    </row>
    <row r="155" spans="1:3" x14ac:dyDescent="0.45">
      <c r="A155" s="156">
        <v>46077</v>
      </c>
      <c r="B155" s="157">
        <v>6.4</v>
      </c>
      <c r="C155" s="158">
        <v>594857</v>
      </c>
    </row>
    <row r="156" spans="1:3" x14ac:dyDescent="0.45">
      <c r="A156" s="156">
        <v>46076</v>
      </c>
      <c r="B156" s="157">
        <v>6.3</v>
      </c>
      <c r="C156" s="158">
        <v>617488</v>
      </c>
    </row>
    <row r="157" spans="1:3" x14ac:dyDescent="0.45">
      <c r="A157" s="156">
        <v>46073</v>
      </c>
      <c r="B157" s="157">
        <v>6.57</v>
      </c>
      <c r="C157" s="158">
        <v>402888</v>
      </c>
    </row>
    <row r="158" spans="1:3" x14ac:dyDescent="0.45">
      <c r="A158" s="156">
        <v>46072</v>
      </c>
      <c r="B158" s="157">
        <v>6.56</v>
      </c>
      <c r="C158" s="158">
        <v>320760</v>
      </c>
    </row>
    <row r="159" spans="1:3" x14ac:dyDescent="0.45">
      <c r="A159" s="156">
        <v>46071</v>
      </c>
      <c r="B159" s="157">
        <v>6.58</v>
      </c>
      <c r="C159" s="158">
        <v>602181</v>
      </c>
    </row>
    <row r="160" spans="1:3" x14ac:dyDescent="0.45">
      <c r="A160" s="156">
        <v>46070</v>
      </c>
      <c r="B160" s="157">
        <v>6.29</v>
      </c>
      <c r="C160" s="158">
        <v>895919</v>
      </c>
    </row>
    <row r="161" spans="1:3" x14ac:dyDescent="0.45">
      <c r="A161" s="156">
        <v>46066</v>
      </c>
      <c r="B161" s="157">
        <v>6.54</v>
      </c>
      <c r="C161" s="158">
        <v>439464</v>
      </c>
    </row>
    <row r="162" spans="1:3" x14ac:dyDescent="0.45">
      <c r="A162" s="156">
        <v>46065</v>
      </c>
      <c r="B162" s="157">
        <v>6.4</v>
      </c>
      <c r="C162" s="158">
        <v>916474</v>
      </c>
    </row>
    <row r="163" spans="1:3" x14ac:dyDescent="0.45">
      <c r="A163" s="156">
        <v>46064</v>
      </c>
      <c r="B163" s="157">
        <v>6.58</v>
      </c>
      <c r="C163" s="158">
        <v>829615</v>
      </c>
    </row>
    <row r="164" spans="1:3" x14ac:dyDescent="0.45">
      <c r="A164" s="156">
        <v>46063</v>
      </c>
      <c r="B164" s="157">
        <v>6.69</v>
      </c>
      <c r="C164" s="158">
        <v>571388</v>
      </c>
    </row>
    <row r="165" spans="1:3" x14ac:dyDescent="0.45">
      <c r="A165" s="156">
        <v>46062</v>
      </c>
      <c r="B165" s="157">
        <v>6.57</v>
      </c>
      <c r="C165" s="158">
        <v>799867</v>
      </c>
    </row>
    <row r="166" spans="1:3" x14ac:dyDescent="0.45">
      <c r="A166" s="156">
        <v>46059</v>
      </c>
      <c r="B166" s="157">
        <v>6.49</v>
      </c>
      <c r="C166" s="158">
        <v>969311</v>
      </c>
    </row>
    <row r="167" spans="1:3" x14ac:dyDescent="0.45">
      <c r="A167" s="156">
        <v>46058</v>
      </c>
      <c r="B167" s="157">
        <v>6.28</v>
      </c>
      <c r="C167" s="158">
        <v>969608</v>
      </c>
    </row>
    <row r="168" spans="1:3" x14ac:dyDescent="0.45">
      <c r="A168" s="156">
        <v>46057</v>
      </c>
      <c r="B168" s="157">
        <v>6.59</v>
      </c>
      <c r="C168" s="158">
        <v>915707</v>
      </c>
    </row>
    <row r="169" spans="1:3" x14ac:dyDescent="0.45">
      <c r="A169" s="156">
        <v>46056</v>
      </c>
      <c r="B169" s="157">
        <v>6.69</v>
      </c>
      <c r="C169" s="158">
        <v>1216346</v>
      </c>
    </row>
    <row r="170" spans="1:3" x14ac:dyDescent="0.45">
      <c r="A170" s="156">
        <v>46055</v>
      </c>
      <c r="B170" s="157">
        <v>7.2</v>
      </c>
      <c r="C170" s="158">
        <v>514104</v>
      </c>
    </row>
    <row r="171" spans="1:3" x14ac:dyDescent="0.45">
      <c r="A171" s="156">
        <v>46052</v>
      </c>
      <c r="B171" s="157">
        <v>7.26</v>
      </c>
      <c r="C171" s="158">
        <v>707804</v>
      </c>
    </row>
    <row r="172" spans="1:3" x14ac:dyDescent="0.45">
      <c r="A172" s="156">
        <v>46051</v>
      </c>
      <c r="B172" s="157">
        <v>7.45</v>
      </c>
      <c r="C172" s="158">
        <v>416547</v>
      </c>
    </row>
    <row r="173" spans="1:3" x14ac:dyDescent="0.45">
      <c r="A173" s="156">
        <v>46050</v>
      </c>
      <c r="B173" s="157">
        <v>7.48</v>
      </c>
      <c r="C173" s="158">
        <v>459637</v>
      </c>
    </row>
    <row r="174" spans="1:3" x14ac:dyDescent="0.45">
      <c r="A174" s="156">
        <v>46049</v>
      </c>
      <c r="B174" s="157">
        <v>7.63</v>
      </c>
      <c r="C174" s="158">
        <v>544764</v>
      </c>
    </row>
    <row r="175" spans="1:3" x14ac:dyDescent="0.45">
      <c r="A175" s="156">
        <v>46048</v>
      </c>
      <c r="B175" s="157">
        <v>7.7</v>
      </c>
      <c r="C175" s="158">
        <v>478062</v>
      </c>
    </row>
    <row r="176" spans="1:3" x14ac:dyDescent="0.45">
      <c r="A176" s="156">
        <v>46045</v>
      </c>
      <c r="B176" s="157">
        <v>7.73</v>
      </c>
      <c r="C176" s="158">
        <v>377859</v>
      </c>
    </row>
    <row r="177" spans="1:3" x14ac:dyDescent="0.45">
      <c r="A177" s="156">
        <v>46044</v>
      </c>
      <c r="B177" s="157">
        <v>7.79</v>
      </c>
      <c r="C177" s="158">
        <v>593582</v>
      </c>
    </row>
    <row r="178" spans="1:3" x14ac:dyDescent="0.45">
      <c r="A178" s="156">
        <v>46043</v>
      </c>
      <c r="B178" s="157">
        <v>7.46</v>
      </c>
      <c r="C178" s="158">
        <v>544018</v>
      </c>
    </row>
    <row r="179" spans="1:3" x14ac:dyDescent="0.45">
      <c r="A179" s="156">
        <v>46042</v>
      </c>
      <c r="B179" s="157">
        <v>7.5350000000000001</v>
      </c>
      <c r="C179" s="158">
        <v>557746</v>
      </c>
    </row>
    <row r="180" spans="1:3" x14ac:dyDescent="0.45">
      <c r="A180" s="156">
        <v>46038</v>
      </c>
      <c r="B180" s="157">
        <v>7.61</v>
      </c>
      <c r="C180" s="158">
        <v>593536</v>
      </c>
    </row>
    <row r="181" spans="1:3" x14ac:dyDescent="0.45">
      <c r="A181" s="156">
        <v>46037</v>
      </c>
      <c r="B181" s="157">
        <v>7.84</v>
      </c>
      <c r="C181" s="158">
        <v>650612</v>
      </c>
    </row>
    <row r="182" spans="1:3" x14ac:dyDescent="0.45">
      <c r="A182" s="156">
        <v>46036</v>
      </c>
      <c r="B182" s="157">
        <v>7.92</v>
      </c>
      <c r="C182" s="158">
        <v>793946</v>
      </c>
    </row>
    <row r="183" spans="1:3" x14ac:dyDescent="0.45">
      <c r="A183" s="156">
        <v>46035</v>
      </c>
      <c r="B183" s="157">
        <v>8.34</v>
      </c>
      <c r="C183" s="158">
        <v>447132</v>
      </c>
    </row>
    <row r="184" spans="1:3" x14ac:dyDescent="0.45">
      <c r="A184" s="156">
        <v>46034</v>
      </c>
      <c r="B184" s="157">
        <v>8.58</v>
      </c>
      <c r="C184" s="158">
        <v>519346</v>
      </c>
    </row>
    <row r="185" spans="1:3" x14ac:dyDescent="0.45">
      <c r="A185" s="156">
        <v>46031</v>
      </c>
      <c r="B185" s="157">
        <v>8.3699999999999992</v>
      </c>
      <c r="C185" s="158">
        <v>400082</v>
      </c>
    </row>
    <row r="186" spans="1:3" x14ac:dyDescent="0.45">
      <c r="A186" s="156">
        <v>46030</v>
      </c>
      <c r="B186" s="157">
        <v>8.56</v>
      </c>
      <c r="C186" s="158">
        <v>445447</v>
      </c>
    </row>
    <row r="187" spans="1:3" x14ac:dyDescent="0.45">
      <c r="A187" s="156">
        <v>46029</v>
      </c>
      <c r="B187" s="157">
        <v>8.67</v>
      </c>
      <c r="C187" s="158">
        <v>484401</v>
      </c>
    </row>
    <row r="188" spans="1:3" x14ac:dyDescent="0.45">
      <c r="A188" s="156">
        <v>46028</v>
      </c>
      <c r="B188" s="157">
        <v>8.83</v>
      </c>
      <c r="C188" s="158">
        <v>470032</v>
      </c>
    </row>
    <row r="189" spans="1:3" x14ac:dyDescent="0.45">
      <c r="A189" s="156">
        <v>46027</v>
      </c>
      <c r="B189" s="157">
        <v>8.76</v>
      </c>
      <c r="C189" s="158">
        <v>444488</v>
      </c>
    </row>
    <row r="190" spans="1:3" x14ac:dyDescent="0.45">
      <c r="A190" s="156">
        <v>46024</v>
      </c>
      <c r="B190" s="157">
        <v>8.59</v>
      </c>
      <c r="C190" s="158">
        <v>656587</v>
      </c>
    </row>
    <row r="191" spans="1:3" x14ac:dyDescent="0.45">
      <c r="A191" s="156">
        <v>46022</v>
      </c>
      <c r="B191" s="157">
        <v>8.8699999999999992</v>
      </c>
      <c r="C191" s="158">
        <v>363401</v>
      </c>
    </row>
    <row r="192" spans="1:3" x14ac:dyDescent="0.45">
      <c r="A192" s="156">
        <v>46021</v>
      </c>
      <c r="B192" s="157">
        <v>8.9600000000000009</v>
      </c>
      <c r="C192" s="158">
        <v>312885</v>
      </c>
    </row>
    <row r="193" spans="1:3" x14ac:dyDescent="0.45">
      <c r="A193" s="156">
        <v>46020</v>
      </c>
      <c r="B193" s="157">
        <v>8.9600000000000009</v>
      </c>
      <c r="C193" s="158">
        <v>336330</v>
      </c>
    </row>
    <row r="194" spans="1:3" x14ac:dyDescent="0.45">
      <c r="A194" s="156">
        <v>46017</v>
      </c>
      <c r="B194" s="157">
        <v>8.98</v>
      </c>
      <c r="C194" s="158">
        <v>273749</v>
      </c>
    </row>
    <row r="195" spans="1:3" x14ac:dyDescent="0.45">
      <c r="A195" s="156">
        <v>46015</v>
      </c>
      <c r="B195" s="157">
        <v>9.01</v>
      </c>
      <c r="C195" s="158">
        <v>147470</v>
      </c>
    </row>
    <row r="196" spans="1:3" x14ac:dyDescent="0.45">
      <c r="A196" s="156">
        <v>46014</v>
      </c>
      <c r="B196" s="157">
        <v>8.93</v>
      </c>
      <c r="C196" s="158">
        <v>362711</v>
      </c>
    </row>
    <row r="197" spans="1:3" x14ac:dyDescent="0.45">
      <c r="A197" s="156">
        <v>46013</v>
      </c>
      <c r="B197" s="157">
        <v>8.9600000000000009</v>
      </c>
      <c r="C197" s="158">
        <v>442097</v>
      </c>
    </row>
    <row r="198" spans="1:3" x14ac:dyDescent="0.45">
      <c r="A198" s="156">
        <v>46010</v>
      </c>
      <c r="B198" s="157">
        <v>8.83</v>
      </c>
      <c r="C198" s="158">
        <v>1098386</v>
      </c>
    </row>
    <row r="199" spans="1:3" x14ac:dyDescent="0.45">
      <c r="A199" s="156">
        <v>46009</v>
      </c>
      <c r="B199" s="157">
        <v>9.02</v>
      </c>
      <c r="C199" s="158">
        <v>482256</v>
      </c>
    </row>
    <row r="200" spans="1:3" x14ac:dyDescent="0.45">
      <c r="A200" s="156">
        <v>46008</v>
      </c>
      <c r="B200" s="157">
        <v>8.92</v>
      </c>
      <c r="C200" s="158">
        <v>388568</v>
      </c>
    </row>
    <row r="201" spans="1:3" x14ac:dyDescent="0.45">
      <c r="A201" s="156">
        <v>46007</v>
      </c>
      <c r="B201" s="157">
        <v>8.98</v>
      </c>
      <c r="C201" s="158">
        <v>513001</v>
      </c>
    </row>
    <row r="202" spans="1:3" x14ac:dyDescent="0.45">
      <c r="A202" s="156">
        <v>46006</v>
      </c>
      <c r="B202" s="157">
        <v>8.67</v>
      </c>
      <c r="C202" s="158">
        <v>637691</v>
      </c>
    </row>
    <row r="203" spans="1:3" x14ac:dyDescent="0.45">
      <c r="A203" s="156">
        <v>46003</v>
      </c>
      <c r="B203" s="157">
        <v>9.0500000000000007</v>
      </c>
      <c r="C203" s="158">
        <v>437795</v>
      </c>
    </row>
    <row r="204" spans="1:3" x14ac:dyDescent="0.45">
      <c r="A204" s="156">
        <v>46002</v>
      </c>
      <c r="B204" s="157">
        <v>9.33</v>
      </c>
      <c r="C204" s="158">
        <v>542878</v>
      </c>
    </row>
    <row r="205" spans="1:3" x14ac:dyDescent="0.45">
      <c r="A205" s="156">
        <v>46001</v>
      </c>
      <c r="B205" s="157">
        <v>9.1750000000000007</v>
      </c>
      <c r="C205" s="158">
        <v>582216</v>
      </c>
    </row>
    <row r="206" spans="1:3" x14ac:dyDescent="0.45">
      <c r="A206" s="156">
        <v>46000</v>
      </c>
      <c r="B206" s="157">
        <v>9.14</v>
      </c>
      <c r="C206" s="158">
        <v>830454</v>
      </c>
    </row>
    <row r="207" spans="1:3" x14ac:dyDescent="0.45">
      <c r="A207" s="156">
        <v>45999</v>
      </c>
      <c r="B207" s="157">
        <v>8.86</v>
      </c>
      <c r="C207" s="158">
        <v>773511</v>
      </c>
    </row>
    <row r="208" spans="1:3" x14ac:dyDescent="0.45">
      <c r="A208" s="156">
        <v>45996</v>
      </c>
      <c r="B208" s="157">
        <v>9.18</v>
      </c>
      <c r="C208" s="158">
        <v>464331</v>
      </c>
    </row>
    <row r="209" spans="1:3" x14ac:dyDescent="0.45">
      <c r="A209" s="156">
        <v>45995</v>
      </c>
      <c r="B209" s="157">
        <v>9.1</v>
      </c>
      <c r="C209" s="158">
        <v>557205</v>
      </c>
    </row>
    <row r="210" spans="1:3" x14ac:dyDescent="0.45">
      <c r="A210" s="156">
        <v>45994</v>
      </c>
      <c r="B210" s="157">
        <v>9.01</v>
      </c>
      <c r="C210" s="158">
        <v>581524</v>
      </c>
    </row>
    <row r="211" spans="1:3" x14ac:dyDescent="0.45">
      <c r="A211" s="156">
        <v>45993</v>
      </c>
      <c r="B211" s="157">
        <v>9.06</v>
      </c>
      <c r="C211" s="158">
        <v>447487</v>
      </c>
    </row>
    <row r="212" spans="1:3" x14ac:dyDescent="0.45">
      <c r="A212" s="156">
        <v>45992</v>
      </c>
      <c r="B212" s="157">
        <v>9.0299999999999994</v>
      </c>
      <c r="C212" s="158">
        <v>592856</v>
      </c>
    </row>
    <row r="213" spans="1:3" x14ac:dyDescent="0.45">
      <c r="A213" s="156">
        <v>45989</v>
      </c>
      <c r="B213" s="157">
        <v>9.01</v>
      </c>
      <c r="C213" s="158">
        <v>204103</v>
      </c>
    </row>
    <row r="214" spans="1:3" x14ac:dyDescent="0.45">
      <c r="A214" s="156">
        <v>45987</v>
      </c>
      <c r="B214" s="157">
        <v>9.1</v>
      </c>
      <c r="C214" s="158">
        <v>567146</v>
      </c>
    </row>
    <row r="215" spans="1:3" x14ac:dyDescent="0.45">
      <c r="A215" s="156">
        <v>45986</v>
      </c>
      <c r="B215" s="157">
        <v>8.98</v>
      </c>
      <c r="C215" s="158">
        <v>779108</v>
      </c>
    </row>
    <row r="216" spans="1:3" x14ac:dyDescent="0.45">
      <c r="A216" s="156">
        <v>45985</v>
      </c>
      <c r="B216" s="157">
        <v>8.66</v>
      </c>
      <c r="C216" s="158">
        <v>1339131</v>
      </c>
    </row>
    <row r="217" spans="1:3" x14ac:dyDescent="0.45">
      <c r="A217" s="156">
        <v>45982</v>
      </c>
      <c r="B217" s="157">
        <v>8.82</v>
      </c>
      <c r="C217" s="158">
        <v>702199</v>
      </c>
    </row>
    <row r="218" spans="1:3" x14ac:dyDescent="0.45">
      <c r="A218" s="156">
        <v>45981</v>
      </c>
      <c r="B218" s="157">
        <v>8.58</v>
      </c>
      <c r="C218" s="158">
        <v>721276</v>
      </c>
    </row>
    <row r="219" spans="1:3" x14ac:dyDescent="0.45">
      <c r="A219" s="156">
        <v>45980</v>
      </c>
      <c r="B219" s="157">
        <v>9.15</v>
      </c>
      <c r="C219" s="158">
        <v>647508</v>
      </c>
    </row>
    <row r="220" spans="1:3" x14ac:dyDescent="0.45">
      <c r="A220" s="156">
        <v>45979</v>
      </c>
      <c r="B220" s="157">
        <v>9.3049999999999997</v>
      </c>
      <c r="C220" s="158">
        <v>755436</v>
      </c>
    </row>
    <row r="221" spans="1:3" x14ac:dyDescent="0.45">
      <c r="A221" s="156">
        <v>45978</v>
      </c>
      <c r="B221" s="157">
        <v>9.19</v>
      </c>
      <c r="C221" s="158">
        <v>823819</v>
      </c>
    </row>
    <row r="222" spans="1:3" x14ac:dyDescent="0.45">
      <c r="A222" s="156">
        <v>45975</v>
      </c>
      <c r="B222" s="157">
        <v>9.43</v>
      </c>
      <c r="C222" s="158">
        <v>843647</v>
      </c>
    </row>
    <row r="223" spans="1:3" x14ac:dyDescent="0.45">
      <c r="A223" s="156">
        <v>45974</v>
      </c>
      <c r="B223" s="157">
        <v>9.1750000000000007</v>
      </c>
      <c r="C223" s="158">
        <v>1118691</v>
      </c>
    </row>
    <row r="224" spans="1:3" x14ac:dyDescent="0.45">
      <c r="A224" s="156">
        <v>45973</v>
      </c>
      <c r="B224" s="157">
        <v>9.5649999999999995</v>
      </c>
      <c r="C224" s="158">
        <v>2316227</v>
      </c>
    </row>
    <row r="225" spans="1:3" x14ac:dyDescent="0.45">
      <c r="A225" s="156">
        <v>45972</v>
      </c>
      <c r="B225" s="157">
        <v>10.97</v>
      </c>
      <c r="C225" s="158">
        <v>7449325</v>
      </c>
    </row>
    <row r="226" spans="1:3" x14ac:dyDescent="0.45">
      <c r="A226" s="156">
        <v>45971</v>
      </c>
      <c r="B226" s="157">
        <v>7.65</v>
      </c>
      <c r="C226" s="158">
        <v>1042457</v>
      </c>
    </row>
    <row r="227" spans="1:3" x14ac:dyDescent="0.45">
      <c r="A227" s="156">
        <v>45968</v>
      </c>
      <c r="B227" s="157">
        <v>7.4</v>
      </c>
      <c r="C227" s="158">
        <v>1036907</v>
      </c>
    </row>
    <row r="228" spans="1:3" x14ac:dyDescent="0.45">
      <c r="A228" s="156">
        <v>45967</v>
      </c>
      <c r="B228" s="157">
        <v>7.38</v>
      </c>
      <c r="C228" s="158">
        <v>1202327</v>
      </c>
    </row>
    <row r="229" spans="1:3" x14ac:dyDescent="0.45">
      <c r="A229" s="156">
        <v>45966</v>
      </c>
      <c r="B229" s="157">
        <v>8.06</v>
      </c>
      <c r="C229" s="158">
        <v>736684</v>
      </c>
    </row>
    <row r="230" spans="1:3" x14ac:dyDescent="0.45">
      <c r="A230" s="156">
        <v>45965</v>
      </c>
      <c r="B230" s="157">
        <v>7.87</v>
      </c>
      <c r="C230" s="158">
        <v>591430</v>
      </c>
    </row>
    <row r="231" spans="1:3" x14ac:dyDescent="0.45">
      <c r="A231" s="156">
        <v>45964</v>
      </c>
      <c r="B231" s="157">
        <v>8.3049999999999997</v>
      </c>
      <c r="C231" s="158">
        <v>351368</v>
      </c>
    </row>
    <row r="232" spans="1:3" x14ac:dyDescent="0.45">
      <c r="A232" s="156">
        <v>45961</v>
      </c>
      <c r="B232" s="157">
        <v>8.36</v>
      </c>
      <c r="C232" s="158">
        <v>436051</v>
      </c>
    </row>
    <row r="233" spans="1:3" x14ac:dyDescent="0.45">
      <c r="A233" s="156">
        <v>45960</v>
      </c>
      <c r="B233" s="157">
        <v>8.23</v>
      </c>
      <c r="C233" s="158">
        <v>404085</v>
      </c>
    </row>
    <row r="234" spans="1:3" x14ac:dyDescent="0.45">
      <c r="A234" s="156">
        <v>45959</v>
      </c>
      <c r="B234" s="157">
        <v>8.4600000000000009</v>
      </c>
      <c r="C234" s="158">
        <v>583599</v>
      </c>
    </row>
    <row r="235" spans="1:3" x14ac:dyDescent="0.45">
      <c r="A235" s="156">
        <v>45958</v>
      </c>
      <c r="B235" s="157">
        <v>8.84</v>
      </c>
      <c r="C235" s="158">
        <v>544056</v>
      </c>
    </row>
    <row r="236" spans="1:3" x14ac:dyDescent="0.45">
      <c r="A236" s="156">
        <v>45957</v>
      </c>
      <c r="B236" s="157">
        <v>8.7799999999999994</v>
      </c>
      <c r="C236" s="158">
        <v>510571</v>
      </c>
    </row>
    <row r="237" spans="1:3" x14ac:dyDescent="0.45">
      <c r="A237" s="156">
        <v>45954</v>
      </c>
      <c r="B237" s="157">
        <v>8.75</v>
      </c>
      <c r="C237" s="158">
        <v>559634</v>
      </c>
    </row>
    <row r="238" spans="1:3" x14ac:dyDescent="0.45">
      <c r="A238" s="156">
        <v>45953</v>
      </c>
      <c r="B238" s="157">
        <v>8.59</v>
      </c>
      <c r="C238" s="158">
        <v>448258</v>
      </c>
    </row>
    <row r="239" spans="1:3" x14ac:dyDescent="0.45">
      <c r="A239" s="156">
        <v>45952</v>
      </c>
      <c r="B239" s="157">
        <v>8.42</v>
      </c>
      <c r="C239" s="158">
        <v>439273</v>
      </c>
    </row>
    <row r="240" spans="1:3" x14ac:dyDescent="0.45">
      <c r="A240" s="156">
        <v>45951</v>
      </c>
      <c r="B240" s="157">
        <v>8.4700000000000006</v>
      </c>
      <c r="C240" s="158">
        <v>548995</v>
      </c>
    </row>
    <row r="241" spans="1:3" x14ac:dyDescent="0.45">
      <c r="A241" s="156">
        <v>45950</v>
      </c>
      <c r="B241" s="157">
        <v>8.32</v>
      </c>
      <c r="C241" s="158">
        <v>585150</v>
      </c>
    </row>
    <row r="242" spans="1:3" x14ac:dyDescent="0.45">
      <c r="A242" s="156">
        <v>45947</v>
      </c>
      <c r="B242" s="157">
        <v>7.95</v>
      </c>
      <c r="C242" s="158">
        <v>706982</v>
      </c>
    </row>
    <row r="243" spans="1:3" x14ac:dyDescent="0.45">
      <c r="A243" s="156">
        <v>45946</v>
      </c>
      <c r="B243" s="157">
        <v>8.0399999999999991</v>
      </c>
      <c r="C243" s="158">
        <v>512490</v>
      </c>
    </row>
    <row r="244" spans="1:3" x14ac:dyDescent="0.45">
      <c r="A244" s="156">
        <v>45945</v>
      </c>
      <c r="B244" s="157">
        <v>8.24</v>
      </c>
      <c r="C244" s="158">
        <v>429062</v>
      </c>
    </row>
    <row r="245" spans="1:3" x14ac:dyDescent="0.45">
      <c r="A245" s="156">
        <v>45944</v>
      </c>
      <c r="B245" s="157">
        <v>8.24</v>
      </c>
      <c r="C245" s="158">
        <v>648774</v>
      </c>
    </row>
    <row r="246" spans="1:3" x14ac:dyDescent="0.45">
      <c r="A246" s="156">
        <v>45943</v>
      </c>
      <c r="B246" s="157">
        <v>8.1999999999999993</v>
      </c>
      <c r="C246" s="158">
        <v>608244</v>
      </c>
    </row>
    <row r="247" spans="1:3" x14ac:dyDescent="0.45">
      <c r="A247" s="156">
        <v>45940</v>
      </c>
      <c r="B247" s="157">
        <v>7.99</v>
      </c>
      <c r="C247" s="158">
        <v>877660</v>
      </c>
    </row>
    <row r="248" spans="1:3" x14ac:dyDescent="0.45">
      <c r="A248" s="156">
        <v>45939</v>
      </c>
      <c r="B248" s="157">
        <v>8.33</v>
      </c>
      <c r="C248" s="158">
        <v>807047</v>
      </c>
    </row>
    <row r="249" spans="1:3" x14ac:dyDescent="0.45">
      <c r="A249" s="156">
        <v>45938</v>
      </c>
      <c r="B249" s="157">
        <v>8.89</v>
      </c>
      <c r="C249" s="158">
        <v>1819219</v>
      </c>
    </row>
    <row r="250" spans="1:3" x14ac:dyDescent="0.45">
      <c r="A250" s="156">
        <v>45937</v>
      </c>
      <c r="B250" s="157">
        <v>8.27</v>
      </c>
      <c r="C250" s="158">
        <v>578260</v>
      </c>
    </row>
    <row r="251" spans="1:3" x14ac:dyDescent="0.45">
      <c r="A251" s="156">
        <v>45936</v>
      </c>
      <c r="B251" s="157">
        <v>8.4700000000000006</v>
      </c>
      <c r="C251" s="158">
        <v>731881</v>
      </c>
    </row>
    <row r="252" spans="1:3" x14ac:dyDescent="0.45">
      <c r="A252" s="156">
        <v>45933</v>
      </c>
      <c r="B252" s="157">
        <v>8.44</v>
      </c>
      <c r="C252" s="158">
        <v>450435</v>
      </c>
    </row>
    <row r="253" spans="1:3" x14ac:dyDescent="0.45">
      <c r="A253" s="159"/>
      <c r="B253" s="159"/>
      <c r="C253" s="159"/>
    </row>
  </sheetData>
  <mergeCells count="1">
    <mergeCell ref="A253:C253"/>
  </mergeCells>
  <pageMargins left="0.7" right="0.7" top="0.75" bottom="0.75" header="0.3" footer="0.3"/>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E3C2-F992-4B86-B830-C31AE444FA01}">
  <dimension ref="A1:C253"/>
  <sheetViews>
    <sheetView workbookViewId="0"/>
  </sheetViews>
  <sheetFormatPr defaultRowHeight="14.25" x14ac:dyDescent="0.45"/>
  <cols>
    <col min="1" max="1" width="20.265625" style="155" customWidth="1"/>
    <col min="2" max="2" width="30" style="155" customWidth="1"/>
    <col min="3" max="3" width="23.3984375" style="155" customWidth="1"/>
    <col min="4" max="16384" width="9.06640625" style="155"/>
  </cols>
  <sheetData>
    <row r="1" spans="1:3" x14ac:dyDescent="0.45">
      <c r="A1" s="153" t="s">
        <v>675</v>
      </c>
      <c r="B1" s="154" t="s">
        <v>678</v>
      </c>
      <c r="C1" s="154" t="s">
        <v>679</v>
      </c>
    </row>
    <row r="2" spans="1:3" x14ac:dyDescent="0.45">
      <c r="A2" s="156">
        <v>46297</v>
      </c>
      <c r="B2" s="157">
        <v>11.95</v>
      </c>
      <c r="C2" s="158">
        <v>22615212</v>
      </c>
    </row>
    <row r="3" spans="1:3" x14ac:dyDescent="0.45">
      <c r="A3" s="156">
        <v>46296</v>
      </c>
      <c r="B3" s="157">
        <v>12.1</v>
      </c>
      <c r="C3" s="158">
        <v>14529654</v>
      </c>
    </row>
    <row r="4" spans="1:3" x14ac:dyDescent="0.45">
      <c r="A4" s="156">
        <v>46295</v>
      </c>
      <c r="B4" s="157">
        <v>12.17</v>
      </c>
      <c r="C4" s="158">
        <v>18562699</v>
      </c>
    </row>
    <row r="5" spans="1:3" x14ac:dyDescent="0.45">
      <c r="A5" s="156">
        <v>46294</v>
      </c>
      <c r="B5" s="157">
        <v>12.05</v>
      </c>
      <c r="C5" s="158">
        <v>22670372</v>
      </c>
    </row>
    <row r="6" spans="1:3" x14ac:dyDescent="0.45">
      <c r="A6" s="156">
        <v>46293</v>
      </c>
      <c r="B6" s="157">
        <v>12.34</v>
      </c>
      <c r="C6" s="158">
        <v>23073499</v>
      </c>
    </row>
    <row r="7" spans="1:3" x14ac:dyDescent="0.45">
      <c r="A7" s="156">
        <v>46290</v>
      </c>
      <c r="B7" s="157">
        <v>12.6</v>
      </c>
      <c r="C7" s="158">
        <v>14519864</v>
      </c>
    </row>
    <row r="8" spans="1:3" x14ac:dyDescent="0.45">
      <c r="A8" s="156">
        <v>46289</v>
      </c>
      <c r="B8" s="157">
        <v>12.63</v>
      </c>
      <c r="C8" s="158">
        <v>18926266</v>
      </c>
    </row>
    <row r="9" spans="1:3" x14ac:dyDescent="0.45">
      <c r="A9" s="156">
        <v>46288</v>
      </c>
      <c r="B9" s="157">
        <v>12.68</v>
      </c>
      <c r="C9" s="158">
        <v>28108167</v>
      </c>
    </row>
    <row r="10" spans="1:3" x14ac:dyDescent="0.45">
      <c r="A10" s="156">
        <v>46287</v>
      </c>
      <c r="B10" s="157">
        <v>13.18</v>
      </c>
      <c r="C10" s="158">
        <v>29613728</v>
      </c>
    </row>
    <row r="11" spans="1:3" x14ac:dyDescent="0.45">
      <c r="A11" s="156">
        <v>46286</v>
      </c>
      <c r="B11" s="157">
        <v>13.88</v>
      </c>
      <c r="C11" s="158">
        <v>21873423</v>
      </c>
    </row>
    <row r="12" spans="1:3" x14ac:dyDescent="0.45">
      <c r="A12" s="156">
        <v>46283</v>
      </c>
      <c r="B12" s="157">
        <v>13.92</v>
      </c>
      <c r="C12" s="158">
        <v>149238264</v>
      </c>
    </row>
    <row r="13" spans="1:3" x14ac:dyDescent="0.45">
      <c r="A13" s="156">
        <v>46282</v>
      </c>
      <c r="B13" s="157">
        <v>14.26</v>
      </c>
      <c r="C13" s="158">
        <v>18370288</v>
      </c>
    </row>
    <row r="14" spans="1:3" x14ac:dyDescent="0.45">
      <c r="A14" s="156">
        <v>46281</v>
      </c>
      <c r="B14" s="157">
        <v>14.49</v>
      </c>
      <c r="C14" s="158">
        <v>14971992</v>
      </c>
    </row>
    <row r="15" spans="1:3" x14ac:dyDescent="0.45">
      <c r="A15" s="156">
        <v>46280</v>
      </c>
      <c r="B15" s="158">
        <v>15</v>
      </c>
      <c r="C15" s="158">
        <v>21281310</v>
      </c>
    </row>
    <row r="16" spans="1:3" x14ac:dyDescent="0.45">
      <c r="A16" s="156">
        <v>46279</v>
      </c>
      <c r="B16" s="157">
        <v>14.97</v>
      </c>
      <c r="C16" s="158">
        <v>19555213</v>
      </c>
    </row>
    <row r="17" spans="1:3" x14ac:dyDescent="0.45">
      <c r="A17" s="156">
        <v>46276</v>
      </c>
      <c r="B17" s="157">
        <v>14.34</v>
      </c>
      <c r="C17" s="158">
        <v>11224164</v>
      </c>
    </row>
    <row r="18" spans="1:3" x14ac:dyDescent="0.45">
      <c r="A18" s="156">
        <v>46275</v>
      </c>
      <c r="B18" s="157">
        <v>13.97</v>
      </c>
      <c r="C18" s="158">
        <v>10542241</v>
      </c>
    </row>
    <row r="19" spans="1:3" x14ac:dyDescent="0.45">
      <c r="A19" s="156">
        <v>46274</v>
      </c>
      <c r="B19" s="157">
        <v>13.88</v>
      </c>
      <c r="C19" s="158">
        <v>16397599</v>
      </c>
    </row>
    <row r="20" spans="1:3" x14ac:dyDescent="0.45">
      <c r="A20" s="156">
        <v>46273</v>
      </c>
      <c r="B20" s="157">
        <v>14.02</v>
      </c>
      <c r="C20" s="158">
        <v>19798601</v>
      </c>
    </row>
    <row r="21" spans="1:3" x14ac:dyDescent="0.45">
      <c r="A21" s="156">
        <v>46269</v>
      </c>
      <c r="B21" s="157">
        <v>14.43</v>
      </c>
      <c r="C21" s="158">
        <v>25537140</v>
      </c>
    </row>
    <row r="22" spans="1:3" x14ac:dyDescent="0.45">
      <c r="A22" s="156">
        <v>46268</v>
      </c>
      <c r="B22" s="157">
        <v>15.09</v>
      </c>
      <c r="C22" s="158">
        <v>23640114</v>
      </c>
    </row>
    <row r="23" spans="1:3" x14ac:dyDescent="0.45">
      <c r="A23" s="156">
        <v>46267</v>
      </c>
      <c r="B23" s="157">
        <v>14.55</v>
      </c>
      <c r="C23" s="158">
        <v>21814055</v>
      </c>
    </row>
    <row r="24" spans="1:3" x14ac:dyDescent="0.45">
      <c r="A24" s="156">
        <v>46266</v>
      </c>
      <c r="B24" s="157">
        <v>13.78</v>
      </c>
      <c r="C24" s="158">
        <v>16497652</v>
      </c>
    </row>
    <row r="25" spans="1:3" x14ac:dyDescent="0.45">
      <c r="A25" s="156">
        <v>46265</v>
      </c>
      <c r="B25" s="157">
        <v>13.72</v>
      </c>
      <c r="C25" s="158">
        <v>23752669</v>
      </c>
    </row>
    <row r="26" spans="1:3" x14ac:dyDescent="0.45">
      <c r="A26" s="156">
        <v>46262</v>
      </c>
      <c r="B26" s="157">
        <v>13.57</v>
      </c>
      <c r="C26" s="158">
        <v>13063360</v>
      </c>
    </row>
    <row r="27" spans="1:3" x14ac:dyDescent="0.45">
      <c r="A27" s="156">
        <v>46261</v>
      </c>
      <c r="B27" s="157">
        <v>13.42</v>
      </c>
      <c r="C27" s="158">
        <v>20617486</v>
      </c>
    </row>
    <row r="28" spans="1:3" x14ac:dyDescent="0.45">
      <c r="A28" s="156">
        <v>46260</v>
      </c>
      <c r="B28" s="157">
        <v>13.03</v>
      </c>
      <c r="C28" s="158">
        <v>13502825</v>
      </c>
    </row>
    <row r="29" spans="1:3" x14ac:dyDescent="0.45">
      <c r="A29" s="156">
        <v>46259</v>
      </c>
      <c r="B29" s="157">
        <v>13.25</v>
      </c>
      <c r="C29" s="158">
        <v>11142753</v>
      </c>
    </row>
    <row r="30" spans="1:3" x14ac:dyDescent="0.45">
      <c r="A30" s="156">
        <v>46258</v>
      </c>
      <c r="B30" s="157">
        <v>13.27</v>
      </c>
      <c r="C30" s="158">
        <v>14634894</v>
      </c>
    </row>
    <row r="31" spans="1:3" x14ac:dyDescent="0.45">
      <c r="A31" s="156">
        <v>46255</v>
      </c>
      <c r="B31" s="157">
        <v>13.18</v>
      </c>
      <c r="C31" s="158">
        <v>13185970</v>
      </c>
    </row>
    <row r="32" spans="1:3" x14ac:dyDescent="0.45">
      <c r="A32" s="156">
        <v>46254</v>
      </c>
      <c r="B32" s="157">
        <v>13.32</v>
      </c>
      <c r="C32" s="158">
        <v>14441947</v>
      </c>
    </row>
    <row r="33" spans="1:3" x14ac:dyDescent="0.45">
      <c r="A33" s="156">
        <v>46253</v>
      </c>
      <c r="B33" s="157">
        <v>13.54</v>
      </c>
      <c r="C33" s="158">
        <v>14828722</v>
      </c>
    </row>
    <row r="34" spans="1:3" x14ac:dyDescent="0.45">
      <c r="A34" s="156">
        <v>46252</v>
      </c>
      <c r="B34" s="157">
        <v>13.42</v>
      </c>
      <c r="C34" s="158">
        <v>19771374</v>
      </c>
    </row>
    <row r="35" spans="1:3" x14ac:dyDescent="0.45">
      <c r="A35" s="156">
        <v>46251</v>
      </c>
      <c r="B35" s="157">
        <v>13.4</v>
      </c>
      <c r="C35" s="158">
        <v>23172934</v>
      </c>
    </row>
    <row r="36" spans="1:3" x14ac:dyDescent="0.45">
      <c r="A36" s="156">
        <v>46248</v>
      </c>
      <c r="B36" s="157">
        <v>14.14</v>
      </c>
      <c r="C36" s="158">
        <v>17560877</v>
      </c>
    </row>
    <row r="37" spans="1:3" x14ac:dyDescent="0.45">
      <c r="A37" s="156">
        <v>46247</v>
      </c>
      <c r="B37" s="157">
        <v>14.56</v>
      </c>
      <c r="C37" s="158">
        <v>34667802</v>
      </c>
    </row>
    <row r="38" spans="1:3" x14ac:dyDescent="0.45">
      <c r="A38" s="156">
        <v>46246</v>
      </c>
      <c r="B38" s="157">
        <v>13.49</v>
      </c>
      <c r="C38" s="158">
        <v>23483802</v>
      </c>
    </row>
    <row r="39" spans="1:3" x14ac:dyDescent="0.45">
      <c r="A39" s="156">
        <v>46245</v>
      </c>
      <c r="B39" s="157">
        <v>13.56</v>
      </c>
      <c r="C39" s="158">
        <v>31823346</v>
      </c>
    </row>
    <row r="40" spans="1:3" x14ac:dyDescent="0.45">
      <c r="A40" s="156">
        <v>46244</v>
      </c>
      <c r="B40" s="157">
        <v>13.39</v>
      </c>
      <c r="C40" s="158">
        <v>57396430</v>
      </c>
    </row>
    <row r="41" spans="1:3" x14ac:dyDescent="0.45">
      <c r="A41" s="156">
        <v>46241</v>
      </c>
      <c r="B41" s="157">
        <v>13.8</v>
      </c>
      <c r="C41" s="158">
        <v>133339609</v>
      </c>
    </row>
    <row r="42" spans="1:3" x14ac:dyDescent="0.45">
      <c r="A42" s="156">
        <v>46240</v>
      </c>
      <c r="B42" s="157">
        <v>17.670000000000002</v>
      </c>
      <c r="C42" s="158">
        <v>92046482</v>
      </c>
    </row>
    <row r="43" spans="1:3" x14ac:dyDescent="0.45">
      <c r="A43" s="156">
        <v>46239</v>
      </c>
      <c r="B43" s="157">
        <v>18.96</v>
      </c>
      <c r="C43" s="158">
        <v>16449530</v>
      </c>
    </row>
    <row r="44" spans="1:3" x14ac:dyDescent="0.45">
      <c r="A44" s="156">
        <v>46238</v>
      </c>
      <c r="B44" s="157">
        <v>19.34</v>
      </c>
      <c r="C44" s="158">
        <v>21816835</v>
      </c>
    </row>
    <row r="45" spans="1:3" x14ac:dyDescent="0.45">
      <c r="A45" s="156">
        <v>46237</v>
      </c>
      <c r="B45" s="157">
        <v>18.3</v>
      </c>
      <c r="C45" s="158">
        <v>14820630</v>
      </c>
    </row>
    <row r="46" spans="1:3" x14ac:dyDescent="0.45">
      <c r="A46" s="156">
        <v>46234</v>
      </c>
      <c r="B46" s="157">
        <v>18.04</v>
      </c>
      <c r="C46" s="158">
        <v>16452707</v>
      </c>
    </row>
    <row r="47" spans="1:3" x14ac:dyDescent="0.45">
      <c r="A47" s="156">
        <v>46233</v>
      </c>
      <c r="B47" s="157">
        <v>18.28</v>
      </c>
      <c r="C47" s="158">
        <v>18544986</v>
      </c>
    </row>
    <row r="48" spans="1:3" x14ac:dyDescent="0.45">
      <c r="A48" s="156">
        <v>46232</v>
      </c>
      <c r="B48" s="157">
        <v>19.09</v>
      </c>
      <c r="C48" s="158">
        <v>18823549</v>
      </c>
    </row>
    <row r="49" spans="1:3" x14ac:dyDescent="0.45">
      <c r="A49" s="156">
        <v>46231</v>
      </c>
      <c r="B49" s="157">
        <v>18.91</v>
      </c>
      <c r="C49" s="158">
        <v>20621847</v>
      </c>
    </row>
    <row r="50" spans="1:3" x14ac:dyDescent="0.45">
      <c r="A50" s="156">
        <v>46230</v>
      </c>
      <c r="B50" s="157">
        <v>17.88</v>
      </c>
      <c r="C50" s="158">
        <v>13237911</v>
      </c>
    </row>
    <row r="51" spans="1:3" x14ac:dyDescent="0.45">
      <c r="A51" s="156">
        <v>46227</v>
      </c>
      <c r="B51" s="157">
        <v>17.29</v>
      </c>
      <c r="C51" s="158">
        <v>19695259</v>
      </c>
    </row>
    <row r="52" spans="1:3" x14ac:dyDescent="0.45">
      <c r="A52" s="156">
        <v>46226</v>
      </c>
      <c r="B52" s="157">
        <v>16.79</v>
      </c>
      <c r="C52" s="158">
        <v>17346790</v>
      </c>
    </row>
    <row r="53" spans="1:3" x14ac:dyDescent="0.45">
      <c r="A53" s="156">
        <v>46225</v>
      </c>
      <c r="B53" s="157">
        <v>17.579999999999998</v>
      </c>
      <c r="C53" s="158">
        <v>12455394</v>
      </c>
    </row>
    <row r="54" spans="1:3" x14ac:dyDescent="0.45">
      <c r="A54" s="156">
        <v>46224</v>
      </c>
      <c r="B54" s="157">
        <v>18.25</v>
      </c>
      <c r="C54" s="158">
        <v>12106121</v>
      </c>
    </row>
    <row r="55" spans="1:3" x14ac:dyDescent="0.45">
      <c r="A55" s="156">
        <v>46223</v>
      </c>
      <c r="B55" s="157">
        <v>18.64</v>
      </c>
      <c r="C55" s="158">
        <v>11716394</v>
      </c>
    </row>
    <row r="56" spans="1:3" x14ac:dyDescent="0.45">
      <c r="A56" s="156">
        <v>46220</v>
      </c>
      <c r="B56" s="157">
        <v>18.59</v>
      </c>
      <c r="C56" s="158">
        <v>13651571</v>
      </c>
    </row>
    <row r="57" spans="1:3" x14ac:dyDescent="0.45">
      <c r="A57" s="156">
        <v>46219</v>
      </c>
      <c r="B57" s="157">
        <v>19.12</v>
      </c>
      <c r="C57" s="158">
        <v>8566805</v>
      </c>
    </row>
    <row r="58" spans="1:3" x14ac:dyDescent="0.45">
      <c r="A58" s="156">
        <v>46218</v>
      </c>
      <c r="B58" s="157">
        <v>19.37</v>
      </c>
      <c r="C58" s="158">
        <v>10341010</v>
      </c>
    </row>
    <row r="59" spans="1:3" x14ac:dyDescent="0.45">
      <c r="A59" s="156">
        <v>46217</v>
      </c>
      <c r="B59" s="157">
        <v>18.940000000000001</v>
      </c>
      <c r="C59" s="158">
        <v>13739162</v>
      </c>
    </row>
    <row r="60" spans="1:3" x14ac:dyDescent="0.45">
      <c r="A60" s="156">
        <v>46216</v>
      </c>
      <c r="B60" s="157">
        <v>19.79</v>
      </c>
      <c r="C60" s="158">
        <v>12354178</v>
      </c>
    </row>
    <row r="61" spans="1:3" x14ac:dyDescent="0.45">
      <c r="A61" s="156">
        <v>46213</v>
      </c>
      <c r="B61" s="157">
        <v>19.53</v>
      </c>
      <c r="C61" s="158">
        <v>8547302</v>
      </c>
    </row>
    <row r="62" spans="1:3" x14ac:dyDescent="0.45">
      <c r="A62" s="156">
        <v>46212</v>
      </c>
      <c r="B62" s="157">
        <v>19.75</v>
      </c>
      <c r="C62" s="158">
        <v>9130726</v>
      </c>
    </row>
    <row r="63" spans="1:3" x14ac:dyDescent="0.45">
      <c r="A63" s="156">
        <v>46211</v>
      </c>
      <c r="B63" s="157">
        <v>19.07</v>
      </c>
      <c r="C63" s="158">
        <v>11549952</v>
      </c>
    </row>
    <row r="64" spans="1:3" x14ac:dyDescent="0.45">
      <c r="A64" s="156">
        <v>46210</v>
      </c>
      <c r="B64" s="157">
        <v>19.18</v>
      </c>
      <c r="C64" s="158">
        <v>10165613</v>
      </c>
    </row>
    <row r="65" spans="1:3" x14ac:dyDescent="0.45">
      <c r="A65" s="156">
        <v>46209</v>
      </c>
      <c r="B65" s="157">
        <v>19.309999999999999</v>
      </c>
      <c r="C65" s="158">
        <v>13592932</v>
      </c>
    </row>
    <row r="66" spans="1:3" x14ac:dyDescent="0.45">
      <c r="A66" s="156">
        <v>46205</v>
      </c>
      <c r="B66" s="157">
        <v>19.100000000000001</v>
      </c>
      <c r="C66" s="158">
        <v>10958020</v>
      </c>
    </row>
    <row r="67" spans="1:3" x14ac:dyDescent="0.45">
      <c r="A67" s="156">
        <v>46204</v>
      </c>
      <c r="B67" s="157">
        <v>19.149999999999999</v>
      </c>
      <c r="C67" s="158">
        <v>18777188</v>
      </c>
    </row>
    <row r="68" spans="1:3" x14ac:dyDescent="0.45">
      <c r="A68" s="156">
        <v>46203</v>
      </c>
      <c r="B68" s="157">
        <v>18.079999999999998</v>
      </c>
      <c r="C68" s="158">
        <v>29047430</v>
      </c>
    </row>
    <row r="69" spans="1:3" x14ac:dyDescent="0.45">
      <c r="A69" s="156">
        <v>46202</v>
      </c>
      <c r="B69" s="157">
        <v>18.649999999999999</v>
      </c>
      <c r="C69" s="158">
        <v>15903110</v>
      </c>
    </row>
    <row r="70" spans="1:3" x14ac:dyDescent="0.45">
      <c r="A70" s="156">
        <v>46199</v>
      </c>
      <c r="B70" s="157">
        <v>18.37</v>
      </c>
      <c r="C70" s="158">
        <v>27349409</v>
      </c>
    </row>
    <row r="71" spans="1:3" x14ac:dyDescent="0.45">
      <c r="A71" s="156">
        <v>46198</v>
      </c>
      <c r="B71" s="157">
        <v>17.329999999999998</v>
      </c>
      <c r="C71" s="158">
        <v>15024078</v>
      </c>
    </row>
    <row r="72" spans="1:3" x14ac:dyDescent="0.45">
      <c r="A72" s="156">
        <v>46197</v>
      </c>
      <c r="B72" s="157">
        <v>17.7</v>
      </c>
      <c r="C72" s="158">
        <v>14274475</v>
      </c>
    </row>
    <row r="73" spans="1:3" x14ac:dyDescent="0.45">
      <c r="A73" s="156">
        <v>46196</v>
      </c>
      <c r="B73" s="157">
        <v>17.93</v>
      </c>
      <c r="C73" s="158">
        <v>23125613</v>
      </c>
    </row>
    <row r="74" spans="1:3" x14ac:dyDescent="0.45">
      <c r="A74" s="156">
        <v>46195</v>
      </c>
      <c r="B74" s="157">
        <v>18.02</v>
      </c>
      <c r="C74" s="158">
        <v>21422892</v>
      </c>
    </row>
    <row r="75" spans="1:3" x14ac:dyDescent="0.45">
      <c r="A75" s="156">
        <v>46191</v>
      </c>
      <c r="B75" s="157">
        <v>18.510000000000002</v>
      </c>
      <c r="C75" s="158">
        <v>50679169</v>
      </c>
    </row>
    <row r="76" spans="1:3" x14ac:dyDescent="0.45">
      <c r="A76" s="156">
        <v>46190</v>
      </c>
      <c r="B76" s="157">
        <v>18.16</v>
      </c>
      <c r="C76" s="158">
        <v>18745237</v>
      </c>
    </row>
    <row r="77" spans="1:3" x14ac:dyDescent="0.45">
      <c r="A77" s="156">
        <v>46189</v>
      </c>
      <c r="B77" s="157">
        <v>18.96</v>
      </c>
      <c r="C77" s="158">
        <v>17319203</v>
      </c>
    </row>
    <row r="78" spans="1:3" x14ac:dyDescent="0.45">
      <c r="A78" s="156">
        <v>46188</v>
      </c>
      <c r="B78" s="157">
        <v>19.27</v>
      </c>
      <c r="C78" s="158">
        <v>24055554</v>
      </c>
    </row>
    <row r="79" spans="1:3" x14ac:dyDescent="0.45">
      <c r="A79" s="156">
        <v>46185</v>
      </c>
      <c r="B79" s="157">
        <v>19.28</v>
      </c>
      <c r="C79" s="158">
        <v>30967382</v>
      </c>
    </row>
    <row r="80" spans="1:3" x14ac:dyDescent="0.45">
      <c r="A80" s="156">
        <v>46184</v>
      </c>
      <c r="B80" s="157">
        <v>18.899999999999999</v>
      </c>
      <c r="C80" s="158">
        <v>19368535</v>
      </c>
    </row>
    <row r="81" spans="1:3" x14ac:dyDescent="0.45">
      <c r="A81" s="156">
        <v>46183</v>
      </c>
      <c r="B81" s="157">
        <v>19.29</v>
      </c>
      <c r="C81" s="158">
        <v>21367427</v>
      </c>
    </row>
    <row r="82" spans="1:3" x14ac:dyDescent="0.45">
      <c r="A82" s="156">
        <v>46182</v>
      </c>
      <c r="B82" s="157">
        <v>19.89</v>
      </c>
      <c r="C82" s="158">
        <v>18684903</v>
      </c>
    </row>
    <row r="83" spans="1:3" x14ac:dyDescent="0.45">
      <c r="A83" s="156">
        <v>46181</v>
      </c>
      <c r="B83" s="157">
        <v>19.43</v>
      </c>
      <c r="C83" s="158">
        <v>23456397</v>
      </c>
    </row>
    <row r="84" spans="1:3" x14ac:dyDescent="0.45">
      <c r="A84" s="156">
        <v>46178</v>
      </c>
      <c r="B84" s="157">
        <v>19.95</v>
      </c>
      <c r="C84" s="158">
        <v>18202157</v>
      </c>
    </row>
    <row r="85" spans="1:3" x14ac:dyDescent="0.45">
      <c r="A85" s="156">
        <v>46177</v>
      </c>
      <c r="B85" s="157">
        <v>21.03</v>
      </c>
      <c r="C85" s="158">
        <v>19800471</v>
      </c>
    </row>
    <row r="86" spans="1:3" x14ac:dyDescent="0.45">
      <c r="A86" s="156">
        <v>46176</v>
      </c>
      <c r="B86" s="157">
        <v>20.56</v>
      </c>
      <c r="C86" s="158">
        <v>17597965</v>
      </c>
    </row>
    <row r="87" spans="1:3" x14ac:dyDescent="0.45">
      <c r="A87" s="156">
        <v>46175</v>
      </c>
      <c r="B87" s="157">
        <v>21.1</v>
      </c>
      <c r="C87" s="158">
        <v>21905518</v>
      </c>
    </row>
    <row r="88" spans="1:3" x14ac:dyDescent="0.45">
      <c r="A88" s="156">
        <v>46174</v>
      </c>
      <c r="B88" s="157">
        <v>23.22</v>
      </c>
      <c r="C88" s="158">
        <v>22967851</v>
      </c>
    </row>
    <row r="89" spans="1:3" x14ac:dyDescent="0.45">
      <c r="A89" s="156">
        <v>46171</v>
      </c>
      <c r="B89" s="157">
        <v>21.56</v>
      </c>
      <c r="C89" s="158">
        <v>48457446</v>
      </c>
    </row>
    <row r="90" spans="1:3" x14ac:dyDescent="0.45">
      <c r="A90" s="156">
        <v>46170</v>
      </c>
      <c r="B90" s="157">
        <v>21.15</v>
      </c>
      <c r="C90" s="158">
        <v>21717960</v>
      </c>
    </row>
    <row r="91" spans="1:3" x14ac:dyDescent="0.45">
      <c r="A91" s="156">
        <v>46169</v>
      </c>
      <c r="B91" s="157">
        <v>22.29</v>
      </c>
      <c r="C91" s="158">
        <v>17333895</v>
      </c>
    </row>
    <row r="92" spans="1:3" x14ac:dyDescent="0.45">
      <c r="A92" s="156">
        <v>46168</v>
      </c>
      <c r="B92" s="157">
        <v>22.18</v>
      </c>
      <c r="C92" s="158">
        <v>16671319</v>
      </c>
    </row>
    <row r="93" spans="1:3" x14ac:dyDescent="0.45">
      <c r="A93" s="156">
        <v>46164</v>
      </c>
      <c r="B93" s="157">
        <v>22.38</v>
      </c>
      <c r="C93" s="158">
        <v>16293640</v>
      </c>
    </row>
    <row r="94" spans="1:3" x14ac:dyDescent="0.45">
      <c r="A94" s="156">
        <v>46163</v>
      </c>
      <c r="B94" s="157">
        <v>21.28</v>
      </c>
      <c r="C94" s="158">
        <v>10601999</v>
      </c>
    </row>
    <row r="95" spans="1:3" x14ac:dyDescent="0.45">
      <c r="A95" s="156">
        <v>46162</v>
      </c>
      <c r="B95" s="157">
        <v>21.02</v>
      </c>
      <c r="C95" s="158">
        <v>21267322</v>
      </c>
    </row>
    <row r="96" spans="1:3" x14ac:dyDescent="0.45">
      <c r="A96" s="156">
        <v>46161</v>
      </c>
      <c r="B96" s="157">
        <v>21.16</v>
      </c>
      <c r="C96" s="158">
        <v>19886419</v>
      </c>
    </row>
    <row r="97" spans="1:3" x14ac:dyDescent="0.45">
      <c r="A97" s="156">
        <v>46160</v>
      </c>
      <c r="B97" s="157">
        <v>22.27</v>
      </c>
      <c r="C97" s="158">
        <v>20491872</v>
      </c>
    </row>
    <row r="98" spans="1:3" x14ac:dyDescent="0.45">
      <c r="A98" s="156">
        <v>46157</v>
      </c>
      <c r="B98" s="157">
        <v>21.15</v>
      </c>
      <c r="C98" s="158">
        <v>17607743</v>
      </c>
    </row>
    <row r="99" spans="1:3" x14ac:dyDescent="0.45">
      <c r="A99" s="156">
        <v>46156</v>
      </c>
      <c r="B99" s="157">
        <v>20.41</v>
      </c>
      <c r="C99" s="158">
        <v>14035276</v>
      </c>
    </row>
    <row r="100" spans="1:3" x14ac:dyDescent="0.45">
      <c r="A100" s="156">
        <v>46155</v>
      </c>
      <c r="B100" s="157">
        <v>20.49</v>
      </c>
      <c r="C100" s="158">
        <v>18831977</v>
      </c>
    </row>
    <row r="101" spans="1:3" x14ac:dyDescent="0.45">
      <c r="A101" s="156">
        <v>46154</v>
      </c>
      <c r="B101" s="157">
        <v>21.14</v>
      </c>
      <c r="C101" s="158">
        <v>16822626</v>
      </c>
    </row>
    <row r="102" spans="1:3" x14ac:dyDescent="0.45">
      <c r="A102" s="156">
        <v>46153</v>
      </c>
      <c r="B102" s="157">
        <v>21.52</v>
      </c>
      <c r="C102" s="158">
        <v>21721403</v>
      </c>
    </row>
    <row r="103" spans="1:3" x14ac:dyDescent="0.45">
      <c r="A103" s="156">
        <v>46150</v>
      </c>
      <c r="B103" s="157">
        <v>23.08</v>
      </c>
      <c r="C103" s="158">
        <v>41292178</v>
      </c>
    </row>
    <row r="104" spans="1:3" x14ac:dyDescent="0.45">
      <c r="A104" s="156">
        <v>46149</v>
      </c>
      <c r="B104" s="157">
        <v>23.49</v>
      </c>
      <c r="C104" s="158">
        <v>43042342</v>
      </c>
    </row>
    <row r="105" spans="1:3" x14ac:dyDescent="0.45">
      <c r="A105" s="156">
        <v>46148</v>
      </c>
      <c r="B105" s="157">
        <v>24.01</v>
      </c>
      <c r="C105" s="158">
        <v>15459534</v>
      </c>
    </row>
    <row r="106" spans="1:3" x14ac:dyDescent="0.45">
      <c r="A106" s="156">
        <v>46147</v>
      </c>
      <c r="B106" s="157">
        <v>24.61</v>
      </c>
      <c r="C106" s="158">
        <v>19634405</v>
      </c>
    </row>
    <row r="107" spans="1:3" x14ac:dyDescent="0.45">
      <c r="A107" s="156">
        <v>46146</v>
      </c>
      <c r="B107" s="157">
        <v>24.1</v>
      </c>
      <c r="C107" s="158">
        <v>12388838</v>
      </c>
    </row>
    <row r="108" spans="1:3" x14ac:dyDescent="0.45">
      <c r="A108" s="156">
        <v>46143</v>
      </c>
      <c r="B108" s="157">
        <v>24.24</v>
      </c>
      <c r="C108" s="158">
        <v>17025167</v>
      </c>
    </row>
    <row r="109" spans="1:3" x14ac:dyDescent="0.45">
      <c r="A109" s="156">
        <v>46142</v>
      </c>
      <c r="B109" s="157">
        <v>23.59</v>
      </c>
      <c r="C109" s="158">
        <v>14696492</v>
      </c>
    </row>
    <row r="110" spans="1:3" x14ac:dyDescent="0.45">
      <c r="A110" s="156">
        <v>46141</v>
      </c>
      <c r="B110" s="157">
        <v>24.37</v>
      </c>
      <c r="C110" s="158">
        <v>20333436</v>
      </c>
    </row>
    <row r="111" spans="1:3" x14ac:dyDescent="0.45">
      <c r="A111" s="156">
        <v>46140</v>
      </c>
      <c r="B111" s="157">
        <v>23.23</v>
      </c>
      <c r="C111" s="158">
        <v>10842739</v>
      </c>
    </row>
    <row r="112" spans="1:3" x14ac:dyDescent="0.45">
      <c r="A112" s="156">
        <v>46139</v>
      </c>
      <c r="B112" s="157">
        <v>23.14</v>
      </c>
      <c r="C112" s="158">
        <v>15602774</v>
      </c>
    </row>
    <row r="113" spans="1:3" x14ac:dyDescent="0.45">
      <c r="A113" s="156">
        <v>46136</v>
      </c>
      <c r="B113" s="157">
        <v>23.97</v>
      </c>
      <c r="C113" s="158">
        <v>21016163</v>
      </c>
    </row>
    <row r="114" spans="1:3" x14ac:dyDescent="0.45">
      <c r="A114" s="156">
        <v>46135</v>
      </c>
      <c r="B114" s="157">
        <v>22.62</v>
      </c>
      <c r="C114" s="158">
        <v>13287470</v>
      </c>
    </row>
    <row r="115" spans="1:3" x14ac:dyDescent="0.45">
      <c r="A115" s="156">
        <v>46134</v>
      </c>
      <c r="B115" s="157">
        <v>23.56</v>
      </c>
      <c r="C115" s="158">
        <v>11892031</v>
      </c>
    </row>
    <row r="116" spans="1:3" x14ac:dyDescent="0.45">
      <c r="A116" s="156">
        <v>46133</v>
      </c>
      <c r="B116" s="157">
        <v>23.2</v>
      </c>
      <c r="C116" s="158">
        <v>19405857</v>
      </c>
    </row>
    <row r="117" spans="1:3" x14ac:dyDescent="0.45">
      <c r="A117" s="156">
        <v>46132</v>
      </c>
      <c r="B117" s="157">
        <v>24.05</v>
      </c>
      <c r="C117" s="158">
        <v>21010684</v>
      </c>
    </row>
    <row r="118" spans="1:3" x14ac:dyDescent="0.45">
      <c r="A118" s="156">
        <v>46129</v>
      </c>
      <c r="B118" s="157">
        <v>22.47</v>
      </c>
      <c r="C118" s="158">
        <v>19586713</v>
      </c>
    </row>
    <row r="119" spans="1:3" x14ac:dyDescent="0.45">
      <c r="A119" s="156">
        <v>46128</v>
      </c>
      <c r="B119" s="157">
        <v>22.76</v>
      </c>
      <c r="C119" s="158">
        <v>17676474</v>
      </c>
    </row>
    <row r="120" spans="1:3" x14ac:dyDescent="0.45">
      <c r="A120" s="156">
        <v>46127</v>
      </c>
      <c r="B120" s="157">
        <v>22.38</v>
      </c>
      <c r="C120" s="158">
        <v>15488583</v>
      </c>
    </row>
    <row r="121" spans="1:3" x14ac:dyDescent="0.45">
      <c r="A121" s="156">
        <v>46126</v>
      </c>
      <c r="B121" s="157">
        <v>21.02</v>
      </c>
      <c r="C121" s="158">
        <v>12569065</v>
      </c>
    </row>
    <row r="122" spans="1:3" x14ac:dyDescent="0.45">
      <c r="A122" s="156">
        <v>46125</v>
      </c>
      <c r="B122" s="157">
        <v>21.22</v>
      </c>
      <c r="C122" s="158">
        <v>14529380</v>
      </c>
    </row>
    <row r="123" spans="1:3" x14ac:dyDescent="0.45">
      <c r="A123" s="156">
        <v>46122</v>
      </c>
      <c r="B123" s="157">
        <v>20.09</v>
      </c>
      <c r="C123" s="158">
        <v>12841944</v>
      </c>
    </row>
    <row r="124" spans="1:3" x14ac:dyDescent="0.45">
      <c r="A124" s="156">
        <v>46121</v>
      </c>
      <c r="B124" s="157">
        <v>20.61</v>
      </c>
      <c r="C124" s="158">
        <v>19660028</v>
      </c>
    </row>
    <row r="125" spans="1:3" x14ac:dyDescent="0.45">
      <c r="A125" s="156">
        <v>46120</v>
      </c>
      <c r="B125" s="157">
        <v>20.25</v>
      </c>
      <c r="C125" s="158">
        <v>21288602</v>
      </c>
    </row>
    <row r="126" spans="1:3" x14ac:dyDescent="0.45">
      <c r="A126" s="156">
        <v>46119</v>
      </c>
      <c r="B126" s="157">
        <v>20.7</v>
      </c>
      <c r="C126" s="158">
        <v>22385906</v>
      </c>
    </row>
    <row r="127" spans="1:3" x14ac:dyDescent="0.45">
      <c r="A127" s="156">
        <v>46118</v>
      </c>
      <c r="B127" s="157">
        <v>22.21</v>
      </c>
      <c r="C127" s="158">
        <v>8187883</v>
      </c>
    </row>
    <row r="128" spans="1:3" x14ac:dyDescent="0.45">
      <c r="A128" s="156">
        <v>46114</v>
      </c>
      <c r="B128" s="157">
        <v>22.05</v>
      </c>
      <c r="C128" s="158">
        <v>12607232</v>
      </c>
    </row>
    <row r="129" spans="1:3" x14ac:dyDescent="0.45">
      <c r="A129" s="156">
        <v>46113</v>
      </c>
      <c r="B129" s="157">
        <v>21.98</v>
      </c>
      <c r="C129" s="158">
        <v>16654941</v>
      </c>
    </row>
    <row r="130" spans="1:3" x14ac:dyDescent="0.45">
      <c r="A130" s="156">
        <v>46112</v>
      </c>
      <c r="B130" s="157">
        <v>22.69</v>
      </c>
      <c r="C130" s="158">
        <v>42271424</v>
      </c>
    </row>
    <row r="131" spans="1:3" x14ac:dyDescent="0.45">
      <c r="A131" s="156">
        <v>46111</v>
      </c>
      <c r="B131" s="157">
        <v>22.01</v>
      </c>
      <c r="C131" s="158">
        <v>21062673</v>
      </c>
    </row>
    <row r="132" spans="1:3" x14ac:dyDescent="0.45">
      <c r="A132" s="156">
        <v>46108</v>
      </c>
      <c r="B132" s="157">
        <v>21.28</v>
      </c>
      <c r="C132" s="158">
        <v>14841978</v>
      </c>
    </row>
    <row r="133" spans="1:3" x14ac:dyDescent="0.45">
      <c r="A133" s="156">
        <v>46107</v>
      </c>
      <c r="B133" s="157">
        <v>21.74</v>
      </c>
      <c r="C133" s="158">
        <v>14263293</v>
      </c>
    </row>
    <row r="134" spans="1:3" x14ac:dyDescent="0.45">
      <c r="A134" s="156">
        <v>46106</v>
      </c>
      <c r="B134" s="157">
        <v>21.97</v>
      </c>
      <c r="C134" s="158">
        <v>15947695</v>
      </c>
    </row>
    <row r="135" spans="1:3" x14ac:dyDescent="0.45">
      <c r="A135" s="156">
        <v>46105</v>
      </c>
      <c r="B135" s="157">
        <v>22.34</v>
      </c>
      <c r="C135" s="158">
        <v>30889619</v>
      </c>
    </row>
    <row r="136" spans="1:3" x14ac:dyDescent="0.45">
      <c r="A136" s="156">
        <v>46104</v>
      </c>
      <c r="B136" s="157">
        <v>23.95</v>
      </c>
      <c r="C136" s="158">
        <v>14636692</v>
      </c>
    </row>
    <row r="137" spans="1:3" x14ac:dyDescent="0.45">
      <c r="A137" s="156">
        <v>46101</v>
      </c>
      <c r="B137" s="157">
        <v>24.11</v>
      </c>
      <c r="C137" s="158">
        <v>24215557</v>
      </c>
    </row>
    <row r="138" spans="1:3" x14ac:dyDescent="0.45">
      <c r="A138" s="156">
        <v>46100</v>
      </c>
      <c r="B138" s="157">
        <v>23.51</v>
      </c>
      <c r="C138" s="158">
        <v>17502949</v>
      </c>
    </row>
    <row r="139" spans="1:3" x14ac:dyDescent="0.45">
      <c r="A139" s="156">
        <v>46099</v>
      </c>
      <c r="B139" s="157">
        <v>23.55</v>
      </c>
      <c r="C139" s="158">
        <v>36151537</v>
      </c>
    </row>
    <row r="140" spans="1:3" x14ac:dyDescent="0.45">
      <c r="A140" s="156">
        <v>46098</v>
      </c>
      <c r="B140" s="157">
        <v>25.07</v>
      </c>
      <c r="C140" s="158">
        <v>40427160</v>
      </c>
    </row>
    <row r="141" spans="1:3" x14ac:dyDescent="0.45">
      <c r="A141" s="156">
        <v>46097</v>
      </c>
      <c r="B141" s="157">
        <v>27.08</v>
      </c>
      <c r="C141" s="158">
        <v>10875325</v>
      </c>
    </row>
    <row r="142" spans="1:3" x14ac:dyDescent="0.45">
      <c r="A142" s="156">
        <v>46094</v>
      </c>
      <c r="B142" s="157">
        <v>27.34</v>
      </c>
      <c r="C142" s="158">
        <v>12999527</v>
      </c>
    </row>
    <row r="143" spans="1:3" x14ac:dyDescent="0.45">
      <c r="A143" s="156">
        <v>46093</v>
      </c>
      <c r="B143" s="157">
        <v>26.524999999999999</v>
      </c>
      <c r="C143" s="158">
        <v>11827116</v>
      </c>
    </row>
    <row r="144" spans="1:3" x14ac:dyDescent="0.45">
      <c r="A144" s="156">
        <v>46092</v>
      </c>
      <c r="B144" s="157">
        <v>27.28</v>
      </c>
      <c r="C144" s="158">
        <v>12777820</v>
      </c>
    </row>
    <row r="145" spans="1:3" x14ac:dyDescent="0.45">
      <c r="A145" s="156">
        <v>46091</v>
      </c>
      <c r="B145" s="157">
        <v>27.66</v>
      </c>
      <c r="C145" s="158">
        <v>16188603</v>
      </c>
    </row>
    <row r="146" spans="1:3" x14ac:dyDescent="0.45">
      <c r="A146" s="156">
        <v>46090</v>
      </c>
      <c r="B146" s="157">
        <v>28.56</v>
      </c>
      <c r="C146" s="158">
        <v>16131132</v>
      </c>
    </row>
    <row r="147" spans="1:3" x14ac:dyDescent="0.45">
      <c r="A147" s="156">
        <v>46087</v>
      </c>
      <c r="B147" s="157">
        <v>29.28</v>
      </c>
      <c r="C147" s="158">
        <v>29200980</v>
      </c>
    </row>
    <row r="148" spans="1:3" x14ac:dyDescent="0.45">
      <c r="A148" s="156">
        <v>46086</v>
      </c>
      <c r="B148" s="157">
        <v>29.79</v>
      </c>
      <c r="C148" s="158">
        <v>82707390</v>
      </c>
    </row>
    <row r="149" spans="1:3" x14ac:dyDescent="0.45">
      <c r="A149" s="156">
        <v>46085</v>
      </c>
      <c r="B149" s="157">
        <v>25.17</v>
      </c>
      <c r="C149" s="158">
        <v>22542822</v>
      </c>
    </row>
    <row r="150" spans="1:3" x14ac:dyDescent="0.45">
      <c r="A150" s="156">
        <v>46084</v>
      </c>
      <c r="B150" s="158">
        <v>25</v>
      </c>
      <c r="C150" s="158">
        <v>19617033</v>
      </c>
    </row>
    <row r="151" spans="1:3" x14ac:dyDescent="0.45">
      <c r="A151" s="156">
        <v>46083</v>
      </c>
      <c r="B151" s="157">
        <v>24.32</v>
      </c>
      <c r="C151" s="158">
        <v>20259811</v>
      </c>
    </row>
    <row r="152" spans="1:3" x14ac:dyDescent="0.45">
      <c r="A152" s="156">
        <v>46080</v>
      </c>
      <c r="B152" s="157">
        <v>23.82</v>
      </c>
      <c r="C152" s="158">
        <v>23911242</v>
      </c>
    </row>
    <row r="153" spans="1:3" x14ac:dyDescent="0.45">
      <c r="A153" s="156">
        <v>46079</v>
      </c>
      <c r="B153" s="157">
        <v>23.95</v>
      </c>
      <c r="C153" s="158">
        <v>52998587</v>
      </c>
    </row>
    <row r="154" spans="1:3" x14ac:dyDescent="0.45">
      <c r="A154" s="156">
        <v>46078</v>
      </c>
      <c r="B154" s="157">
        <v>25.16</v>
      </c>
      <c r="C154" s="158">
        <v>29451348</v>
      </c>
    </row>
    <row r="155" spans="1:3" x14ac:dyDescent="0.45">
      <c r="A155" s="156">
        <v>46077</v>
      </c>
      <c r="B155" s="157">
        <v>24.94</v>
      </c>
      <c r="C155" s="158">
        <v>11968379</v>
      </c>
    </row>
    <row r="156" spans="1:3" x14ac:dyDescent="0.45">
      <c r="A156" s="156">
        <v>46076</v>
      </c>
      <c r="B156" s="157">
        <v>24.17</v>
      </c>
      <c r="C156" s="158">
        <v>14439022</v>
      </c>
    </row>
    <row r="157" spans="1:3" x14ac:dyDescent="0.45">
      <c r="A157" s="156">
        <v>46073</v>
      </c>
      <c r="B157" s="157">
        <v>25.1</v>
      </c>
      <c r="C157" s="158">
        <v>15338938</v>
      </c>
    </row>
    <row r="158" spans="1:3" x14ac:dyDescent="0.45">
      <c r="A158" s="156">
        <v>46072</v>
      </c>
      <c r="B158" s="157">
        <v>25.24</v>
      </c>
      <c r="C158" s="158">
        <v>20280385</v>
      </c>
    </row>
    <row r="159" spans="1:3" x14ac:dyDescent="0.45">
      <c r="A159" s="156">
        <v>46071</v>
      </c>
      <c r="B159" s="157">
        <v>25.5</v>
      </c>
      <c r="C159" s="158">
        <v>17331278</v>
      </c>
    </row>
    <row r="160" spans="1:3" x14ac:dyDescent="0.45">
      <c r="A160" s="156">
        <v>46070</v>
      </c>
      <c r="B160" s="157">
        <v>25.26</v>
      </c>
      <c r="C160" s="158">
        <v>13547691</v>
      </c>
    </row>
    <row r="161" spans="1:3" x14ac:dyDescent="0.45">
      <c r="A161" s="156">
        <v>46066</v>
      </c>
      <c r="B161" s="157">
        <v>25.81</v>
      </c>
      <c r="C161" s="158">
        <v>13286151</v>
      </c>
    </row>
    <row r="162" spans="1:3" x14ac:dyDescent="0.45">
      <c r="A162" s="156">
        <v>46065</v>
      </c>
      <c r="B162" s="157">
        <v>26.14</v>
      </c>
      <c r="C162" s="158">
        <v>16259265</v>
      </c>
    </row>
    <row r="163" spans="1:3" x14ac:dyDescent="0.45">
      <c r="A163" s="156">
        <v>46064</v>
      </c>
      <c r="B163" s="157">
        <v>27.23</v>
      </c>
      <c r="C163" s="158">
        <v>10270303</v>
      </c>
    </row>
    <row r="164" spans="1:3" x14ac:dyDescent="0.45">
      <c r="A164" s="156">
        <v>46063</v>
      </c>
      <c r="B164" s="157">
        <v>28.13</v>
      </c>
      <c r="C164" s="158">
        <v>13246117</v>
      </c>
    </row>
    <row r="165" spans="1:3" x14ac:dyDescent="0.45">
      <c r="A165" s="156">
        <v>46062</v>
      </c>
      <c r="B165" s="157">
        <v>27.04</v>
      </c>
      <c r="C165" s="158">
        <v>8224940</v>
      </c>
    </row>
    <row r="166" spans="1:3" x14ac:dyDescent="0.45">
      <c r="A166" s="156">
        <v>46059</v>
      </c>
      <c r="B166" s="157">
        <v>27.04</v>
      </c>
      <c r="C166" s="158">
        <v>13597703</v>
      </c>
    </row>
    <row r="167" spans="1:3" x14ac:dyDescent="0.45">
      <c r="A167" s="156">
        <v>46058</v>
      </c>
      <c r="B167" s="157">
        <v>26.24</v>
      </c>
      <c r="C167" s="158">
        <v>22379289</v>
      </c>
    </row>
    <row r="168" spans="1:3" x14ac:dyDescent="0.45">
      <c r="A168" s="156">
        <v>46057</v>
      </c>
      <c r="B168" s="157">
        <v>27.27</v>
      </c>
      <c r="C168" s="158">
        <v>19189536</v>
      </c>
    </row>
    <row r="169" spans="1:3" x14ac:dyDescent="0.45">
      <c r="A169" s="156">
        <v>46056</v>
      </c>
      <c r="B169" s="157">
        <v>27.18</v>
      </c>
      <c r="C169" s="158">
        <v>29647536</v>
      </c>
    </row>
    <row r="170" spans="1:3" x14ac:dyDescent="0.45">
      <c r="A170" s="156">
        <v>46055</v>
      </c>
      <c r="B170" s="157">
        <v>29.75</v>
      </c>
      <c r="C170" s="158">
        <v>14344533</v>
      </c>
    </row>
    <row r="171" spans="1:3" x14ac:dyDescent="0.45">
      <c r="A171" s="156">
        <v>46052</v>
      </c>
      <c r="B171" s="157">
        <v>30.33</v>
      </c>
      <c r="C171" s="158">
        <v>14739736</v>
      </c>
    </row>
    <row r="172" spans="1:3" x14ac:dyDescent="0.45">
      <c r="A172" s="156">
        <v>46051</v>
      </c>
      <c r="B172" s="157">
        <v>31.25</v>
      </c>
      <c r="C172" s="158">
        <v>13680696</v>
      </c>
    </row>
    <row r="173" spans="1:3" x14ac:dyDescent="0.45">
      <c r="A173" s="156">
        <v>46050</v>
      </c>
      <c r="B173" s="157">
        <v>31.87</v>
      </c>
      <c r="C173" s="158">
        <v>9848671</v>
      </c>
    </row>
    <row r="174" spans="1:3" x14ac:dyDescent="0.45">
      <c r="A174" s="156">
        <v>46049</v>
      </c>
      <c r="B174" s="157">
        <v>32.19</v>
      </c>
      <c r="C174" s="158">
        <v>18874841</v>
      </c>
    </row>
    <row r="175" spans="1:3" x14ac:dyDescent="0.45">
      <c r="A175" s="156">
        <v>46048</v>
      </c>
      <c r="B175" s="157">
        <v>33.81</v>
      </c>
      <c r="C175" s="158">
        <v>24784699</v>
      </c>
    </row>
    <row r="176" spans="1:3" x14ac:dyDescent="0.45">
      <c r="A176" s="156">
        <v>46045</v>
      </c>
      <c r="B176" s="157">
        <v>36.549999999999997</v>
      </c>
      <c r="C176" s="158">
        <v>6203272</v>
      </c>
    </row>
    <row r="177" spans="1:3" x14ac:dyDescent="0.45">
      <c r="A177" s="156">
        <v>46044</v>
      </c>
      <c r="B177" s="157">
        <v>36.82</v>
      </c>
      <c r="C177" s="158">
        <v>8293056</v>
      </c>
    </row>
    <row r="178" spans="1:3" x14ac:dyDescent="0.45">
      <c r="A178" s="156">
        <v>46043</v>
      </c>
      <c r="B178" s="157">
        <v>35.33</v>
      </c>
      <c r="C178" s="158">
        <v>9366625</v>
      </c>
    </row>
    <row r="179" spans="1:3" x14ac:dyDescent="0.45">
      <c r="A179" s="156">
        <v>46042</v>
      </c>
      <c r="B179" s="157">
        <v>34.15</v>
      </c>
      <c r="C179" s="158">
        <v>10964372</v>
      </c>
    </row>
    <row r="180" spans="1:3" x14ac:dyDescent="0.45">
      <c r="A180" s="156">
        <v>46038</v>
      </c>
      <c r="B180" s="157">
        <v>35.479999999999997</v>
      </c>
      <c r="C180" s="158">
        <v>12520586</v>
      </c>
    </row>
    <row r="181" spans="1:3" x14ac:dyDescent="0.45">
      <c r="A181" s="156">
        <v>46037</v>
      </c>
      <c r="B181" s="157">
        <v>36.229999999999997</v>
      </c>
      <c r="C181" s="158">
        <v>11334070</v>
      </c>
    </row>
    <row r="182" spans="1:3" x14ac:dyDescent="0.45">
      <c r="A182" s="156">
        <v>46036</v>
      </c>
      <c r="B182" s="157">
        <v>37.130000000000003</v>
      </c>
      <c r="C182" s="158">
        <v>9994459</v>
      </c>
    </row>
    <row r="183" spans="1:3" x14ac:dyDescent="0.45">
      <c r="A183" s="156">
        <v>46035</v>
      </c>
      <c r="B183" s="157">
        <v>37.14</v>
      </c>
      <c r="C183" s="158">
        <v>11829356</v>
      </c>
    </row>
    <row r="184" spans="1:3" x14ac:dyDescent="0.45">
      <c r="A184" s="156">
        <v>46034</v>
      </c>
      <c r="B184" s="157">
        <v>36.9</v>
      </c>
      <c r="C184" s="158">
        <v>11020854</v>
      </c>
    </row>
    <row r="185" spans="1:3" x14ac:dyDescent="0.45">
      <c r="A185" s="156">
        <v>46031</v>
      </c>
      <c r="B185" s="157">
        <v>37.29</v>
      </c>
      <c r="C185" s="158">
        <v>10244811</v>
      </c>
    </row>
    <row r="186" spans="1:3" x14ac:dyDescent="0.45">
      <c r="A186" s="156">
        <v>46030</v>
      </c>
      <c r="B186" s="157">
        <v>37.299999999999997</v>
      </c>
      <c r="C186" s="158">
        <v>12829142</v>
      </c>
    </row>
    <row r="187" spans="1:3" x14ac:dyDescent="0.45">
      <c r="A187" s="156">
        <v>46029</v>
      </c>
      <c r="B187" s="157">
        <v>38.65</v>
      </c>
      <c r="C187" s="158">
        <v>10377280</v>
      </c>
    </row>
    <row r="188" spans="1:3" x14ac:dyDescent="0.45">
      <c r="A188" s="156">
        <v>46028</v>
      </c>
      <c r="B188" s="157">
        <v>39.74</v>
      </c>
      <c r="C188" s="158">
        <v>12163465</v>
      </c>
    </row>
    <row r="189" spans="1:3" x14ac:dyDescent="0.45">
      <c r="A189" s="156">
        <v>46027</v>
      </c>
      <c r="B189" s="157">
        <v>40.11</v>
      </c>
      <c r="C189" s="158">
        <v>14290450</v>
      </c>
    </row>
    <row r="190" spans="1:3" x14ac:dyDescent="0.45">
      <c r="A190" s="156">
        <v>46024</v>
      </c>
      <c r="B190" s="157">
        <v>37.68</v>
      </c>
      <c r="C190" s="158">
        <v>9782568</v>
      </c>
    </row>
    <row r="191" spans="1:3" x14ac:dyDescent="0.45">
      <c r="A191" s="156">
        <v>46022</v>
      </c>
      <c r="B191" s="157">
        <v>37.96</v>
      </c>
      <c r="C191" s="158">
        <v>7624558</v>
      </c>
    </row>
    <row r="192" spans="1:3" x14ac:dyDescent="0.45">
      <c r="A192" s="156">
        <v>46021</v>
      </c>
      <c r="B192" s="157">
        <v>38.119999999999997</v>
      </c>
      <c r="C192" s="158">
        <v>8090208</v>
      </c>
    </row>
    <row r="193" spans="1:3" x14ac:dyDescent="0.45">
      <c r="A193" s="156">
        <v>46020</v>
      </c>
      <c r="B193" s="157">
        <v>38.39</v>
      </c>
      <c r="C193" s="158">
        <v>9907315</v>
      </c>
    </row>
    <row r="194" spans="1:3" x14ac:dyDescent="0.45">
      <c r="A194" s="156">
        <v>46017</v>
      </c>
      <c r="B194" s="157">
        <v>38.31</v>
      </c>
      <c r="C194" s="158">
        <v>6307545</v>
      </c>
    </row>
    <row r="195" spans="1:3" x14ac:dyDescent="0.45">
      <c r="A195" s="156">
        <v>46015</v>
      </c>
      <c r="B195" s="157">
        <v>38.119999999999997</v>
      </c>
      <c r="C195" s="158">
        <v>4208633</v>
      </c>
    </row>
    <row r="196" spans="1:3" x14ac:dyDescent="0.45">
      <c r="A196" s="156">
        <v>46014</v>
      </c>
      <c r="B196" s="157">
        <v>37.44</v>
      </c>
      <c r="C196" s="158">
        <v>9550176</v>
      </c>
    </row>
    <row r="197" spans="1:3" x14ac:dyDescent="0.45">
      <c r="A197" s="156">
        <v>46013</v>
      </c>
      <c r="B197" s="157">
        <v>37.29</v>
      </c>
      <c r="C197" s="158">
        <v>11795019</v>
      </c>
    </row>
    <row r="198" spans="1:3" x14ac:dyDescent="0.45">
      <c r="A198" s="156">
        <v>46010</v>
      </c>
      <c r="B198" s="157">
        <v>37.26</v>
      </c>
      <c r="C198" s="158">
        <v>63754501</v>
      </c>
    </row>
    <row r="199" spans="1:3" x14ac:dyDescent="0.45">
      <c r="A199" s="156">
        <v>46009</v>
      </c>
      <c r="B199" s="157">
        <v>37.29</v>
      </c>
      <c r="C199" s="158">
        <v>10653490</v>
      </c>
    </row>
    <row r="200" spans="1:3" x14ac:dyDescent="0.45">
      <c r="A200" s="156">
        <v>46008</v>
      </c>
      <c r="B200" s="157">
        <v>37.17</v>
      </c>
      <c r="C200" s="158">
        <v>14206298</v>
      </c>
    </row>
    <row r="201" spans="1:3" x14ac:dyDescent="0.45">
      <c r="A201" s="156">
        <v>46007</v>
      </c>
      <c r="B201" s="157">
        <v>36.64</v>
      </c>
      <c r="C201" s="158">
        <v>13116376</v>
      </c>
    </row>
    <row r="202" spans="1:3" x14ac:dyDescent="0.45">
      <c r="A202" s="156">
        <v>46006</v>
      </c>
      <c r="B202" s="157">
        <v>36.19</v>
      </c>
      <c r="C202" s="158">
        <v>17389380</v>
      </c>
    </row>
    <row r="203" spans="1:3" x14ac:dyDescent="0.45">
      <c r="A203" s="156">
        <v>46003</v>
      </c>
      <c r="B203" s="157">
        <v>36.65</v>
      </c>
      <c r="C203" s="158">
        <v>13651046</v>
      </c>
    </row>
    <row r="204" spans="1:3" x14ac:dyDescent="0.45">
      <c r="A204" s="156">
        <v>46002</v>
      </c>
      <c r="B204" s="157">
        <v>37.020000000000003</v>
      </c>
      <c r="C204" s="158">
        <v>21472799</v>
      </c>
    </row>
    <row r="205" spans="1:3" x14ac:dyDescent="0.45">
      <c r="A205" s="156">
        <v>46001</v>
      </c>
      <c r="B205" s="157">
        <v>39.22</v>
      </c>
      <c r="C205" s="158">
        <v>9120588</v>
      </c>
    </row>
    <row r="206" spans="1:3" x14ac:dyDescent="0.45">
      <c r="A206" s="156">
        <v>46000</v>
      </c>
      <c r="B206" s="157">
        <v>39.4</v>
      </c>
      <c r="C206" s="158">
        <v>8764751</v>
      </c>
    </row>
    <row r="207" spans="1:3" x14ac:dyDescent="0.45">
      <c r="A207" s="156">
        <v>45999</v>
      </c>
      <c r="B207" s="157">
        <v>39.35</v>
      </c>
      <c r="C207" s="158">
        <v>10925343</v>
      </c>
    </row>
    <row r="208" spans="1:3" x14ac:dyDescent="0.45">
      <c r="A208" s="156">
        <v>45996</v>
      </c>
      <c r="B208" s="157">
        <v>40.049999999999997</v>
      </c>
      <c r="C208" s="158">
        <v>11322773</v>
      </c>
    </row>
    <row r="209" spans="1:3" x14ac:dyDescent="0.45">
      <c r="A209" s="156">
        <v>45995</v>
      </c>
      <c r="B209" s="157">
        <v>39.35</v>
      </c>
      <c r="C209" s="158">
        <v>13044921</v>
      </c>
    </row>
    <row r="210" spans="1:3" x14ac:dyDescent="0.45">
      <c r="A210" s="156">
        <v>45994</v>
      </c>
      <c r="B210" s="157">
        <v>38.61</v>
      </c>
      <c r="C210" s="158">
        <v>12875820</v>
      </c>
    </row>
    <row r="211" spans="1:3" x14ac:dyDescent="0.45">
      <c r="A211" s="156">
        <v>45993</v>
      </c>
      <c r="B211" s="157">
        <v>39.950000000000003</v>
      </c>
      <c r="C211" s="158">
        <v>9365658</v>
      </c>
    </row>
    <row r="212" spans="1:3" x14ac:dyDescent="0.45">
      <c r="A212" s="156">
        <v>45992</v>
      </c>
      <c r="B212" s="157">
        <v>39.58</v>
      </c>
      <c r="C212" s="158">
        <v>11119213</v>
      </c>
    </row>
    <row r="213" spans="1:3" x14ac:dyDescent="0.45">
      <c r="A213" s="156">
        <v>45989</v>
      </c>
      <c r="B213" s="157">
        <v>39.56</v>
      </c>
      <c r="C213" s="158">
        <v>5248855</v>
      </c>
    </row>
    <row r="214" spans="1:3" x14ac:dyDescent="0.45">
      <c r="A214" s="156">
        <v>45987</v>
      </c>
      <c r="B214" s="157">
        <v>39.11</v>
      </c>
      <c r="C214" s="158">
        <v>12017418</v>
      </c>
    </row>
    <row r="215" spans="1:3" x14ac:dyDescent="0.45">
      <c r="A215" s="156">
        <v>45986</v>
      </c>
      <c r="B215" s="157">
        <v>39.090000000000003</v>
      </c>
      <c r="C215" s="158">
        <v>13823551</v>
      </c>
    </row>
    <row r="216" spans="1:3" x14ac:dyDescent="0.45">
      <c r="A216" s="156">
        <v>45985</v>
      </c>
      <c r="B216" s="157">
        <v>39.06</v>
      </c>
      <c r="C216" s="158">
        <v>15322413</v>
      </c>
    </row>
    <row r="217" spans="1:3" x14ac:dyDescent="0.45">
      <c r="A217" s="156">
        <v>45982</v>
      </c>
      <c r="B217" s="157">
        <v>39.65</v>
      </c>
      <c r="C217" s="158">
        <v>15475416</v>
      </c>
    </row>
    <row r="218" spans="1:3" x14ac:dyDescent="0.45">
      <c r="A218" s="156">
        <v>45981</v>
      </c>
      <c r="B218" s="157">
        <v>38.35</v>
      </c>
      <c r="C218" s="158">
        <v>14808864</v>
      </c>
    </row>
    <row r="219" spans="1:3" x14ac:dyDescent="0.45">
      <c r="A219" s="156">
        <v>45980</v>
      </c>
      <c r="B219" s="157">
        <v>40.19</v>
      </c>
      <c r="C219" s="158">
        <v>11633326</v>
      </c>
    </row>
    <row r="220" spans="1:3" x14ac:dyDescent="0.45">
      <c r="A220" s="156">
        <v>45979</v>
      </c>
      <c r="B220" s="157">
        <v>40.47</v>
      </c>
      <c r="C220" s="158">
        <v>10171599</v>
      </c>
    </row>
    <row r="221" spans="1:3" x14ac:dyDescent="0.45">
      <c r="A221" s="156">
        <v>45978</v>
      </c>
      <c r="B221" s="157">
        <v>40.21</v>
      </c>
      <c r="C221" s="158">
        <v>14631430</v>
      </c>
    </row>
    <row r="222" spans="1:3" x14ac:dyDescent="0.45">
      <c r="A222" s="156">
        <v>45975</v>
      </c>
      <c r="B222" s="157">
        <v>41.93</v>
      </c>
      <c r="C222" s="158">
        <v>11493454</v>
      </c>
    </row>
    <row r="223" spans="1:3" x14ac:dyDescent="0.45">
      <c r="A223" s="156">
        <v>45974</v>
      </c>
      <c r="B223" s="157">
        <v>42.87</v>
      </c>
      <c r="C223" s="158">
        <v>9301208</v>
      </c>
    </row>
    <row r="224" spans="1:3" x14ac:dyDescent="0.45">
      <c r="A224" s="156">
        <v>45973</v>
      </c>
      <c r="B224" s="157">
        <v>43.79</v>
      </c>
      <c r="C224" s="158">
        <v>10335762</v>
      </c>
    </row>
    <row r="225" spans="1:3" x14ac:dyDescent="0.45">
      <c r="A225" s="156">
        <v>45972</v>
      </c>
      <c r="B225" s="157">
        <v>44.2</v>
      </c>
      <c r="C225" s="158">
        <v>13144600</v>
      </c>
    </row>
    <row r="226" spans="1:3" x14ac:dyDescent="0.45">
      <c r="A226" s="156">
        <v>45971</v>
      </c>
      <c r="B226" s="157">
        <v>43.26</v>
      </c>
      <c r="C226" s="158">
        <v>23444557</v>
      </c>
    </row>
    <row r="227" spans="1:3" x14ac:dyDescent="0.45">
      <c r="A227" s="156">
        <v>45968</v>
      </c>
      <c r="B227" s="158">
        <v>43</v>
      </c>
      <c r="C227" s="158">
        <v>34336157</v>
      </c>
    </row>
    <row r="228" spans="1:3" x14ac:dyDescent="0.45">
      <c r="A228" s="156">
        <v>45967</v>
      </c>
      <c r="B228" s="157">
        <v>45.9</v>
      </c>
      <c r="C228" s="158">
        <v>24102066</v>
      </c>
    </row>
    <row r="229" spans="1:3" x14ac:dyDescent="0.45">
      <c r="A229" s="156">
        <v>45966</v>
      </c>
      <c r="B229" s="157">
        <v>47.7</v>
      </c>
      <c r="C229" s="158">
        <v>9982253</v>
      </c>
    </row>
    <row r="230" spans="1:3" x14ac:dyDescent="0.45">
      <c r="A230" s="156">
        <v>45965</v>
      </c>
      <c r="B230" s="157">
        <v>47.24</v>
      </c>
      <c r="C230" s="158">
        <v>8540863</v>
      </c>
    </row>
    <row r="231" spans="1:3" x14ac:dyDescent="0.45">
      <c r="A231" s="156">
        <v>45964</v>
      </c>
      <c r="B231" s="157">
        <v>49.12</v>
      </c>
      <c r="C231" s="158">
        <v>9623239</v>
      </c>
    </row>
    <row r="232" spans="1:3" x14ac:dyDescent="0.45">
      <c r="A232" s="156">
        <v>45961</v>
      </c>
      <c r="B232" s="157">
        <v>50.28</v>
      </c>
      <c r="C232" s="158">
        <v>10012715</v>
      </c>
    </row>
    <row r="233" spans="1:3" x14ac:dyDescent="0.45">
      <c r="A233" s="156">
        <v>45960</v>
      </c>
      <c r="B233" s="157">
        <v>48.97</v>
      </c>
      <c r="C233" s="158">
        <v>7389735</v>
      </c>
    </row>
    <row r="234" spans="1:3" x14ac:dyDescent="0.45">
      <c r="A234" s="156">
        <v>45959</v>
      </c>
      <c r="B234" s="157">
        <v>49.96</v>
      </c>
      <c r="C234" s="158">
        <v>11888286</v>
      </c>
    </row>
    <row r="235" spans="1:3" x14ac:dyDescent="0.45">
      <c r="A235" s="156">
        <v>45958</v>
      </c>
      <c r="B235" s="157">
        <v>51.67</v>
      </c>
      <c r="C235" s="158">
        <v>6958318</v>
      </c>
    </row>
    <row r="236" spans="1:3" x14ac:dyDescent="0.45">
      <c r="A236" s="156">
        <v>45957</v>
      </c>
      <c r="B236" s="157">
        <v>53.61</v>
      </c>
      <c r="C236" s="158">
        <v>10851135</v>
      </c>
    </row>
    <row r="237" spans="1:3" x14ac:dyDescent="0.45">
      <c r="A237" s="156">
        <v>45954</v>
      </c>
      <c r="B237" s="158">
        <v>52</v>
      </c>
      <c r="C237" s="158">
        <v>12294513</v>
      </c>
    </row>
    <row r="238" spans="1:3" x14ac:dyDescent="0.45">
      <c r="A238" s="156">
        <v>45953</v>
      </c>
      <c r="B238" s="157">
        <v>54.13</v>
      </c>
      <c r="C238" s="158">
        <v>5152528</v>
      </c>
    </row>
    <row r="239" spans="1:3" x14ac:dyDescent="0.45">
      <c r="A239" s="156">
        <v>45952</v>
      </c>
      <c r="B239" s="157">
        <v>53.89</v>
      </c>
      <c r="C239" s="158">
        <v>7354479</v>
      </c>
    </row>
    <row r="240" spans="1:3" x14ac:dyDescent="0.45">
      <c r="A240" s="156">
        <v>45951</v>
      </c>
      <c r="B240" s="157">
        <v>53.92</v>
      </c>
      <c r="C240" s="158">
        <v>13123216</v>
      </c>
    </row>
    <row r="241" spans="1:3" x14ac:dyDescent="0.45">
      <c r="A241" s="156">
        <v>45950</v>
      </c>
      <c r="B241" s="157">
        <v>52.494999999999997</v>
      </c>
      <c r="C241" s="158">
        <v>8558789</v>
      </c>
    </row>
    <row r="242" spans="1:3" x14ac:dyDescent="0.45">
      <c r="A242" s="156">
        <v>45947</v>
      </c>
      <c r="B242" s="157">
        <v>49.98</v>
      </c>
      <c r="C242" s="158">
        <v>9224197</v>
      </c>
    </row>
    <row r="243" spans="1:3" x14ac:dyDescent="0.45">
      <c r="A243" s="156">
        <v>45946</v>
      </c>
      <c r="B243" s="157">
        <v>49.9</v>
      </c>
      <c r="C243" s="158">
        <v>8541309</v>
      </c>
    </row>
    <row r="244" spans="1:3" x14ac:dyDescent="0.45">
      <c r="A244" s="156">
        <v>45945</v>
      </c>
      <c r="B244" s="157">
        <v>51.1</v>
      </c>
      <c r="C244" s="158">
        <v>7470317</v>
      </c>
    </row>
    <row r="245" spans="1:3" x14ac:dyDescent="0.45">
      <c r="A245" s="156">
        <v>45944</v>
      </c>
      <c r="B245" s="157">
        <v>50.73</v>
      </c>
      <c r="C245" s="158">
        <v>8133825</v>
      </c>
    </row>
    <row r="246" spans="1:3" x14ac:dyDescent="0.45">
      <c r="A246" s="156">
        <v>45943</v>
      </c>
      <c r="B246" s="157">
        <v>51.274999999999999</v>
      </c>
      <c r="C246" s="158">
        <v>10294648</v>
      </c>
    </row>
    <row r="247" spans="1:3" x14ac:dyDescent="0.45">
      <c r="A247" s="156">
        <v>45940</v>
      </c>
      <c r="B247" s="157">
        <v>52.36</v>
      </c>
      <c r="C247" s="158">
        <v>12452871</v>
      </c>
    </row>
    <row r="248" spans="1:3" x14ac:dyDescent="0.45">
      <c r="A248" s="156">
        <v>45939</v>
      </c>
      <c r="B248" s="157">
        <v>54.09</v>
      </c>
      <c r="C248" s="158">
        <v>9949080</v>
      </c>
    </row>
    <row r="249" spans="1:3" x14ac:dyDescent="0.45">
      <c r="A249" s="156">
        <v>45938</v>
      </c>
      <c r="B249" s="157">
        <v>54.07</v>
      </c>
      <c r="C249" s="158">
        <v>10859154</v>
      </c>
    </row>
    <row r="250" spans="1:3" x14ac:dyDescent="0.45">
      <c r="A250" s="156">
        <v>45937</v>
      </c>
      <c r="B250" s="157">
        <v>53.49</v>
      </c>
      <c r="C250" s="158">
        <v>17831481</v>
      </c>
    </row>
    <row r="251" spans="1:3" x14ac:dyDescent="0.45">
      <c r="A251" s="156">
        <v>45936</v>
      </c>
      <c r="B251" s="157">
        <v>53.14</v>
      </c>
      <c r="C251" s="158">
        <v>12580026</v>
      </c>
    </row>
    <row r="252" spans="1:3" x14ac:dyDescent="0.45">
      <c r="A252" s="156">
        <v>45933</v>
      </c>
      <c r="B252" s="157">
        <v>51.55</v>
      </c>
      <c r="C252" s="158">
        <v>11935934</v>
      </c>
    </row>
    <row r="253" spans="1:3" x14ac:dyDescent="0.45">
      <c r="A253" s="159"/>
      <c r="B253" s="159"/>
      <c r="C253" s="159"/>
    </row>
  </sheetData>
  <mergeCells count="1">
    <mergeCell ref="A253:C253"/>
  </mergeCells>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Guide</vt:lpstr>
      <vt:lpstr>Summary</vt:lpstr>
      <vt:lpstr>Drivers</vt:lpstr>
      <vt:lpstr>Income Statement</vt:lpstr>
      <vt:lpstr>Balance Sheet</vt:lpstr>
      <vt:lpstr>Cash Flow</vt:lpstr>
      <vt:lpstr>CF YTD Inputs</vt:lpstr>
      <vt:lpstr>10-K Data</vt:lpstr>
      <vt:lpstr>Checks</vt:lpstr>
      <vt:lpstr>Comps</vt:lpstr>
      <vt:lpstr>Valuation Comps</vt:lpstr>
      <vt:lpstr>Infra Trend</vt:lpstr>
      <vt:lpstr>DCF</vt:lpstr>
      <vt:lpstr>Multiples Trade</vt:lpstr>
      <vt:lpstr>PubMatic Data</vt:lpstr>
      <vt:lpstr>Trade Deck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Andrew Hromada</cp:lastModifiedBy>
  <cp:revision>0</cp:revision>
  <dcterms:created xsi:type="dcterms:W3CDTF">2026-10-01T01:40:52Z</dcterms:created>
  <dcterms:modified xsi:type="dcterms:W3CDTF">2026-10-03T21:52:30Z</dcterms:modified>
  <dc:language>en-US</dc:language>
</cp:coreProperties>
</file>