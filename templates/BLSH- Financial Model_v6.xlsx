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d94eb2d2262879f/Desktop/BLSH/"/>
    </mc:Choice>
  </mc:AlternateContent>
  <xr:revisionPtr revIDLastSave="31" documentId="8_{D5C347BF-0CB1-4138-8781-A05A434E7F75}" xr6:coauthVersionLast="47" xr6:coauthVersionMax="47" xr10:uidLastSave="{94CDB424-8183-4B47-AD85-3190AD3136A8}"/>
  <bookViews>
    <workbookView xWindow="-98" yWindow="-98" windowWidth="21795" windowHeight="12975" tabRatio="500" xr2:uid="{00000000-000D-0000-FFFF-FFFF00000000}"/>
  </bookViews>
  <sheets>
    <sheet name="Summary" sheetId="2" r:id="rId1"/>
    <sheet name="Valuation" sheetId="9" r:id="rId2"/>
    <sheet name="P&amp;L" sheetId="17" r:id="rId3"/>
    <sheet name="Revenue Build" sheetId="6" r:id="rId4"/>
    <sheet name="Scenario &amp; Sensitivity" sheetId="10" r:id="rId5"/>
    <sheet name="P&amp;L Inputs &gt;&gt;" sheetId="18" r:id="rId6"/>
    <sheet name="Income Statement" sheetId="3" r:id="rId7"/>
    <sheet name="Balance Sheet" sheetId="4" r:id="rId8"/>
    <sheet name="Cash Flow Statement" sheetId="5" r:id="rId9"/>
    <sheet name="Rev Build Inputs &gt;&gt;" sheetId="15" r:id="rId10"/>
    <sheet name="Monthly Metrics" sheetId="13" r:id="rId11"/>
    <sheet name="Volatility Cycle Timeline" sheetId="14" r:id="rId12"/>
    <sheet name="Valuation Inputs &gt;&gt;" sheetId="19" r:id="rId13"/>
    <sheet name="Comps" sheetId="7" r:id="rId14"/>
    <sheet name="DCF" sheetId="8" r:id="rId15"/>
    <sheet name="11. Model vs. Street" sheetId="11" r:id="rId16"/>
    <sheet name="12. Historical Tracker" sheetId="12" r:id="rId1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0">'Monthly Metrics'!$A$1:$Q$37</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9" l="1"/>
  <c r="R50" i="4"/>
  <c r="Q50" i="4"/>
  <c r="P50" i="4"/>
  <c r="O50" i="4"/>
  <c r="N50" i="4"/>
  <c r="M50" i="4"/>
  <c r="L50" i="4"/>
  <c r="K50" i="4"/>
  <c r="J50" i="4"/>
  <c r="J51" i="4" s="1"/>
  <c r="S50" i="4"/>
  <c r="S30" i="4"/>
  <c r="S17" i="4"/>
  <c r="U18" i="17"/>
  <c r="V18" i="17"/>
  <c r="W18" i="17"/>
  <c r="X18" i="17"/>
  <c r="Y18" i="17"/>
  <c r="Z18" i="17"/>
  <c r="AA18" i="17"/>
  <c r="AB18" i="17"/>
  <c r="AC18" i="17"/>
  <c r="AD18" i="17"/>
  <c r="AE18" i="17"/>
  <c r="AF18" i="17"/>
  <c r="AG18" i="17"/>
  <c r="T18" i="17"/>
  <c r="N21" i="17"/>
  <c r="O21" i="17"/>
  <c r="P21" i="17"/>
  <c r="R21" i="17"/>
  <c r="S21" i="17"/>
  <c r="K15" i="17"/>
  <c r="L15" i="17"/>
  <c r="M15" i="17"/>
  <c r="N15" i="17"/>
  <c r="O15" i="17"/>
  <c r="P15" i="17"/>
  <c r="Q15" i="17"/>
  <c r="R15" i="17"/>
  <c r="S15" i="17"/>
  <c r="K17" i="17"/>
  <c r="L17" i="17"/>
  <c r="M17" i="17"/>
  <c r="N17" i="17"/>
  <c r="O17" i="17"/>
  <c r="P17" i="17"/>
  <c r="Q17" i="17"/>
  <c r="R17" i="17"/>
  <c r="S17" i="17"/>
  <c r="K19" i="17"/>
  <c r="L19" i="17"/>
  <c r="M19" i="17"/>
  <c r="N19" i="17"/>
  <c r="O19" i="17"/>
  <c r="P19" i="17"/>
  <c r="Q19" i="17"/>
  <c r="R19" i="17"/>
  <c r="S19" i="17"/>
  <c r="J19" i="17"/>
  <c r="J17" i="17"/>
  <c r="J15" i="17"/>
  <c r="J21" i="17" s="1"/>
  <c r="S86" i="3"/>
  <c r="S85" i="3"/>
  <c r="S83" i="3"/>
  <c r="S82" i="3"/>
  <c r="S81" i="3"/>
  <c r="S80" i="3"/>
  <c r="S74" i="3"/>
  <c r="S65" i="3"/>
  <c r="S84" i="3" s="1"/>
  <c r="S64" i="3"/>
  <c r="S63" i="3"/>
  <c r="S62" i="3"/>
  <c r="S61" i="3"/>
  <c r="S57" i="3"/>
  <c r="S56" i="3"/>
  <c r="S55" i="3"/>
  <c r="S54" i="3"/>
  <c r="S53" i="3"/>
  <c r="S51" i="3"/>
  <c r="S41" i="3"/>
  <c r="S10" i="17" s="1"/>
  <c r="S35" i="3"/>
  <c r="S34" i="3"/>
  <c r="S33" i="3"/>
  <c r="I17" i="6"/>
  <c r="J17" i="6" s="1"/>
  <c r="K17" i="6" s="1"/>
  <c r="L17" i="6" s="1"/>
  <c r="M17" i="6" s="1"/>
  <c r="N17" i="6" s="1"/>
  <c r="O17" i="6" s="1"/>
  <c r="P17" i="6" s="1"/>
  <c r="Q17" i="6" s="1"/>
  <c r="R17" i="6" s="1"/>
  <c r="S17" i="6" s="1"/>
  <c r="T17" i="6" s="1"/>
  <c r="U17" i="6" s="1"/>
  <c r="V17" i="6" s="1"/>
  <c r="I18" i="6"/>
  <c r="J18" i="6"/>
  <c r="K18" i="6" s="1"/>
  <c r="L18" i="6" s="1"/>
  <c r="M18" i="6" s="1"/>
  <c r="N18" i="6" s="1"/>
  <c r="O18" i="6" s="1"/>
  <c r="P18" i="6" s="1"/>
  <c r="Q18" i="6" s="1"/>
  <c r="R18" i="6" s="1"/>
  <c r="S18" i="6" s="1"/>
  <c r="T18" i="6" s="1"/>
  <c r="U18" i="6" s="1"/>
  <c r="V18" i="6" s="1"/>
  <c r="I16" i="6"/>
  <c r="J16" i="6" s="1"/>
  <c r="K16" i="6" s="1"/>
  <c r="L16" i="6" s="1"/>
  <c r="M16" i="6" s="1"/>
  <c r="N16" i="6" s="1"/>
  <c r="O16" i="6" s="1"/>
  <c r="P16" i="6" s="1"/>
  <c r="Q16" i="6" s="1"/>
  <c r="R16" i="6" s="1"/>
  <c r="S16" i="6" s="1"/>
  <c r="T16" i="6" s="1"/>
  <c r="U16" i="6" s="1"/>
  <c r="V16" i="6" s="1"/>
  <c r="V22" i="13"/>
  <c r="V23" i="13" s="1"/>
  <c r="W22" i="13"/>
  <c r="W23" i="13" s="1"/>
  <c r="X22" i="13"/>
  <c r="X23" i="13" s="1"/>
  <c r="Y22" i="13"/>
  <c r="Y23" i="13" s="1"/>
  <c r="Z22" i="13"/>
  <c r="Z23" i="13" s="1"/>
  <c r="C12" i="10"/>
  <c r="E7" i="10" s="1"/>
  <c r="D9" i="10"/>
  <c r="E9" i="10" s="1"/>
  <c r="F9" i="10" s="1"/>
  <c r="D6" i="10"/>
  <c r="E6" i="10" s="1"/>
  <c r="F6" i="10" s="1"/>
  <c r="F35" i="7"/>
  <c r="G35" i="7"/>
  <c r="H35" i="7"/>
  <c r="I35" i="7"/>
  <c r="J35" i="7"/>
  <c r="K35" i="7"/>
  <c r="L35" i="7"/>
  <c r="M35" i="7"/>
  <c r="N35" i="7"/>
  <c r="O35" i="7"/>
  <c r="P35" i="7"/>
  <c r="E35" i="7"/>
  <c r="F34" i="7"/>
  <c r="G34" i="7"/>
  <c r="H34" i="7"/>
  <c r="I34" i="7"/>
  <c r="J34" i="7"/>
  <c r="K34" i="7"/>
  <c r="L34" i="7"/>
  <c r="M34" i="7"/>
  <c r="N34" i="7"/>
  <c r="O34" i="7"/>
  <c r="P34" i="7"/>
  <c r="E34" i="7"/>
  <c r="P53" i="7"/>
  <c r="O53" i="7"/>
  <c r="N53" i="7"/>
  <c r="M53" i="7"/>
  <c r="L53" i="7"/>
  <c r="K53" i="7"/>
  <c r="J53" i="7"/>
  <c r="I53" i="7"/>
  <c r="H53" i="7"/>
  <c r="G53" i="7"/>
  <c r="F53" i="7"/>
  <c r="E53" i="7"/>
  <c r="P52" i="7"/>
  <c r="O52" i="7"/>
  <c r="N52" i="7"/>
  <c r="M52" i="7"/>
  <c r="L52" i="7"/>
  <c r="K52" i="7"/>
  <c r="J52" i="7"/>
  <c r="I52" i="7"/>
  <c r="H52" i="7"/>
  <c r="G52" i="7"/>
  <c r="F52" i="7"/>
  <c r="E52" i="7"/>
  <c r="P44" i="7"/>
  <c r="O44" i="7"/>
  <c r="N44" i="7"/>
  <c r="M44" i="7"/>
  <c r="L44" i="7"/>
  <c r="K44" i="7"/>
  <c r="J44" i="7"/>
  <c r="I44" i="7"/>
  <c r="H44" i="7"/>
  <c r="G44" i="7"/>
  <c r="F44" i="7"/>
  <c r="E44" i="7"/>
  <c r="P39" i="7"/>
  <c r="O39" i="7"/>
  <c r="N39" i="7"/>
  <c r="M39" i="7"/>
  <c r="L39" i="7"/>
  <c r="K39" i="7"/>
  <c r="J39" i="7"/>
  <c r="I39" i="7"/>
  <c r="H39" i="7"/>
  <c r="G39" i="7"/>
  <c r="F39" i="7"/>
  <c r="E39" i="7"/>
  <c r="P26" i="7"/>
  <c r="O26" i="7"/>
  <c r="N26" i="7"/>
  <c r="M26" i="7"/>
  <c r="L26" i="7"/>
  <c r="K26" i="7"/>
  <c r="J26" i="7"/>
  <c r="I26" i="7"/>
  <c r="H26" i="7"/>
  <c r="G26" i="7"/>
  <c r="F26" i="7"/>
  <c r="E26" i="7"/>
  <c r="P25" i="7"/>
  <c r="O25" i="7"/>
  <c r="N25" i="7"/>
  <c r="M25" i="7"/>
  <c r="L25" i="7"/>
  <c r="K25" i="7"/>
  <c r="J25" i="7"/>
  <c r="I25" i="7"/>
  <c r="H25" i="7"/>
  <c r="G25" i="7"/>
  <c r="F25" i="7"/>
  <c r="E25" i="7"/>
  <c r="P14" i="7"/>
  <c r="O14" i="7"/>
  <c r="N14" i="7"/>
  <c r="M14" i="7"/>
  <c r="L14" i="7"/>
  <c r="K14" i="7"/>
  <c r="J14" i="7"/>
  <c r="I14" i="7"/>
  <c r="H14" i="7"/>
  <c r="G14" i="7"/>
  <c r="F14" i="7"/>
  <c r="E14" i="7"/>
  <c r="P13" i="7"/>
  <c r="O13" i="7"/>
  <c r="N13" i="7"/>
  <c r="M13" i="7"/>
  <c r="L13" i="7"/>
  <c r="K13" i="7"/>
  <c r="J13" i="7"/>
  <c r="I13" i="7"/>
  <c r="H13" i="7"/>
  <c r="G13" i="7"/>
  <c r="F13" i="7"/>
  <c r="E13" i="7"/>
  <c r="C5" i="8"/>
  <c r="D5" i="8" s="1"/>
  <c r="E5" i="8" s="1"/>
  <c r="F5" i="8" s="1"/>
  <c r="G5" i="8" s="1"/>
  <c r="G14" i="8" s="1"/>
  <c r="C22" i="2"/>
  <c r="C24" i="2"/>
  <c r="C25" i="2"/>
  <c r="C9" i="2"/>
  <c r="C10" i="2" s="1"/>
  <c r="E44" i="17"/>
  <c r="E31" i="17"/>
  <c r="E37" i="17" s="1"/>
  <c r="F29" i="17"/>
  <c r="G29" i="17" s="1"/>
  <c r="H29" i="17" s="1"/>
  <c r="F27" i="17"/>
  <c r="D11" i="17"/>
  <c r="C11" i="17"/>
  <c r="R10" i="17"/>
  <c r="Q10" i="17"/>
  <c r="P10" i="17"/>
  <c r="O10" i="17"/>
  <c r="N10" i="17"/>
  <c r="M10" i="17"/>
  <c r="L10" i="17"/>
  <c r="K10" i="17"/>
  <c r="J7" i="17"/>
  <c r="K5" i="17"/>
  <c r="K7" i="17" s="1"/>
  <c r="J4" i="17"/>
  <c r="G31" i="6"/>
  <c r="G35" i="6" s="1"/>
  <c r="D18" i="10"/>
  <c r="E18" i="10" s="1"/>
  <c r="F18" i="10" s="1"/>
  <c r="D15" i="10"/>
  <c r="E15" i="10" s="1"/>
  <c r="F15" i="10" s="1"/>
  <c r="I32" i="6"/>
  <c r="J32" i="6"/>
  <c r="K32" i="6"/>
  <c r="L32" i="6"/>
  <c r="M32" i="6"/>
  <c r="N32" i="6"/>
  <c r="O32" i="6"/>
  <c r="P32" i="6"/>
  <c r="Q32" i="6"/>
  <c r="R32" i="6"/>
  <c r="S32" i="6"/>
  <c r="T32" i="6"/>
  <c r="U32" i="6"/>
  <c r="V32" i="6"/>
  <c r="H32" i="6"/>
  <c r="C25" i="10"/>
  <c r="D22" i="10"/>
  <c r="H24" i="10"/>
  <c r="D24" i="10"/>
  <c r="D25" i="10"/>
  <c r="E25" i="10"/>
  <c r="F25" i="10"/>
  <c r="E22" i="10"/>
  <c r="F22" i="10"/>
  <c r="H22" i="10"/>
  <c r="W18" i="3"/>
  <c r="W20" i="3" s="1"/>
  <c r="W47" i="3" s="1"/>
  <c r="X18" i="3"/>
  <c r="X20" i="3" s="1"/>
  <c r="X47" i="3" s="1"/>
  <c r="Y18" i="3"/>
  <c r="Y20" i="3" s="1"/>
  <c r="Y47" i="3" s="1"/>
  <c r="Z18" i="3"/>
  <c r="Z20" i="3" s="1"/>
  <c r="Z47" i="3" s="1"/>
  <c r="AA18" i="3"/>
  <c r="AA20" i="3" s="1"/>
  <c r="AA47" i="3" s="1"/>
  <c r="AB18" i="3"/>
  <c r="AB20" i="3" s="1"/>
  <c r="AB47" i="3" s="1"/>
  <c r="AC18" i="3"/>
  <c r="AC20" i="3" s="1"/>
  <c r="AC47" i="3" s="1"/>
  <c r="AD18" i="3"/>
  <c r="AD20" i="3" s="1"/>
  <c r="AD47" i="3" s="1"/>
  <c r="AE18" i="3"/>
  <c r="AE20" i="3" s="1"/>
  <c r="AE47" i="3" s="1"/>
  <c r="AF18" i="3"/>
  <c r="AF20" i="3" s="1"/>
  <c r="AF47" i="3" s="1"/>
  <c r="AG18" i="3"/>
  <c r="AG20" i="3" s="1"/>
  <c r="AG47" i="3" s="1"/>
  <c r="W30" i="3"/>
  <c r="W32" i="3" s="1"/>
  <c r="X30" i="3"/>
  <c r="X32" i="3" s="1"/>
  <c r="Y30" i="3"/>
  <c r="Y32" i="3" s="1"/>
  <c r="Z30" i="3"/>
  <c r="Z32" i="3" s="1"/>
  <c r="AA30" i="3"/>
  <c r="AA32" i="3" s="1"/>
  <c r="AB30" i="3"/>
  <c r="AB32" i="3" s="1"/>
  <c r="AC30" i="3"/>
  <c r="AC32" i="3" s="1"/>
  <c r="AD30" i="3"/>
  <c r="AD32" i="3" s="1"/>
  <c r="AE30" i="3"/>
  <c r="AE32" i="3" s="1"/>
  <c r="AF30" i="3"/>
  <c r="AF32" i="3" s="1"/>
  <c r="AG30" i="3"/>
  <c r="AG32" i="3" s="1"/>
  <c r="W36" i="3"/>
  <c r="X36" i="3"/>
  <c r="Y36" i="3"/>
  <c r="Z36" i="3"/>
  <c r="AA36" i="3"/>
  <c r="AB36" i="3"/>
  <c r="AC36" i="3"/>
  <c r="AD36" i="3"/>
  <c r="AE36" i="3"/>
  <c r="AF36" i="3"/>
  <c r="AG36" i="3"/>
  <c r="W49" i="3"/>
  <c r="X49" i="3"/>
  <c r="Y49" i="3"/>
  <c r="Z49" i="3"/>
  <c r="AA49" i="3"/>
  <c r="AB49" i="3"/>
  <c r="AC49" i="3"/>
  <c r="AD49" i="3"/>
  <c r="AE49" i="3"/>
  <c r="AF49" i="3"/>
  <c r="AG49" i="3"/>
  <c r="W52" i="3"/>
  <c r="X52" i="3"/>
  <c r="Y52" i="3"/>
  <c r="Z52" i="3"/>
  <c r="AA52" i="3"/>
  <c r="AB52" i="3"/>
  <c r="AC52" i="3"/>
  <c r="AD52" i="3"/>
  <c r="AE52" i="3"/>
  <c r="AF52" i="3"/>
  <c r="AG52" i="3"/>
  <c r="W53" i="3"/>
  <c r="X53" i="3"/>
  <c r="Y53" i="3"/>
  <c r="Z53" i="3"/>
  <c r="AA53" i="3"/>
  <c r="AB53" i="3"/>
  <c r="AC53" i="3"/>
  <c r="AD53" i="3"/>
  <c r="AE53" i="3"/>
  <c r="AF53" i="3"/>
  <c r="AG53" i="3"/>
  <c r="W58" i="3"/>
  <c r="X58" i="3"/>
  <c r="Y58" i="3"/>
  <c r="Z58" i="3"/>
  <c r="AA58" i="3"/>
  <c r="AB58" i="3"/>
  <c r="AC58" i="3"/>
  <c r="AD58" i="3"/>
  <c r="AE58" i="3"/>
  <c r="AF58" i="3"/>
  <c r="AG58" i="3"/>
  <c r="W59" i="3"/>
  <c r="X59" i="3"/>
  <c r="Y59" i="3"/>
  <c r="Z59" i="3"/>
  <c r="AA59" i="3"/>
  <c r="AB59" i="3"/>
  <c r="AC59" i="3"/>
  <c r="AD59" i="3"/>
  <c r="AE59" i="3"/>
  <c r="AF59" i="3"/>
  <c r="AG59" i="3"/>
  <c r="W60" i="3"/>
  <c r="X60" i="3"/>
  <c r="Y60" i="3"/>
  <c r="Z60" i="3"/>
  <c r="AA60" i="3"/>
  <c r="AB60" i="3"/>
  <c r="AC60" i="3"/>
  <c r="AD60" i="3"/>
  <c r="AE60" i="3"/>
  <c r="AF60" i="3"/>
  <c r="AG60" i="3"/>
  <c r="W67" i="3"/>
  <c r="X67" i="3"/>
  <c r="Y67" i="3"/>
  <c r="Z67" i="3"/>
  <c r="AA67" i="3"/>
  <c r="AB67" i="3"/>
  <c r="AC67" i="3"/>
  <c r="AD67" i="3"/>
  <c r="AE67" i="3"/>
  <c r="AF67" i="3"/>
  <c r="AG67" i="3"/>
  <c r="W72" i="3"/>
  <c r="X72" i="3"/>
  <c r="Y72" i="3"/>
  <c r="Z72" i="3"/>
  <c r="AA72" i="3"/>
  <c r="AB72" i="3"/>
  <c r="AC72" i="3"/>
  <c r="AD72" i="3"/>
  <c r="AE72" i="3"/>
  <c r="AF72" i="3"/>
  <c r="AG72" i="3"/>
  <c r="W73" i="3"/>
  <c r="X73" i="3"/>
  <c r="Y73" i="3"/>
  <c r="Z73" i="3"/>
  <c r="AA73" i="3"/>
  <c r="AB73" i="3"/>
  <c r="AC73" i="3"/>
  <c r="AD73" i="3"/>
  <c r="AE73" i="3"/>
  <c r="AF73" i="3"/>
  <c r="AG73" i="3"/>
  <c r="W79" i="3"/>
  <c r="W87" i="3" s="1"/>
  <c r="X79" i="3"/>
  <c r="Y79" i="3"/>
  <c r="Z79" i="3"/>
  <c r="AA79" i="3"/>
  <c r="AA87" i="3" s="1"/>
  <c r="AB79" i="3"/>
  <c r="AC79" i="3"/>
  <c r="AC87" i="3" s="1"/>
  <c r="AD79" i="3"/>
  <c r="AE79" i="3"/>
  <c r="AF79" i="3"/>
  <c r="AF87" i="3" s="1"/>
  <c r="AG79" i="3"/>
  <c r="W84" i="3"/>
  <c r="X84" i="3"/>
  <c r="Y84" i="3"/>
  <c r="Z84" i="3"/>
  <c r="AA84" i="3"/>
  <c r="AB84" i="3"/>
  <c r="AC84" i="3"/>
  <c r="AD84" i="3"/>
  <c r="AE84" i="3"/>
  <c r="AF84" i="3"/>
  <c r="AG84" i="3"/>
  <c r="J3" i="3"/>
  <c r="J6" i="3"/>
  <c r="C21" i="10" s="1"/>
  <c r="C20" i="10" s="1"/>
  <c r="L6" i="5"/>
  <c r="L5" i="5" s="1"/>
  <c r="K8" i="5"/>
  <c r="K6" i="5"/>
  <c r="K5" i="5" s="1"/>
  <c r="J8" i="5"/>
  <c r="C7" i="6"/>
  <c r="J18" i="3"/>
  <c r="J20" i="3" s="1"/>
  <c r="J47" i="3" s="1"/>
  <c r="G26" i="6"/>
  <c r="D26" i="6"/>
  <c r="E26" i="6"/>
  <c r="F26" i="6"/>
  <c r="C26" i="6"/>
  <c r="Q33" i="3"/>
  <c r="M33" i="3"/>
  <c r="P33" i="3"/>
  <c r="L33" i="3"/>
  <c r="O33" i="3"/>
  <c r="J42" i="3"/>
  <c r="J41" i="3"/>
  <c r="C22" i="10" s="1"/>
  <c r="J35" i="3"/>
  <c r="J34" i="3"/>
  <c r="K33" i="3"/>
  <c r="J33" i="3" s="1"/>
  <c r="J30" i="3"/>
  <c r="J31" i="3"/>
  <c r="J49" i="3" s="1"/>
  <c r="R33" i="3"/>
  <c r="R18" i="3"/>
  <c r="R20" i="3" s="1"/>
  <c r="R47" i="3" s="1"/>
  <c r="Q18" i="3"/>
  <c r="Q20" i="3" s="1"/>
  <c r="Q47" i="3" s="1"/>
  <c r="P18" i="3"/>
  <c r="P20" i="3" s="1"/>
  <c r="P47" i="3" s="1"/>
  <c r="O18" i="3"/>
  <c r="O20" i="3" s="1"/>
  <c r="O47" i="3" s="1"/>
  <c r="N18" i="3"/>
  <c r="N20" i="3" s="1"/>
  <c r="M18" i="3"/>
  <c r="M20" i="3" s="1"/>
  <c r="M47" i="3" s="1"/>
  <c r="L18" i="3"/>
  <c r="L20" i="3" s="1"/>
  <c r="L47" i="3" s="1"/>
  <c r="K18" i="3"/>
  <c r="K24" i="5"/>
  <c r="K35" i="5" s="1"/>
  <c r="K56" i="5" s="1"/>
  <c r="K59" i="5" s="1"/>
  <c r="O72" i="3"/>
  <c r="O30" i="3"/>
  <c r="O32" i="3" s="1"/>
  <c r="K60" i="3"/>
  <c r="K30" i="3"/>
  <c r="K32" i="3" s="1"/>
  <c r="L30" i="3"/>
  <c r="L32" i="3" s="1"/>
  <c r="M30" i="3"/>
  <c r="M32" i="3" s="1"/>
  <c r="N30" i="3"/>
  <c r="N32" i="3" s="1"/>
  <c r="P30" i="3"/>
  <c r="P32" i="3" s="1"/>
  <c r="Q30" i="3"/>
  <c r="Q32" i="3" s="1"/>
  <c r="R30" i="3"/>
  <c r="R32" i="3" s="1"/>
  <c r="S30" i="3"/>
  <c r="S32" i="3" s="1"/>
  <c r="T30" i="3"/>
  <c r="T32" i="3" s="1"/>
  <c r="U30" i="3"/>
  <c r="U32" i="3" s="1"/>
  <c r="K36" i="3"/>
  <c r="J36" i="3" s="1"/>
  <c r="L36" i="3"/>
  <c r="M36" i="3"/>
  <c r="N36" i="3"/>
  <c r="O36" i="3"/>
  <c r="P36" i="3"/>
  <c r="Q36" i="3"/>
  <c r="R36" i="3"/>
  <c r="S36" i="3"/>
  <c r="T36" i="3"/>
  <c r="U36" i="3"/>
  <c r="V32" i="13"/>
  <c r="V34" i="13" s="1"/>
  <c r="W32" i="13"/>
  <c r="X32" i="13"/>
  <c r="Y32" i="13"/>
  <c r="Z32" i="13"/>
  <c r="AA32" i="13"/>
  <c r="AB32" i="13"/>
  <c r="AC32" i="13"/>
  <c r="AD32" i="13"/>
  <c r="AE32" i="13"/>
  <c r="AF32" i="13"/>
  <c r="AG32" i="13"/>
  <c r="AH32" i="13"/>
  <c r="AI32" i="13"/>
  <c r="AI34" i="13" s="1"/>
  <c r="AJ32" i="13"/>
  <c r="AK32" i="13"/>
  <c r="AL32" i="13"/>
  <c r="AM32" i="13"/>
  <c r="AN32" i="13"/>
  <c r="AO32" i="13"/>
  <c r="AP32" i="13"/>
  <c r="AQ32" i="13"/>
  <c r="AR32" i="13"/>
  <c r="AS32" i="13"/>
  <c r="AT32" i="13"/>
  <c r="AT34" i="13" s="1"/>
  <c r="AU32" i="13"/>
  <c r="AU34" i="13" s="1"/>
  <c r="AV32" i="13"/>
  <c r="AW32" i="13"/>
  <c r="AX32" i="13"/>
  <c r="AY32" i="13"/>
  <c r="AZ32" i="13"/>
  <c r="BA32" i="13"/>
  <c r="BB32" i="13"/>
  <c r="BC32" i="13"/>
  <c r="BD32" i="13"/>
  <c r="BE32" i="13"/>
  <c r="BF32" i="13"/>
  <c r="BF34" i="13" s="1"/>
  <c r="BG32" i="13"/>
  <c r="BG34" i="13" s="1"/>
  <c r="BH32" i="13"/>
  <c r="BI32" i="13"/>
  <c r="BJ32"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U33" i="13"/>
  <c r="U32" i="13"/>
  <c r="U34" i="13" s="1"/>
  <c r="BJ13" i="14"/>
  <c r="BI13" i="14"/>
  <c r="BH13" i="14"/>
  <c r="BG13" i="14"/>
  <c r="BF13" i="14"/>
  <c r="BE13" i="14"/>
  <c r="BD13" i="14"/>
  <c r="BC13" i="14"/>
  <c r="BB13" i="14"/>
  <c r="BA13" i="14"/>
  <c r="AZ13" i="14"/>
  <c r="AY13" i="14"/>
  <c r="AX13" i="14"/>
  <c r="AW13" i="14"/>
  <c r="AV13" i="14"/>
  <c r="AU13" i="14"/>
  <c r="AT13" i="14"/>
  <c r="AS13" i="14"/>
  <c r="AR13" i="14"/>
  <c r="AQ13" i="14"/>
  <c r="AP13" i="14"/>
  <c r="AO13" i="14"/>
  <c r="AN13" i="14"/>
  <c r="AM13" i="14"/>
  <c r="AL13" i="14"/>
  <c r="AK13" i="14"/>
  <c r="AJ13" i="14"/>
  <c r="AI13" i="14"/>
  <c r="AH13" i="14"/>
  <c r="AG13" i="14"/>
  <c r="AF13" i="14"/>
  <c r="AE13" i="14"/>
  <c r="AD13" i="14"/>
  <c r="AC13" i="14"/>
  <c r="AB13" i="14"/>
  <c r="AA13" i="14"/>
  <c r="Z13" i="14"/>
  <c r="Y13" i="14"/>
  <c r="X13" i="14"/>
  <c r="W13" i="14"/>
  <c r="V13" i="14"/>
  <c r="U13" i="14"/>
  <c r="T13" i="14"/>
  <c r="S13" i="14"/>
  <c r="R13" i="14"/>
  <c r="Q13" i="14"/>
  <c r="P13" i="14"/>
  <c r="O13" i="14"/>
  <c r="N13" i="14"/>
  <c r="M13" i="14"/>
  <c r="L13" i="14"/>
  <c r="K13" i="14"/>
  <c r="J13" i="14"/>
  <c r="I13" i="14"/>
  <c r="H13" i="14"/>
  <c r="G13" i="14"/>
  <c r="F13" i="14"/>
  <c r="E13" i="14"/>
  <c r="D13" i="14"/>
  <c r="C13" i="14"/>
  <c r="D5" i="6"/>
  <c r="D6" i="6" s="1"/>
  <c r="C43" i="13"/>
  <c r="C44" i="13"/>
  <c r="D34" i="13"/>
  <c r="E34" i="13"/>
  <c r="F34" i="13"/>
  <c r="G34" i="13"/>
  <c r="H34" i="13"/>
  <c r="I34" i="13"/>
  <c r="J34" i="13"/>
  <c r="K34" i="13"/>
  <c r="L34" i="13"/>
  <c r="M34" i="13"/>
  <c r="N34" i="13"/>
  <c r="O34" i="13"/>
  <c r="P34" i="13"/>
  <c r="Q34" i="13"/>
  <c r="R34" i="13"/>
  <c r="S34" i="13"/>
  <c r="T34" i="13"/>
  <c r="C34" i="13"/>
  <c r="C42" i="13"/>
  <c r="C41" i="13"/>
  <c r="C6" i="13"/>
  <c r="C7" i="13"/>
  <c r="D8" i="13"/>
  <c r="E8" i="13" s="1"/>
  <c r="F8" i="13" s="1"/>
  <c r="G8" i="13" s="1"/>
  <c r="H8" i="13" s="1"/>
  <c r="I8" i="13" s="1"/>
  <c r="J8" i="13" s="1"/>
  <c r="K8" i="13" s="1"/>
  <c r="L8" i="13" s="1"/>
  <c r="M8" i="13" s="1"/>
  <c r="N8" i="13" s="1"/>
  <c r="O8" i="13" s="1"/>
  <c r="P8" i="13" s="1"/>
  <c r="Q8" i="13" s="1"/>
  <c r="R8" i="13" s="1"/>
  <c r="S8" i="13" s="1"/>
  <c r="T8" i="13" s="1"/>
  <c r="U8" i="13" s="1"/>
  <c r="F8" i="12"/>
  <c r="E10" i="11"/>
  <c r="E9" i="11"/>
  <c r="E8" i="11"/>
  <c r="E7" i="11"/>
  <c r="V54" i="5"/>
  <c r="U54" i="5"/>
  <c r="T54" i="5"/>
  <c r="S54" i="5"/>
  <c r="R54" i="5"/>
  <c r="Q54" i="5"/>
  <c r="P54" i="5"/>
  <c r="O54" i="5"/>
  <c r="N54" i="5"/>
  <c r="M54" i="5"/>
  <c r="L54" i="5"/>
  <c r="K54" i="5"/>
  <c r="J54" i="5"/>
  <c r="V46" i="5"/>
  <c r="U46" i="5"/>
  <c r="T46" i="5"/>
  <c r="S46" i="5"/>
  <c r="R46" i="5"/>
  <c r="Q46" i="5"/>
  <c r="P46" i="5"/>
  <c r="O46" i="5"/>
  <c r="N46" i="5"/>
  <c r="M46" i="5"/>
  <c r="L46" i="5"/>
  <c r="K46" i="5"/>
  <c r="J46" i="5"/>
  <c r="Q35" i="5"/>
  <c r="Q64" i="5" s="1"/>
  <c r="P35" i="5"/>
  <c r="P64" i="5" s="1"/>
  <c r="M35" i="5"/>
  <c r="L35" i="5"/>
  <c r="V24" i="5"/>
  <c r="V35" i="5" s="1"/>
  <c r="U24" i="5"/>
  <c r="U35" i="5" s="1"/>
  <c r="T24" i="5"/>
  <c r="T35" i="5" s="1"/>
  <c r="S24" i="5"/>
  <c r="S35" i="5" s="1"/>
  <c r="S64" i="5" s="1"/>
  <c r="R24" i="5"/>
  <c r="R35" i="5" s="1"/>
  <c r="Q24" i="5"/>
  <c r="P24" i="5"/>
  <c r="O24" i="5"/>
  <c r="O35" i="5" s="1"/>
  <c r="N24" i="5"/>
  <c r="N35" i="5" s="1"/>
  <c r="M24" i="5"/>
  <c r="L24" i="5"/>
  <c r="J24" i="5"/>
  <c r="J35" i="5" s="1"/>
  <c r="J56" i="5" s="1"/>
  <c r="J59" i="5" s="1"/>
  <c r="E8" i="5"/>
  <c r="J5" i="5"/>
  <c r="E67" i="4"/>
  <c r="D67" i="4"/>
  <c r="C67" i="4"/>
  <c r="E66" i="4"/>
  <c r="D66" i="4"/>
  <c r="C66" i="4"/>
  <c r="P61" i="4"/>
  <c r="O61" i="4"/>
  <c r="E60" i="4"/>
  <c r="D60" i="4"/>
  <c r="C60" i="4"/>
  <c r="V59" i="4"/>
  <c r="V61" i="4" s="1"/>
  <c r="U59" i="4"/>
  <c r="U61" i="4" s="1"/>
  <c r="E61" i="4" s="1"/>
  <c r="T59" i="4"/>
  <c r="T61" i="4" s="1"/>
  <c r="S59" i="4"/>
  <c r="S61" i="4" s="1"/>
  <c r="R59" i="4"/>
  <c r="R61" i="4" s="1"/>
  <c r="Q59" i="4"/>
  <c r="P59" i="4"/>
  <c r="O59" i="4"/>
  <c r="N59" i="4"/>
  <c r="N61" i="4" s="1"/>
  <c r="M59" i="4"/>
  <c r="M61" i="4" s="1"/>
  <c r="C61" i="4" s="1"/>
  <c r="L59" i="4"/>
  <c r="L61" i="4" s="1"/>
  <c r="K59" i="4"/>
  <c r="K61" i="4" s="1"/>
  <c r="J59" i="4"/>
  <c r="J61" i="4" s="1"/>
  <c r="E59" i="4"/>
  <c r="C59" i="4"/>
  <c r="E58" i="4"/>
  <c r="D58" i="4"/>
  <c r="C58" i="4"/>
  <c r="E57" i="4"/>
  <c r="D57" i="4"/>
  <c r="C57" i="4"/>
  <c r="E56" i="4"/>
  <c r="D56" i="4"/>
  <c r="C56" i="4"/>
  <c r="E55" i="4"/>
  <c r="D55" i="4"/>
  <c r="C55" i="4"/>
  <c r="V50" i="4"/>
  <c r="V51" i="4" s="1"/>
  <c r="U50" i="4"/>
  <c r="T50" i="4"/>
  <c r="D50" i="4"/>
  <c r="E50" i="4"/>
  <c r="C50" i="4"/>
  <c r="E48" i="4"/>
  <c r="D48" i="4"/>
  <c r="C48" i="4"/>
  <c r="E47" i="4"/>
  <c r="D47" i="4"/>
  <c r="C47" i="4"/>
  <c r="E46" i="4"/>
  <c r="D46" i="4"/>
  <c r="C46" i="4"/>
  <c r="E45" i="4"/>
  <c r="D45" i="4"/>
  <c r="C45" i="4"/>
  <c r="E44" i="4"/>
  <c r="D44" i="4"/>
  <c r="C44" i="4"/>
  <c r="V41" i="4"/>
  <c r="U41" i="4"/>
  <c r="T41" i="4"/>
  <c r="S41" i="4"/>
  <c r="R41" i="4"/>
  <c r="Q41" i="4"/>
  <c r="P41" i="4"/>
  <c r="P51" i="4" s="1"/>
  <c r="O41" i="4"/>
  <c r="O51" i="4" s="1"/>
  <c r="N41" i="4"/>
  <c r="M41" i="4"/>
  <c r="C41" i="4" s="1"/>
  <c r="L41" i="4"/>
  <c r="L51" i="4" s="1"/>
  <c r="K41" i="4"/>
  <c r="J41" i="4"/>
  <c r="E41" i="4"/>
  <c r="E40" i="4"/>
  <c r="D40" i="4"/>
  <c r="C40" i="4"/>
  <c r="E39" i="4"/>
  <c r="D39" i="4"/>
  <c r="C39" i="4"/>
  <c r="E38" i="4"/>
  <c r="D38" i="4"/>
  <c r="C38" i="4"/>
  <c r="E37" i="4"/>
  <c r="D37" i="4"/>
  <c r="C37" i="4"/>
  <c r="E36" i="4"/>
  <c r="D36" i="4"/>
  <c r="C36" i="4"/>
  <c r="E35" i="4"/>
  <c r="D35" i="4"/>
  <c r="C35" i="4"/>
  <c r="O31" i="4"/>
  <c r="O52" i="4" s="1"/>
  <c r="V30" i="4"/>
  <c r="U30" i="4"/>
  <c r="T30" i="4"/>
  <c r="R30" i="4"/>
  <c r="Q30" i="4"/>
  <c r="D30" i="4" s="1"/>
  <c r="P30" i="4"/>
  <c r="O30" i="4"/>
  <c r="N30" i="4"/>
  <c r="M30" i="4"/>
  <c r="C30" i="4" s="1"/>
  <c r="L30" i="4"/>
  <c r="K30" i="4"/>
  <c r="K31" i="4" s="1"/>
  <c r="J30" i="4"/>
  <c r="J31" i="4" s="1"/>
  <c r="E30" i="4"/>
  <c r="E29" i="4"/>
  <c r="D29" i="4"/>
  <c r="C29" i="4"/>
  <c r="E28" i="4"/>
  <c r="D28" i="4"/>
  <c r="C28" i="4"/>
  <c r="E27" i="4"/>
  <c r="D27" i="4"/>
  <c r="C27" i="4"/>
  <c r="E26" i="4"/>
  <c r="D26" i="4"/>
  <c r="C26" i="4"/>
  <c r="E25" i="4"/>
  <c r="D25" i="4"/>
  <c r="C25" i="4"/>
  <c r="E24" i="4"/>
  <c r="D24" i="4"/>
  <c r="C24" i="4"/>
  <c r="E23" i="4"/>
  <c r="D23" i="4"/>
  <c r="C23" i="4"/>
  <c r="E22" i="4"/>
  <c r="D22" i="4"/>
  <c r="C22" i="4"/>
  <c r="E21" i="4"/>
  <c r="D21" i="4"/>
  <c r="C21" i="4"/>
  <c r="E20" i="4"/>
  <c r="D20" i="4"/>
  <c r="C20" i="4"/>
  <c r="V17" i="4"/>
  <c r="V31" i="4" s="1"/>
  <c r="V52" i="4" s="1"/>
  <c r="U17" i="4"/>
  <c r="U31" i="4" s="1"/>
  <c r="E31" i="4" s="1"/>
  <c r="T17" i="4"/>
  <c r="T31" i="4" s="1"/>
  <c r="R17" i="4"/>
  <c r="Q17" i="4"/>
  <c r="P17" i="4"/>
  <c r="O17" i="4"/>
  <c r="N17" i="4"/>
  <c r="M17" i="4"/>
  <c r="L17" i="4"/>
  <c r="K17" i="4"/>
  <c r="J17" i="4"/>
  <c r="E16" i="4"/>
  <c r="D16" i="4"/>
  <c r="C16" i="4"/>
  <c r="E15" i="4"/>
  <c r="D15" i="4"/>
  <c r="C15" i="4"/>
  <c r="E14" i="4"/>
  <c r="D14" i="4"/>
  <c r="C14" i="4"/>
  <c r="E13" i="4"/>
  <c r="D13" i="4"/>
  <c r="C13" i="4"/>
  <c r="E12" i="4"/>
  <c r="D12" i="4"/>
  <c r="C12" i="4"/>
  <c r="E11" i="4"/>
  <c r="D11" i="4"/>
  <c r="C11" i="4"/>
  <c r="E8" i="4"/>
  <c r="F8" i="4" s="1"/>
  <c r="G8" i="4" s="1"/>
  <c r="H8" i="4" s="1"/>
  <c r="K6" i="4"/>
  <c r="L6" i="4" s="1"/>
  <c r="J5" i="4"/>
  <c r="C7" i="2"/>
  <c r="V84" i="3"/>
  <c r="U84" i="3"/>
  <c r="T84" i="3"/>
  <c r="R84" i="3"/>
  <c r="Q84" i="3"/>
  <c r="P84" i="3"/>
  <c r="O84" i="3"/>
  <c r="N84" i="3"/>
  <c r="M84" i="3"/>
  <c r="L84" i="3"/>
  <c r="K84" i="3"/>
  <c r="J84" i="3"/>
  <c r="V79" i="3"/>
  <c r="U79" i="3"/>
  <c r="T79" i="3"/>
  <c r="S79" i="3"/>
  <c r="R79" i="3"/>
  <c r="Q79" i="3"/>
  <c r="P79" i="3"/>
  <c r="O79" i="3"/>
  <c r="O87" i="3" s="1"/>
  <c r="N79" i="3"/>
  <c r="M79" i="3"/>
  <c r="L79" i="3"/>
  <c r="K79" i="3"/>
  <c r="J79" i="3"/>
  <c r="V73" i="3"/>
  <c r="U73" i="3"/>
  <c r="T73" i="3"/>
  <c r="R73" i="3"/>
  <c r="Q73" i="3"/>
  <c r="P73" i="3"/>
  <c r="O73" i="3"/>
  <c r="N73" i="3"/>
  <c r="M73" i="3"/>
  <c r="L73" i="3"/>
  <c r="K73" i="3"/>
  <c r="J73" i="3"/>
  <c r="V72" i="3"/>
  <c r="U72" i="3"/>
  <c r="T72" i="3"/>
  <c r="S72" i="3"/>
  <c r="R72" i="3"/>
  <c r="Q72" i="3"/>
  <c r="P72" i="3"/>
  <c r="N72" i="3"/>
  <c r="M72" i="3"/>
  <c r="L72" i="3"/>
  <c r="K72" i="3"/>
  <c r="J72" i="3"/>
  <c r="J71" i="3"/>
  <c r="V67" i="3"/>
  <c r="U67" i="3"/>
  <c r="T67" i="3"/>
  <c r="S67" i="3"/>
  <c r="R67" i="3"/>
  <c r="Q67" i="3"/>
  <c r="P67" i="3"/>
  <c r="O67" i="3"/>
  <c r="N67" i="3"/>
  <c r="M67" i="3"/>
  <c r="L67" i="3"/>
  <c r="K67" i="3"/>
  <c r="J67" i="3"/>
  <c r="V60" i="3"/>
  <c r="U60" i="3"/>
  <c r="T60" i="3"/>
  <c r="S60" i="3"/>
  <c r="R60" i="3"/>
  <c r="Q60" i="3"/>
  <c r="P60" i="3"/>
  <c r="O60" i="3"/>
  <c r="N60" i="3"/>
  <c r="M60" i="3"/>
  <c r="L60" i="3"/>
  <c r="J60" i="3"/>
  <c r="V59" i="3"/>
  <c r="U59" i="3"/>
  <c r="T59" i="3"/>
  <c r="S59" i="3"/>
  <c r="R59" i="3"/>
  <c r="Q59" i="3"/>
  <c r="P59" i="3"/>
  <c r="O59" i="3"/>
  <c r="N59" i="3"/>
  <c r="M59" i="3"/>
  <c r="L59" i="3"/>
  <c r="K59" i="3"/>
  <c r="J59" i="3"/>
  <c r="V58" i="3"/>
  <c r="U58" i="3"/>
  <c r="T58" i="3"/>
  <c r="S58" i="3"/>
  <c r="R58" i="3"/>
  <c r="Q58" i="3"/>
  <c r="P58" i="3"/>
  <c r="O58" i="3"/>
  <c r="N58" i="3"/>
  <c r="M58" i="3"/>
  <c r="L58" i="3"/>
  <c r="K58" i="3"/>
  <c r="J58" i="3"/>
  <c r="V53" i="3"/>
  <c r="U53" i="3"/>
  <c r="T53" i="3"/>
  <c r="R53" i="3"/>
  <c r="Q53" i="3"/>
  <c r="P53" i="3"/>
  <c r="N53" i="3"/>
  <c r="M53" i="3"/>
  <c r="L53" i="3"/>
  <c r="K53" i="3"/>
  <c r="J53" i="3"/>
  <c r="V52" i="3"/>
  <c r="U52" i="3"/>
  <c r="T52" i="3"/>
  <c r="S52" i="3"/>
  <c r="R52" i="3"/>
  <c r="Q52" i="3"/>
  <c r="P52" i="3"/>
  <c r="O52" i="3"/>
  <c r="N52" i="3"/>
  <c r="M52" i="3"/>
  <c r="L52" i="3"/>
  <c r="K52" i="3"/>
  <c r="J52" i="3"/>
  <c r="V49" i="3"/>
  <c r="U49" i="3"/>
  <c r="T49" i="3"/>
  <c r="S49" i="3"/>
  <c r="R49" i="3"/>
  <c r="Q49" i="3"/>
  <c r="P49" i="3"/>
  <c r="O49" i="3"/>
  <c r="N49" i="3"/>
  <c r="M49" i="3"/>
  <c r="L49" i="3"/>
  <c r="K49" i="3"/>
  <c r="V36" i="3"/>
  <c r="V30" i="3"/>
  <c r="V32" i="3" s="1"/>
  <c r="V18" i="3"/>
  <c r="V20" i="3" s="1"/>
  <c r="V47" i="3" s="1"/>
  <c r="U18" i="3"/>
  <c r="U20" i="3" s="1"/>
  <c r="U47" i="3" s="1"/>
  <c r="T18" i="3"/>
  <c r="T20" i="3" s="1"/>
  <c r="T47" i="3" s="1"/>
  <c r="S18" i="3"/>
  <c r="S20" i="3" s="1"/>
  <c r="S47" i="3" s="1"/>
  <c r="K18" i="17" l="1"/>
  <c r="L20" i="17"/>
  <c r="K20" i="17"/>
  <c r="R18" i="17"/>
  <c r="Q21" i="17"/>
  <c r="Q18" i="17"/>
  <c r="P16" i="17"/>
  <c r="M21" i="17"/>
  <c r="L21" i="17"/>
  <c r="N16" i="17"/>
  <c r="K21" i="17"/>
  <c r="N18" i="17"/>
  <c r="M16" i="17"/>
  <c r="O62" i="4"/>
  <c r="E17" i="4"/>
  <c r="V62" i="4"/>
  <c r="K5" i="4"/>
  <c r="L31" i="4"/>
  <c r="L52" i="4" s="1"/>
  <c r="P31" i="4"/>
  <c r="T51" i="4"/>
  <c r="U51" i="4"/>
  <c r="E51" i="4" s="1"/>
  <c r="U52" i="4"/>
  <c r="E52" i="4" s="1"/>
  <c r="K51" i="4"/>
  <c r="K52" i="4" s="1"/>
  <c r="N31" i="4"/>
  <c r="R51" i="4"/>
  <c r="M51" i="4"/>
  <c r="C51" i="4" s="1"/>
  <c r="N51" i="4"/>
  <c r="N52" i="4" s="1"/>
  <c r="S51" i="4"/>
  <c r="S31" i="4"/>
  <c r="F31" i="17"/>
  <c r="S73" i="3"/>
  <c r="S87" i="3"/>
  <c r="R37" i="3"/>
  <c r="R40" i="3" s="1"/>
  <c r="J10" i="17"/>
  <c r="M87" i="3"/>
  <c r="AB87" i="3"/>
  <c r="Z87" i="3"/>
  <c r="E16" i="10"/>
  <c r="E8" i="10"/>
  <c r="D7" i="10"/>
  <c r="F7" i="10"/>
  <c r="H31" i="6"/>
  <c r="AY34" i="13"/>
  <c r="AA34" i="13"/>
  <c r="BJ34" i="13"/>
  <c r="AL34" i="13"/>
  <c r="BI34" i="13"/>
  <c r="AW34" i="13"/>
  <c r="AK34" i="13"/>
  <c r="Y34" i="13"/>
  <c r="BA34" i="13"/>
  <c r="AC34" i="13"/>
  <c r="AH34" i="13"/>
  <c r="AX34" i="13"/>
  <c r="AO34" i="13"/>
  <c r="AM34" i="13"/>
  <c r="Z34" i="13"/>
  <c r="W34" i="13"/>
  <c r="BH34" i="13"/>
  <c r="AV34" i="13"/>
  <c r="AJ34" i="13"/>
  <c r="X34" i="13"/>
  <c r="BE34" i="13"/>
  <c r="AS34" i="13"/>
  <c r="AG34" i="13"/>
  <c r="BD34" i="13"/>
  <c r="AR34" i="13"/>
  <c r="AF34" i="13"/>
  <c r="C50" i="13"/>
  <c r="BC34" i="13"/>
  <c r="AQ34" i="13"/>
  <c r="AE34" i="13"/>
  <c r="BB34" i="13"/>
  <c r="AP34" i="13"/>
  <c r="AD34" i="13"/>
  <c r="C54" i="13"/>
  <c r="C49" i="13"/>
  <c r="AZ34" i="13"/>
  <c r="AN34" i="13"/>
  <c r="AB34" i="13"/>
  <c r="C26" i="2"/>
  <c r="C23" i="2"/>
  <c r="C27" i="2" s="1"/>
  <c r="C28" i="8"/>
  <c r="C16" i="9"/>
  <c r="C14" i="8"/>
  <c r="F14" i="8"/>
  <c r="E14" i="8"/>
  <c r="D14" i="8"/>
  <c r="C11" i="2"/>
  <c r="E34" i="17"/>
  <c r="F34" i="17" s="1"/>
  <c r="E36" i="17"/>
  <c r="F36" i="17" s="1"/>
  <c r="G27" i="17"/>
  <c r="K4" i="17"/>
  <c r="L5" i="17"/>
  <c r="AG68" i="3"/>
  <c r="AG71" i="3" s="1"/>
  <c r="AD87" i="3"/>
  <c r="W68" i="3"/>
  <c r="W71" i="3" s="1"/>
  <c r="W75" i="3" s="1"/>
  <c r="AG87" i="3"/>
  <c r="AE68" i="3"/>
  <c r="AE71" i="3" s="1"/>
  <c r="AE75" i="3" s="1"/>
  <c r="Y87" i="3"/>
  <c r="F23" i="10"/>
  <c r="AG75" i="3"/>
  <c r="AF68" i="3"/>
  <c r="AF71" i="3" s="1"/>
  <c r="AF75" i="3" s="1"/>
  <c r="X87" i="3"/>
  <c r="D23" i="10"/>
  <c r="E23" i="10"/>
  <c r="AE87" i="3"/>
  <c r="AD68" i="3"/>
  <c r="AD71" i="3" s="1"/>
  <c r="AD75" i="3" s="1"/>
  <c r="AC68" i="3"/>
  <c r="AC71" i="3" s="1"/>
  <c r="AC75" i="3" s="1"/>
  <c r="AB68" i="3"/>
  <c r="AB71" i="3" s="1"/>
  <c r="AB75" i="3" s="1"/>
  <c r="AA68" i="3"/>
  <c r="AA71" i="3" s="1"/>
  <c r="AA75" i="3" s="1"/>
  <c r="Z68" i="3"/>
  <c r="Z71" i="3" s="1"/>
  <c r="Z75" i="3" s="1"/>
  <c r="Y68" i="3"/>
  <c r="Y71" i="3" s="1"/>
  <c r="Y75" i="3" s="1"/>
  <c r="X68" i="3"/>
  <c r="X71" i="3" s="1"/>
  <c r="X75" i="3" s="1"/>
  <c r="T87" i="3"/>
  <c r="Q37" i="3"/>
  <c r="Q40" i="3" s="1"/>
  <c r="Q9" i="17" s="1"/>
  <c r="Q12" i="17" s="1"/>
  <c r="P37" i="3"/>
  <c r="P40" i="3" s="1"/>
  <c r="P9" i="17" s="1"/>
  <c r="P12" i="17" s="1"/>
  <c r="P23" i="17" s="1"/>
  <c r="M37" i="3"/>
  <c r="M40" i="3" s="1"/>
  <c r="M9" i="17" s="1"/>
  <c r="M12" i="17" s="1"/>
  <c r="O37" i="3"/>
  <c r="O40" i="3" s="1"/>
  <c r="O9" i="17" s="1"/>
  <c r="O12" i="17" s="1"/>
  <c r="K87" i="3"/>
  <c r="R9" i="17"/>
  <c r="R12" i="17" s="1"/>
  <c r="R23" i="17" s="1"/>
  <c r="K37" i="3"/>
  <c r="K40" i="3" s="1"/>
  <c r="K9" i="17" s="1"/>
  <c r="K12" i="17" s="1"/>
  <c r="N33" i="3"/>
  <c r="N37" i="3" s="1"/>
  <c r="N40" i="3" s="1"/>
  <c r="N9" i="17" s="1"/>
  <c r="N12" i="17" s="1"/>
  <c r="N23" i="17" s="1"/>
  <c r="L37" i="3"/>
  <c r="L40" i="3" s="1"/>
  <c r="L9" i="17" s="1"/>
  <c r="L12" i="17" s="1"/>
  <c r="J32" i="3"/>
  <c r="J37" i="3" s="1"/>
  <c r="L87" i="3"/>
  <c r="L8" i="5"/>
  <c r="M6" i="5"/>
  <c r="Q62" i="5"/>
  <c r="Q56" i="5"/>
  <c r="Q59" i="5" s="1"/>
  <c r="P62" i="5"/>
  <c r="K4" i="3"/>
  <c r="O53" i="3"/>
  <c r="O68" i="3" s="1"/>
  <c r="O71" i="3" s="1"/>
  <c r="O75" i="3" s="1"/>
  <c r="K20" i="3"/>
  <c r="K47" i="3" s="1"/>
  <c r="K68" i="3" s="1"/>
  <c r="K71" i="3" s="1"/>
  <c r="K75" i="3" s="1"/>
  <c r="C58" i="13"/>
  <c r="C57" i="13"/>
  <c r="C53" i="13"/>
  <c r="E5" i="6"/>
  <c r="F5" i="6" s="1"/>
  <c r="G5" i="6" s="1"/>
  <c r="H5" i="6" s="1"/>
  <c r="H7" i="6" s="1"/>
  <c r="G7" i="6"/>
  <c r="D7" i="6"/>
  <c r="C8" i="6"/>
  <c r="U7" i="13"/>
  <c r="U6" i="13"/>
  <c r="U22" i="13" s="1"/>
  <c r="U23" i="13" s="1"/>
  <c r="V8" i="13"/>
  <c r="S6" i="13"/>
  <c r="J7" i="13"/>
  <c r="Q6" i="13"/>
  <c r="D6" i="13"/>
  <c r="E6" i="13"/>
  <c r="F6" i="13"/>
  <c r="L7" i="13"/>
  <c r="K7" i="13"/>
  <c r="M6" i="13"/>
  <c r="S7" i="13"/>
  <c r="F7" i="13"/>
  <c r="L6" i="13"/>
  <c r="Q7" i="13"/>
  <c r="E7" i="13"/>
  <c r="K6" i="13"/>
  <c r="D7" i="13"/>
  <c r="J6" i="13"/>
  <c r="O7" i="13"/>
  <c r="N7" i="13"/>
  <c r="H6" i="13"/>
  <c r="I7" i="13"/>
  <c r="O6" i="13"/>
  <c r="H7" i="13"/>
  <c r="N6" i="13"/>
  <c r="G7" i="13"/>
  <c r="I6" i="13"/>
  <c r="M7" i="13"/>
  <c r="G6" i="13"/>
  <c r="V87" i="3"/>
  <c r="L68" i="3"/>
  <c r="L71" i="3" s="1"/>
  <c r="L75" i="3" s="1"/>
  <c r="M68" i="3"/>
  <c r="M71" i="3" s="1"/>
  <c r="M75" i="3" s="1"/>
  <c r="N47" i="3"/>
  <c r="N68" i="3" s="1"/>
  <c r="N71" i="3" s="1"/>
  <c r="N75" i="3" s="1"/>
  <c r="S68" i="3"/>
  <c r="S71" i="3" s="1"/>
  <c r="S75" i="3" s="1"/>
  <c r="R87" i="3"/>
  <c r="R68" i="3"/>
  <c r="R71" i="3" s="1"/>
  <c r="R75" i="3" s="1"/>
  <c r="N87" i="3"/>
  <c r="J64" i="5"/>
  <c r="J62" i="5"/>
  <c r="T68" i="3"/>
  <c r="T71" i="3" s="1"/>
  <c r="T75" i="3" s="1"/>
  <c r="T62" i="4"/>
  <c r="T52" i="4"/>
  <c r="L64" i="5"/>
  <c r="L62" i="5"/>
  <c r="L56" i="5"/>
  <c r="L59" i="5" s="1"/>
  <c r="P87" i="3"/>
  <c r="R64" i="5"/>
  <c r="R62" i="5"/>
  <c r="R56" i="5"/>
  <c r="R59" i="5" s="1"/>
  <c r="P62" i="4"/>
  <c r="P52" i="4"/>
  <c r="D41" i="4"/>
  <c r="Q51" i="4"/>
  <c r="D51" i="4" s="1"/>
  <c r="P68" i="3"/>
  <c r="P71" i="3" s="1"/>
  <c r="P75" i="3" s="1"/>
  <c r="N62" i="5"/>
  <c r="N56" i="5"/>
  <c r="N59" i="5" s="1"/>
  <c r="N64" i="5"/>
  <c r="Q87" i="3"/>
  <c r="N62" i="4"/>
  <c r="V64" i="5"/>
  <c r="V62" i="5"/>
  <c r="V56" i="5"/>
  <c r="V59" i="5" s="1"/>
  <c r="V68" i="3"/>
  <c r="V71" i="3" s="1"/>
  <c r="V75" i="3" s="1"/>
  <c r="J52" i="4"/>
  <c r="J62" i="4"/>
  <c r="O56" i="5"/>
  <c r="O59" i="5" s="1"/>
  <c r="O64" i="5"/>
  <c r="O62" i="5"/>
  <c r="Q68" i="3"/>
  <c r="Q71" i="3" s="1"/>
  <c r="Q75" i="3" s="1"/>
  <c r="U64" i="5"/>
  <c r="U62" i="5"/>
  <c r="U56" i="5"/>
  <c r="U59" i="5" s="1"/>
  <c r="U68" i="3"/>
  <c r="U71" i="3" s="1"/>
  <c r="U75" i="3" s="1"/>
  <c r="Q61" i="4"/>
  <c r="D61" i="4" s="1"/>
  <c r="D59" i="4"/>
  <c r="M64" i="5"/>
  <c r="M62" i="5"/>
  <c r="M56" i="5"/>
  <c r="M59" i="5" s="1"/>
  <c r="C17" i="4"/>
  <c r="M31" i="4"/>
  <c r="P56" i="5"/>
  <c r="P59" i="5" s="1"/>
  <c r="S56" i="5"/>
  <c r="S59" i="5" s="1"/>
  <c r="U87" i="3"/>
  <c r="S62" i="5"/>
  <c r="K64" i="5"/>
  <c r="K62" i="5"/>
  <c r="T64" i="5"/>
  <c r="T56" i="5"/>
  <c r="T59" i="5" s="1"/>
  <c r="T62" i="5"/>
  <c r="D17" i="4"/>
  <c r="Q31" i="4"/>
  <c r="M6" i="4"/>
  <c r="L5" i="4"/>
  <c r="R31" i="4"/>
  <c r="F8" i="5"/>
  <c r="M18" i="17" l="1"/>
  <c r="M23" i="17"/>
  <c r="Q23" i="17"/>
  <c r="O20" i="17"/>
  <c r="O23" i="17"/>
  <c r="P20" i="17"/>
  <c r="Q16" i="17"/>
  <c r="O18" i="17"/>
  <c r="Q20" i="17"/>
  <c r="L23" i="17"/>
  <c r="L16" i="17"/>
  <c r="O16" i="17"/>
  <c r="M20" i="17"/>
  <c r="K23" i="17"/>
  <c r="K16" i="17"/>
  <c r="P18" i="17"/>
  <c r="L18" i="17"/>
  <c r="R20" i="17"/>
  <c r="N20" i="17"/>
  <c r="R16" i="17"/>
  <c r="K62" i="4"/>
  <c r="U62" i="4"/>
  <c r="L62" i="4"/>
  <c r="S52" i="4"/>
  <c r="S62" i="4"/>
  <c r="F35" i="17"/>
  <c r="F44" i="17" s="1"/>
  <c r="AV22" i="13"/>
  <c r="AV23" i="13" s="1"/>
  <c r="AW22" i="13"/>
  <c r="AW23" i="13" s="1"/>
  <c r="AX22" i="13"/>
  <c r="AX23" i="13" s="1"/>
  <c r="AQ22" i="13"/>
  <c r="AQ23" i="13" s="1"/>
  <c r="AR22" i="13"/>
  <c r="AR23" i="13" s="1"/>
  <c r="AS22" i="13"/>
  <c r="AS23" i="13" s="1"/>
  <c r="AT22" i="13"/>
  <c r="AT23" i="13" s="1"/>
  <c r="AU22" i="13"/>
  <c r="AU23" i="13" s="1"/>
  <c r="AM22" i="13"/>
  <c r="AM23" i="13" s="1"/>
  <c r="AN22" i="13"/>
  <c r="AN23" i="13" s="1"/>
  <c r="AO22" i="13"/>
  <c r="AO23" i="13" s="1"/>
  <c r="AP22" i="13"/>
  <c r="AP23" i="13" s="1"/>
  <c r="F16" i="10"/>
  <c r="F8" i="10"/>
  <c r="D16" i="10"/>
  <c r="D8" i="10"/>
  <c r="U17" i="13"/>
  <c r="V17" i="13" s="1"/>
  <c r="W17" i="13" s="1"/>
  <c r="X17" i="13" s="1"/>
  <c r="Y17" i="13" s="1"/>
  <c r="Z17" i="13" s="1"/>
  <c r="U19" i="13"/>
  <c r="V19" i="13" s="1"/>
  <c r="W19" i="13" s="1"/>
  <c r="X19" i="13" s="1"/>
  <c r="Y19" i="13" s="1"/>
  <c r="Z19" i="13" s="1"/>
  <c r="U18" i="13"/>
  <c r="V18" i="13" s="1"/>
  <c r="W18" i="13" s="1"/>
  <c r="X18" i="13" s="1"/>
  <c r="Y18" i="13" s="1"/>
  <c r="Z18" i="13" s="1"/>
  <c r="E6" i="6"/>
  <c r="F6" i="6" s="1"/>
  <c r="G6" i="6" s="1"/>
  <c r="H6" i="6" s="1"/>
  <c r="E7" i="6"/>
  <c r="I5" i="6"/>
  <c r="J5" i="6" s="1"/>
  <c r="I31" i="6"/>
  <c r="I51" i="13"/>
  <c r="H51" i="13"/>
  <c r="J51" i="13"/>
  <c r="M51" i="13"/>
  <c r="L51" i="13"/>
  <c r="K51" i="13"/>
  <c r="F51" i="13"/>
  <c r="R55" i="13"/>
  <c r="D51" i="13"/>
  <c r="T51" i="13"/>
  <c r="S51" i="13"/>
  <c r="S55" i="13"/>
  <c r="G51" i="13"/>
  <c r="R51" i="13"/>
  <c r="E51" i="13"/>
  <c r="P51" i="13"/>
  <c r="C51" i="13"/>
  <c r="O51" i="13"/>
  <c r="Q51" i="13"/>
  <c r="N51" i="13"/>
  <c r="C26" i="8"/>
  <c r="C14" i="2"/>
  <c r="G36" i="17"/>
  <c r="H36" i="17" s="1"/>
  <c r="F33" i="17"/>
  <c r="G34" i="17"/>
  <c r="H34" i="17" s="1"/>
  <c r="H27" i="17"/>
  <c r="H31" i="17" s="1"/>
  <c r="G31" i="17"/>
  <c r="M5" i="17"/>
  <c r="L4" i="17"/>
  <c r="L7" i="17"/>
  <c r="K44" i="3"/>
  <c r="R44" i="3"/>
  <c r="O44" i="3"/>
  <c r="O76" i="3" s="1"/>
  <c r="M44" i="3"/>
  <c r="M76" i="3" s="1"/>
  <c r="P44" i="3"/>
  <c r="P76" i="3" s="1"/>
  <c r="Q44" i="3"/>
  <c r="Q76" i="3" s="1"/>
  <c r="L44" i="3"/>
  <c r="L76" i="3" s="1"/>
  <c r="N44" i="3"/>
  <c r="N76" i="3" s="1"/>
  <c r="J40" i="3"/>
  <c r="J9" i="17" s="1"/>
  <c r="J12" i="17" s="1"/>
  <c r="F7" i="6"/>
  <c r="K3" i="3"/>
  <c r="K6" i="3"/>
  <c r="D21" i="10" s="1"/>
  <c r="D20" i="10" s="1"/>
  <c r="L4" i="3"/>
  <c r="R76" i="3"/>
  <c r="M8" i="5"/>
  <c r="M5" i="5"/>
  <c r="N6" i="5"/>
  <c r="K76" i="3"/>
  <c r="D8" i="6"/>
  <c r="E59" i="13"/>
  <c r="E61" i="13" s="1"/>
  <c r="E62" i="13" s="1"/>
  <c r="Q59" i="13"/>
  <c r="F59" i="13"/>
  <c r="R59" i="13"/>
  <c r="G59" i="13"/>
  <c r="G61" i="13" s="1"/>
  <c r="G62" i="13" s="1"/>
  <c r="S59" i="13"/>
  <c r="H59" i="13"/>
  <c r="H61" i="13" s="1"/>
  <c r="H62" i="13" s="1"/>
  <c r="T59" i="13"/>
  <c r="I59" i="13"/>
  <c r="I61" i="13" s="1"/>
  <c r="I62" i="13" s="1"/>
  <c r="C59" i="13"/>
  <c r="J59" i="13"/>
  <c r="J61" i="13" s="1"/>
  <c r="J62" i="13" s="1"/>
  <c r="K59" i="13"/>
  <c r="K61" i="13" s="1"/>
  <c r="K62" i="13" s="1"/>
  <c r="L59" i="13"/>
  <c r="L61" i="13" s="1"/>
  <c r="L62" i="13" s="1"/>
  <c r="M59" i="13"/>
  <c r="N59" i="13"/>
  <c r="O59" i="13"/>
  <c r="D59" i="13"/>
  <c r="D61" i="13" s="1"/>
  <c r="D62" i="13" s="1"/>
  <c r="P59" i="13"/>
  <c r="O55" i="13"/>
  <c r="T55" i="13"/>
  <c r="Q55" i="13"/>
  <c r="P55" i="13"/>
  <c r="N55" i="13"/>
  <c r="M55" i="13"/>
  <c r="H8" i="6"/>
  <c r="H36" i="6" s="1"/>
  <c r="H35" i="6" s="1"/>
  <c r="E8" i="6"/>
  <c r="G8" i="6"/>
  <c r="I7" i="6"/>
  <c r="I6" i="6"/>
  <c r="V7" i="13"/>
  <c r="V6" i="13"/>
  <c r="W8" i="13"/>
  <c r="X8" i="13" s="1"/>
  <c r="W7" i="13"/>
  <c r="C61" i="13"/>
  <c r="C62" i="13" s="1"/>
  <c r="P7" i="13"/>
  <c r="P6" i="13"/>
  <c r="R62" i="4"/>
  <c r="R52" i="4"/>
  <c r="D31" i="4"/>
  <c r="Q62" i="4"/>
  <c r="Q52" i="4"/>
  <c r="D52" i="4" s="1"/>
  <c r="M5" i="4"/>
  <c r="N6" i="4"/>
  <c r="M62" i="4"/>
  <c r="M52" i="4"/>
  <c r="C52" i="4" s="1"/>
  <c r="C31" i="4"/>
  <c r="G8" i="5"/>
  <c r="J16" i="17" l="1"/>
  <c r="J23" i="17"/>
  <c r="J20" i="17"/>
  <c r="J18" i="17"/>
  <c r="F37" i="17"/>
  <c r="W20" i="13"/>
  <c r="G35" i="17"/>
  <c r="G44" i="17" s="1"/>
  <c r="H35" i="17"/>
  <c r="H44" i="17" s="1"/>
  <c r="AA19" i="13"/>
  <c r="AD22" i="13"/>
  <c r="AD23" i="13" s="1"/>
  <c r="AE22" i="13"/>
  <c r="AE23" i="13" s="1"/>
  <c r="AF22" i="13"/>
  <c r="AF23" i="13" s="1"/>
  <c r="AG22" i="13"/>
  <c r="AG23" i="13" s="1"/>
  <c r="AH22" i="13"/>
  <c r="AH23" i="13" s="1"/>
  <c r="AI22" i="13"/>
  <c r="AI23" i="13" s="1"/>
  <c r="AJ22" i="13"/>
  <c r="AJ23" i="13" s="1"/>
  <c r="AK22" i="13"/>
  <c r="AK23" i="13" s="1"/>
  <c r="AL22" i="13"/>
  <c r="AL23" i="13" s="1"/>
  <c r="AA22" i="13"/>
  <c r="AA23" i="13" s="1"/>
  <c r="AA18" i="13" s="1"/>
  <c r="AB22" i="13"/>
  <c r="AB23" i="13" s="1"/>
  <c r="AC22" i="13"/>
  <c r="AC23" i="13" s="1"/>
  <c r="BH22" i="13"/>
  <c r="BH23" i="13" s="1"/>
  <c r="BI22" i="13"/>
  <c r="BI23" i="13" s="1"/>
  <c r="BJ22" i="13"/>
  <c r="BJ23" i="13" s="1"/>
  <c r="BF22" i="13"/>
  <c r="BF23" i="13" s="1"/>
  <c r="BG22" i="13"/>
  <c r="BG23" i="13" s="1"/>
  <c r="AY22" i="13"/>
  <c r="AY23" i="13" s="1"/>
  <c r="AZ22" i="13"/>
  <c r="AZ23" i="13" s="1"/>
  <c r="BD22" i="13"/>
  <c r="BD23" i="13" s="1"/>
  <c r="BE22" i="13"/>
  <c r="BE23" i="13" s="1"/>
  <c r="BA22" i="13"/>
  <c r="BA23" i="13" s="1"/>
  <c r="BB22" i="13"/>
  <c r="BB23" i="13" s="1"/>
  <c r="BC22" i="13"/>
  <c r="BC23" i="13" s="1"/>
  <c r="U20" i="13"/>
  <c r="J31" i="6"/>
  <c r="T11" i="17"/>
  <c r="H38" i="6"/>
  <c r="Y20" i="13"/>
  <c r="R61" i="13"/>
  <c r="R62" i="13" s="1"/>
  <c r="F61" i="13"/>
  <c r="F62" i="13" s="1"/>
  <c r="P61" i="13"/>
  <c r="P62" i="13" s="1"/>
  <c r="T61" i="13"/>
  <c r="T62" i="13" s="1"/>
  <c r="S61" i="13"/>
  <c r="S62" i="13" s="1"/>
  <c r="N61" i="13"/>
  <c r="N62" i="13" s="1"/>
  <c r="M61" i="13"/>
  <c r="M62" i="13" s="1"/>
  <c r="Z20" i="13"/>
  <c r="X20" i="13"/>
  <c r="Q61" i="13"/>
  <c r="Q62" i="13" s="1"/>
  <c r="O61" i="13"/>
  <c r="O62" i="13" s="1"/>
  <c r="V20" i="13"/>
  <c r="G33" i="17"/>
  <c r="H33" i="17"/>
  <c r="N5" i="17"/>
  <c r="M4" i="17"/>
  <c r="M7" i="17"/>
  <c r="J44" i="3"/>
  <c r="J76" i="3" s="1"/>
  <c r="F8" i="6"/>
  <c r="L3" i="3"/>
  <c r="L6" i="3"/>
  <c r="E21" i="10" s="1"/>
  <c r="E20" i="10" s="1"/>
  <c r="M4" i="3"/>
  <c r="N8" i="5"/>
  <c r="N5" i="5"/>
  <c r="O6" i="5"/>
  <c r="K5" i="6"/>
  <c r="J7" i="6"/>
  <c r="J6" i="6"/>
  <c r="I8" i="6"/>
  <c r="I36" i="6" s="1"/>
  <c r="I35" i="6" s="1"/>
  <c r="W6" i="13"/>
  <c r="X6" i="13"/>
  <c r="Y8" i="13"/>
  <c r="Z8" i="13" s="1"/>
  <c r="AA8" i="13" s="1"/>
  <c r="X7" i="13"/>
  <c r="Y6" i="13"/>
  <c r="Y7" i="13"/>
  <c r="R6" i="13"/>
  <c r="R7" i="13"/>
  <c r="H8" i="5"/>
  <c r="N5" i="4"/>
  <c r="O6" i="4"/>
  <c r="G37" i="17" l="1"/>
  <c r="AB18" i="13"/>
  <c r="AC18" i="13" s="1"/>
  <c r="AD18" i="13" s="1"/>
  <c r="AE18" i="13" s="1"/>
  <c r="AF18" i="13" s="1"/>
  <c r="AG18" i="13" s="1"/>
  <c r="AH18" i="13" s="1"/>
  <c r="AI18" i="13" s="1"/>
  <c r="AJ18" i="13" s="1"/>
  <c r="AK18" i="13" s="1"/>
  <c r="AL18" i="13" s="1"/>
  <c r="AM18" i="13" s="1"/>
  <c r="AN18" i="13" s="1"/>
  <c r="AO18" i="13" s="1"/>
  <c r="AP18" i="13" s="1"/>
  <c r="AQ18" i="13" s="1"/>
  <c r="AR18" i="13" s="1"/>
  <c r="AS18" i="13" s="1"/>
  <c r="AT18" i="13" s="1"/>
  <c r="AU18" i="13" s="1"/>
  <c r="AV18" i="13" s="1"/>
  <c r="AW18" i="13" s="1"/>
  <c r="AX18" i="13" s="1"/>
  <c r="AY18" i="13" s="1"/>
  <c r="AZ18" i="13" s="1"/>
  <c r="BA18" i="13" s="1"/>
  <c r="BB18" i="13" s="1"/>
  <c r="BC18" i="13" s="1"/>
  <c r="BD18" i="13" s="1"/>
  <c r="BE18" i="13" s="1"/>
  <c r="BF18" i="13" s="1"/>
  <c r="BG18" i="13" s="1"/>
  <c r="BH18" i="13" s="1"/>
  <c r="BI18" i="13" s="1"/>
  <c r="BJ18" i="13" s="1"/>
  <c r="AA17" i="13"/>
  <c r="AB19" i="13"/>
  <c r="AC19" i="13" s="1"/>
  <c r="AD19" i="13" s="1"/>
  <c r="AE19" i="13" s="1"/>
  <c r="AF19" i="13" s="1"/>
  <c r="AG19" i="13" s="1"/>
  <c r="AH19" i="13" s="1"/>
  <c r="AI19" i="13" s="1"/>
  <c r="AJ19" i="13" s="1"/>
  <c r="AK19" i="13" s="1"/>
  <c r="AL19" i="13" s="1"/>
  <c r="AM19" i="13" s="1"/>
  <c r="AN19" i="13" s="1"/>
  <c r="AO19" i="13" s="1"/>
  <c r="AP19" i="13" s="1"/>
  <c r="AQ19" i="13" s="1"/>
  <c r="AR19" i="13" s="1"/>
  <c r="AS19" i="13" s="1"/>
  <c r="AT19" i="13" s="1"/>
  <c r="AU19" i="13" s="1"/>
  <c r="AV19" i="13" s="1"/>
  <c r="AW19" i="13" s="1"/>
  <c r="AX19" i="13" s="1"/>
  <c r="AY19" i="13" s="1"/>
  <c r="AZ19" i="13" s="1"/>
  <c r="BA19" i="13" s="1"/>
  <c r="BB19" i="13" s="1"/>
  <c r="BC19" i="13" s="1"/>
  <c r="BD19" i="13" s="1"/>
  <c r="BE19" i="13" s="1"/>
  <c r="BF19" i="13" s="1"/>
  <c r="BG19" i="13" s="1"/>
  <c r="BH19" i="13" s="1"/>
  <c r="BI19" i="13" s="1"/>
  <c r="BJ19" i="13" s="1"/>
  <c r="I38" i="6"/>
  <c r="T41" i="3" s="1"/>
  <c r="T10" i="17"/>
  <c r="K31" i="6"/>
  <c r="U11" i="17"/>
  <c r="C63" i="13" a="1"/>
  <c r="C63" i="13" s="1"/>
  <c r="H37" i="17"/>
  <c r="O5" i="17"/>
  <c r="N4" i="17"/>
  <c r="N7" i="17"/>
  <c r="M3" i="3"/>
  <c r="M6" i="3"/>
  <c r="F21" i="10" s="1"/>
  <c r="F20" i="10" s="1"/>
  <c r="N4" i="3"/>
  <c r="O8" i="5"/>
  <c r="P6" i="5"/>
  <c r="O5" i="5"/>
  <c r="AA6" i="13"/>
  <c r="AB8" i="13"/>
  <c r="AA7" i="13"/>
  <c r="K6" i="6"/>
  <c r="L5" i="6"/>
  <c r="K7" i="6"/>
  <c r="J8" i="6"/>
  <c r="J36" i="6" s="1"/>
  <c r="J35" i="6" s="1"/>
  <c r="Z6" i="13"/>
  <c r="Z7" i="13"/>
  <c r="T7" i="13"/>
  <c r="F17" i="6" s="1"/>
  <c r="T6" i="13"/>
  <c r="H18" i="6" s="1"/>
  <c r="O5" i="4"/>
  <c r="P6" i="4"/>
  <c r="AB17" i="13" l="1"/>
  <c r="AA20" i="13"/>
  <c r="J38" i="6"/>
  <c r="U41" i="3" s="1"/>
  <c r="U10" i="17"/>
  <c r="L31" i="6"/>
  <c r="V11" i="17"/>
  <c r="D16" i="6"/>
  <c r="F16" i="6"/>
  <c r="G16" i="6"/>
  <c r="H16" i="6"/>
  <c r="C16" i="6"/>
  <c r="D18" i="6"/>
  <c r="D19" i="6" s="1"/>
  <c r="H17" i="6"/>
  <c r="E18" i="6"/>
  <c r="G18" i="6"/>
  <c r="C18" i="6"/>
  <c r="E17" i="6"/>
  <c r="E16" i="6"/>
  <c r="F18" i="6"/>
  <c r="G17" i="6"/>
  <c r="P5" i="17"/>
  <c r="O4" i="17"/>
  <c r="O7" i="17"/>
  <c r="N6" i="3"/>
  <c r="H21" i="10" s="1"/>
  <c r="H20" i="10" s="1"/>
  <c r="N3" i="3"/>
  <c r="O4" i="3"/>
  <c r="Q6" i="5"/>
  <c r="P8" i="5"/>
  <c r="P5" i="5"/>
  <c r="AC8" i="13"/>
  <c r="AB6" i="13"/>
  <c r="AB7" i="13"/>
  <c r="K8" i="6"/>
  <c r="K36" i="6" s="1"/>
  <c r="K35" i="6" s="1"/>
  <c r="L7" i="6"/>
  <c r="L6" i="6"/>
  <c r="M5" i="6"/>
  <c r="Q6" i="4"/>
  <c r="P5" i="4"/>
  <c r="AC17" i="13" l="1"/>
  <c r="AB20" i="13"/>
  <c r="E19" i="6"/>
  <c r="V10" i="17"/>
  <c r="K38" i="6"/>
  <c r="V41" i="3" s="1"/>
  <c r="M31" i="6"/>
  <c r="W11" i="17"/>
  <c r="H19" i="6"/>
  <c r="G19" i="6"/>
  <c r="F19" i="6"/>
  <c r="C19" i="6"/>
  <c r="Q5" i="17"/>
  <c r="P4" i="17"/>
  <c r="P7" i="17"/>
  <c r="O6" i="3"/>
  <c r="P4" i="3"/>
  <c r="O3" i="3"/>
  <c r="Q8" i="5"/>
  <c r="R6" i="5"/>
  <c r="Q5" i="5"/>
  <c r="AC6" i="13"/>
  <c r="AD8" i="13"/>
  <c r="AC7" i="13"/>
  <c r="M7" i="6"/>
  <c r="M6" i="6"/>
  <c r="N5" i="6"/>
  <c r="L8" i="6"/>
  <c r="L36" i="6" s="1"/>
  <c r="L35" i="6" s="1"/>
  <c r="Q5" i="4"/>
  <c r="R6" i="4"/>
  <c r="AD17" i="13" l="1"/>
  <c r="AC20" i="13"/>
  <c r="W10" i="17"/>
  <c r="L38" i="6"/>
  <c r="W41" i="3" s="1"/>
  <c r="N31" i="6"/>
  <c r="X11" i="17"/>
  <c r="I19" i="6"/>
  <c r="Q7" i="17"/>
  <c r="Q4" i="17"/>
  <c r="R5" i="17"/>
  <c r="P6" i="3"/>
  <c r="Q4" i="3"/>
  <c r="P3" i="3"/>
  <c r="R8" i="5"/>
  <c r="S6" i="5"/>
  <c r="R5" i="5"/>
  <c r="AE8" i="13"/>
  <c r="AD6" i="13"/>
  <c r="AD7" i="13"/>
  <c r="M8" i="6"/>
  <c r="M36" i="6" s="1"/>
  <c r="M35" i="6" s="1"/>
  <c r="O5" i="6"/>
  <c r="N7" i="6"/>
  <c r="N6" i="6"/>
  <c r="R5" i="4"/>
  <c r="S6" i="4"/>
  <c r="AE17" i="13" l="1"/>
  <c r="AD20" i="13"/>
  <c r="X10" i="17"/>
  <c r="M38" i="6"/>
  <c r="X41" i="3" s="1"/>
  <c r="O31" i="6"/>
  <c r="Y11" i="17"/>
  <c r="J19" i="6"/>
  <c r="S5" i="17"/>
  <c r="R7" i="17"/>
  <c r="R4" i="17"/>
  <c r="Q3" i="3"/>
  <c r="Q6" i="3"/>
  <c r="R4" i="3"/>
  <c r="T6" i="5"/>
  <c r="S8" i="5"/>
  <c r="S5" i="5"/>
  <c r="AE6" i="13"/>
  <c r="AF8" i="13"/>
  <c r="AE7" i="13"/>
  <c r="P5" i="6"/>
  <c r="O7" i="6"/>
  <c r="O6" i="6"/>
  <c r="N8" i="6"/>
  <c r="N36" i="6" s="1"/>
  <c r="N35" i="6" s="1"/>
  <c r="S5" i="4"/>
  <c r="T6" i="4"/>
  <c r="AF17" i="13" l="1"/>
  <c r="AE20" i="13"/>
  <c r="Y10" i="17"/>
  <c r="N38" i="6"/>
  <c r="Y41" i="3" s="1"/>
  <c r="P31" i="6"/>
  <c r="Z11" i="17"/>
  <c r="K19" i="6"/>
  <c r="T5" i="17"/>
  <c r="S4" i="17"/>
  <c r="S7" i="17"/>
  <c r="S4" i="3"/>
  <c r="R3" i="3"/>
  <c r="R6" i="3"/>
  <c r="T8" i="5"/>
  <c r="U6" i="5"/>
  <c r="T5" i="5"/>
  <c r="AF6" i="13"/>
  <c r="AF7" i="13"/>
  <c r="AG8" i="13"/>
  <c r="P7" i="6"/>
  <c r="Q5" i="6"/>
  <c r="P6" i="6"/>
  <c r="O8" i="6"/>
  <c r="O36" i="6" s="1"/>
  <c r="O35" i="6" s="1"/>
  <c r="U6" i="4"/>
  <c r="T5" i="4"/>
  <c r="AG17" i="13" l="1"/>
  <c r="AF20" i="13"/>
  <c r="Z10" i="17"/>
  <c r="O38" i="6"/>
  <c r="Z41" i="3" s="1"/>
  <c r="Q31" i="6"/>
  <c r="AA11" i="17"/>
  <c r="L19" i="6"/>
  <c r="U5" i="17"/>
  <c r="T4" i="17"/>
  <c r="T7" i="17"/>
  <c r="S6" i="3"/>
  <c r="S3" i="3"/>
  <c r="T4" i="3"/>
  <c r="V6" i="5"/>
  <c r="U8" i="5"/>
  <c r="U5" i="5"/>
  <c r="AH8" i="13"/>
  <c r="AG6" i="13"/>
  <c r="AG7" i="13"/>
  <c r="P8" i="6"/>
  <c r="P36" i="6" s="1"/>
  <c r="P35" i="6" s="1"/>
  <c r="R5" i="6"/>
  <c r="Q7" i="6"/>
  <c r="Q6" i="6"/>
  <c r="V6" i="4"/>
  <c r="V5" i="4" s="1"/>
  <c r="U5" i="4"/>
  <c r="AH17" i="13" l="1"/>
  <c r="AG20" i="13"/>
  <c r="AA10" i="17"/>
  <c r="P38" i="6"/>
  <c r="AA41" i="3" s="1"/>
  <c r="R31" i="6"/>
  <c r="AB11" i="17"/>
  <c r="M19" i="6"/>
  <c r="U4" i="17"/>
  <c r="U7" i="17"/>
  <c r="V5" i="17"/>
  <c r="T3" i="3"/>
  <c r="T6" i="3"/>
  <c r="U4" i="3"/>
  <c r="V8" i="5"/>
  <c r="V5" i="5"/>
  <c r="H19" i="5"/>
  <c r="G35" i="5"/>
  <c r="G62" i="5" s="1"/>
  <c r="E42" i="5"/>
  <c r="H21" i="5"/>
  <c r="H56" i="5"/>
  <c r="G24" i="5"/>
  <c r="G51" i="5"/>
  <c r="H29" i="5"/>
  <c r="H42" i="5"/>
  <c r="F19" i="5"/>
  <c r="H40" i="5"/>
  <c r="D15" i="5"/>
  <c r="H44" i="5"/>
  <c r="H20" i="5"/>
  <c r="H33" i="5"/>
  <c r="H58" i="5"/>
  <c r="AH6" i="13"/>
  <c r="AH7" i="13"/>
  <c r="AI8" i="13"/>
  <c r="R7" i="6"/>
  <c r="R6" i="6"/>
  <c r="S5" i="6"/>
  <c r="Q8" i="6"/>
  <c r="Q36" i="6" s="1"/>
  <c r="Q35" i="6" s="1"/>
  <c r="G23" i="5"/>
  <c r="G58" i="5"/>
  <c r="G54" i="5"/>
  <c r="F33" i="5"/>
  <c r="G43" i="5"/>
  <c r="H31" i="5"/>
  <c r="H34" i="5"/>
  <c r="H46" i="5"/>
  <c r="C59" i="5"/>
  <c r="C45" i="5"/>
  <c r="C46" i="5"/>
  <c r="D57" i="5"/>
  <c r="D45" i="5"/>
  <c r="C18" i="5"/>
  <c r="D24" i="5"/>
  <c r="D22" i="5"/>
  <c r="E20" i="5"/>
  <c r="C14" i="5"/>
  <c r="C56" i="5"/>
  <c r="C35" i="5"/>
  <c r="C62" i="5" s="1"/>
  <c r="E23" i="5"/>
  <c r="C49" i="5"/>
  <c r="C51" i="5"/>
  <c r="D14" i="5"/>
  <c r="D26" i="5"/>
  <c r="D30" i="5"/>
  <c r="E35" i="5"/>
  <c r="E62" i="5" s="1"/>
  <c r="D20" i="5"/>
  <c r="E18" i="5"/>
  <c r="E12" i="5"/>
  <c r="C12" i="5"/>
  <c r="E15" i="5"/>
  <c r="D12" i="5"/>
  <c r="D49" i="5"/>
  <c r="C41" i="5"/>
  <c r="E43" i="5"/>
  <c r="D64" i="5"/>
  <c r="E19" i="5"/>
  <c r="D18" i="5"/>
  <c r="D43" i="5"/>
  <c r="E16" i="5"/>
  <c r="E21" i="5"/>
  <c r="E33" i="5"/>
  <c r="C16" i="5"/>
  <c r="E57" i="5"/>
  <c r="C63" i="5"/>
  <c r="E45" i="5"/>
  <c r="D39" i="5"/>
  <c r="D33" i="5"/>
  <c r="C42" i="5"/>
  <c r="D41" i="5"/>
  <c r="C39" i="5"/>
  <c r="C44" i="5"/>
  <c r="D59" i="5"/>
  <c r="D31" i="5"/>
  <c r="C53" i="5"/>
  <c r="C21" i="5"/>
  <c r="F51" i="5"/>
  <c r="D16" i="5"/>
  <c r="F46" i="5"/>
  <c r="C64" i="5"/>
  <c r="E22" i="5"/>
  <c r="C29" i="5"/>
  <c r="F34" i="5"/>
  <c r="E53" i="5"/>
  <c r="C26" i="5"/>
  <c r="F29" i="5"/>
  <c r="E52" i="5"/>
  <c r="C52" i="5"/>
  <c r="E13" i="5"/>
  <c r="E14" i="5"/>
  <c r="F23" i="5"/>
  <c r="D51" i="5"/>
  <c r="F49" i="5"/>
  <c r="D53" i="5"/>
  <c r="C57" i="5"/>
  <c r="E31" i="5"/>
  <c r="D63" i="5"/>
  <c r="F43" i="5"/>
  <c r="D28" i="5"/>
  <c r="E41" i="5"/>
  <c r="F30" i="5"/>
  <c r="D29" i="5"/>
  <c r="F59" i="5"/>
  <c r="C32" i="5"/>
  <c r="F41" i="5"/>
  <c r="E56" i="5"/>
  <c r="C58" i="5"/>
  <c r="F40" i="5"/>
  <c r="F22" i="5"/>
  <c r="E59" i="5"/>
  <c r="D10" i="5"/>
  <c r="D54" i="5"/>
  <c r="E46" i="5"/>
  <c r="E64" i="5"/>
  <c r="E54" i="5"/>
  <c r="D34" i="5"/>
  <c r="H52" i="5"/>
  <c r="D56" i="5"/>
  <c r="F12" i="5"/>
  <c r="F38" i="5"/>
  <c r="C38" i="5"/>
  <c r="E40" i="5"/>
  <c r="D27" i="5"/>
  <c r="E26" i="5"/>
  <c r="F15" i="5"/>
  <c r="F45" i="5"/>
  <c r="C13" i="5"/>
  <c r="C33" i="5"/>
  <c r="C10" i="5"/>
  <c r="F26" i="5"/>
  <c r="F35" i="5"/>
  <c r="F62" i="5" s="1"/>
  <c r="E28" i="5"/>
  <c r="F42" i="5"/>
  <c r="D35" i="5"/>
  <c r="D62" i="5" s="1"/>
  <c r="C43" i="5"/>
  <c r="E17" i="5"/>
  <c r="E30" i="5"/>
  <c r="F10" i="5"/>
  <c r="E63" i="5"/>
  <c r="D32" i="5"/>
  <c r="F24" i="5"/>
  <c r="D52" i="5"/>
  <c r="D58" i="5"/>
  <c r="C31" i="5"/>
  <c r="C19" i="5"/>
  <c r="D46" i="5"/>
  <c r="C17" i="5"/>
  <c r="F20" i="5"/>
  <c r="C20" i="5"/>
  <c r="D19" i="5"/>
  <c r="C30" i="5"/>
  <c r="F17" i="5"/>
  <c r="C54" i="5"/>
  <c r="D21" i="5"/>
  <c r="G49" i="5"/>
  <c r="F54" i="5"/>
  <c r="C27" i="5"/>
  <c r="F18" i="5"/>
  <c r="E51" i="5"/>
  <c r="F44" i="5"/>
  <c r="D44" i="5"/>
  <c r="E49" i="5"/>
  <c r="D17" i="5"/>
  <c r="E44" i="5"/>
  <c r="C24" i="5"/>
  <c r="G22" i="5"/>
  <c r="C22" i="5"/>
  <c r="E29" i="5"/>
  <c r="F28" i="5"/>
  <c r="D40" i="5"/>
  <c r="D23" i="5"/>
  <c r="D42" i="5"/>
  <c r="E24" i="5"/>
  <c r="F64" i="5"/>
  <c r="D38" i="5"/>
  <c r="F57" i="5"/>
  <c r="F16" i="5"/>
  <c r="E10" i="5"/>
  <c r="H28" i="5"/>
  <c r="F39" i="5"/>
  <c r="C40" i="5"/>
  <c r="E39" i="5"/>
  <c r="G27" i="5"/>
  <c r="G50" i="5"/>
  <c r="H13" i="5"/>
  <c r="H43" i="5"/>
  <c r="D13" i="5"/>
  <c r="G14" i="5"/>
  <c r="H57" i="5"/>
  <c r="G28" i="5"/>
  <c r="G59" i="5"/>
  <c r="G32" i="5"/>
  <c r="F32" i="5"/>
  <c r="G46" i="5"/>
  <c r="G56" i="5"/>
  <c r="H64" i="5"/>
  <c r="C15" i="5"/>
  <c r="E38" i="5"/>
  <c r="F52" i="5"/>
  <c r="H23" i="5"/>
  <c r="G34" i="5"/>
  <c r="C23" i="5"/>
  <c r="F56" i="5"/>
  <c r="F27" i="5"/>
  <c r="H50" i="5"/>
  <c r="H16" i="5"/>
  <c r="F21" i="5"/>
  <c r="G17" i="5"/>
  <c r="E27" i="5"/>
  <c r="G10" i="5"/>
  <c r="G57" i="5"/>
  <c r="H41" i="5"/>
  <c r="H54" i="5"/>
  <c r="G40" i="5"/>
  <c r="H63" i="5"/>
  <c r="G20" i="5"/>
  <c r="F53" i="5"/>
  <c r="E58" i="5"/>
  <c r="F13" i="5"/>
  <c r="E32" i="5"/>
  <c r="H12" i="5"/>
  <c r="G44" i="5"/>
  <c r="G26" i="5"/>
  <c r="G31" i="5"/>
  <c r="E50" i="5"/>
  <c r="H38" i="5"/>
  <c r="G52" i="5"/>
  <c r="F31" i="5"/>
  <c r="H51" i="5"/>
  <c r="F63" i="5"/>
  <c r="G41" i="5"/>
  <c r="G64" i="5"/>
  <c r="G45" i="5"/>
  <c r="H22" i="5"/>
  <c r="G19" i="5"/>
  <c r="G53" i="5"/>
  <c r="H17" i="5"/>
  <c r="G38" i="5"/>
  <c r="H49" i="5"/>
  <c r="H18" i="5"/>
  <c r="D50" i="5"/>
  <c r="F58" i="5"/>
  <c r="C28" i="5"/>
  <c r="G18" i="5"/>
  <c r="C50" i="5"/>
  <c r="F50" i="5"/>
  <c r="H35" i="5"/>
  <c r="H62" i="5" s="1"/>
  <c r="G12" i="5"/>
  <c r="G15" i="5"/>
  <c r="G13" i="5"/>
  <c r="G21" i="5"/>
  <c r="F14" i="5"/>
  <c r="G39" i="5"/>
  <c r="H15" i="5"/>
  <c r="H14" i="5"/>
  <c r="G42" i="5"/>
  <c r="G29" i="5"/>
  <c r="G30" i="5"/>
  <c r="G63" i="5"/>
  <c r="G16" i="5"/>
  <c r="H30" i="5"/>
  <c r="G33" i="5"/>
  <c r="H39" i="5"/>
  <c r="H26" i="5"/>
  <c r="H53" i="5"/>
  <c r="E34" i="5"/>
  <c r="H32" i="5"/>
  <c r="C34" i="5"/>
  <c r="H27" i="5"/>
  <c r="H24" i="5"/>
  <c r="AI17" i="13" l="1"/>
  <c r="AH20" i="13"/>
  <c r="AB10" i="17"/>
  <c r="Q38" i="6"/>
  <c r="AB41" i="3" s="1"/>
  <c r="S31" i="6"/>
  <c r="AC11" i="17"/>
  <c r="N19" i="6"/>
  <c r="W5" i="17"/>
  <c r="V7" i="17"/>
  <c r="V4" i="17"/>
  <c r="U3" i="3"/>
  <c r="U6" i="3"/>
  <c r="V4" i="3"/>
  <c r="H45" i="5"/>
  <c r="H10" i="5"/>
  <c r="H59" i="5"/>
  <c r="AI7" i="13"/>
  <c r="AI6" i="13"/>
  <c r="AJ8" i="13"/>
  <c r="S7" i="6"/>
  <c r="S6" i="6"/>
  <c r="T5" i="6"/>
  <c r="R8" i="6"/>
  <c r="R36" i="6" s="1"/>
  <c r="R35" i="6" s="1"/>
  <c r="AJ17" i="13" l="1"/>
  <c r="AI20" i="13"/>
  <c r="AC10" i="17"/>
  <c r="R38" i="6"/>
  <c r="AC41" i="3" s="1"/>
  <c r="T31" i="6"/>
  <c r="AD11" i="17"/>
  <c r="O19" i="6"/>
  <c r="X5" i="17"/>
  <c r="W4" i="17"/>
  <c r="W7" i="17"/>
  <c r="W4" i="3"/>
  <c r="V3" i="3"/>
  <c r="E13" i="3" s="1"/>
  <c r="V6" i="3"/>
  <c r="AK8" i="13"/>
  <c r="AJ7" i="13"/>
  <c r="AJ6" i="13"/>
  <c r="S8" i="6"/>
  <c r="S36" i="6" s="1"/>
  <c r="S35" i="6" s="1"/>
  <c r="T6" i="6"/>
  <c r="U5" i="6"/>
  <c r="T7" i="6"/>
  <c r="G11" i="3" l="1"/>
  <c r="D83" i="3"/>
  <c r="C32" i="3"/>
  <c r="AK17" i="13"/>
  <c r="AJ20" i="13"/>
  <c r="AD10" i="17"/>
  <c r="S38" i="6"/>
  <c r="AD41" i="3" s="1"/>
  <c r="U31" i="6"/>
  <c r="AE11" i="17"/>
  <c r="P19" i="6"/>
  <c r="Y5" i="17"/>
  <c r="X4" i="17"/>
  <c r="X7" i="17"/>
  <c r="D55" i="3"/>
  <c r="F13" i="3"/>
  <c r="G83" i="3"/>
  <c r="F55" i="3"/>
  <c r="C55" i="3"/>
  <c r="D51" i="3"/>
  <c r="H33" i="3"/>
  <c r="E80" i="3"/>
  <c r="H35" i="3"/>
  <c r="C68" i="3"/>
  <c r="G47" i="3"/>
  <c r="E18" i="3"/>
  <c r="H50" i="3"/>
  <c r="C36" i="3"/>
  <c r="F8" i="3"/>
  <c r="F62" i="3"/>
  <c r="H58" i="3"/>
  <c r="G84" i="3"/>
  <c r="G62" i="3"/>
  <c r="D58" i="3"/>
  <c r="H62" i="3"/>
  <c r="H7" i="3"/>
  <c r="F9" i="3"/>
  <c r="D34" i="3"/>
  <c r="C62" i="3"/>
  <c r="G63" i="3"/>
  <c r="D50" i="3"/>
  <c r="C11" i="3"/>
  <c r="F74" i="3"/>
  <c r="H52" i="3"/>
  <c r="E52" i="3"/>
  <c r="G55" i="3"/>
  <c r="G86" i="3"/>
  <c r="F68" i="3"/>
  <c r="C7" i="3"/>
  <c r="D36" i="3"/>
  <c r="D74" i="3"/>
  <c r="G85" i="3"/>
  <c r="G33" i="3"/>
  <c r="G79" i="3"/>
  <c r="F60" i="3"/>
  <c r="D87" i="3"/>
  <c r="F73" i="3"/>
  <c r="H36" i="3"/>
  <c r="D81" i="3"/>
  <c r="G17" i="3"/>
  <c r="F18" i="3"/>
  <c r="G72" i="3"/>
  <c r="G8" i="3"/>
  <c r="C56" i="3"/>
  <c r="H61" i="3"/>
  <c r="C13" i="3"/>
  <c r="G53" i="3"/>
  <c r="F17" i="3"/>
  <c r="C71" i="3"/>
  <c r="G20" i="3"/>
  <c r="H54" i="3"/>
  <c r="E83" i="3"/>
  <c r="D12" i="3"/>
  <c r="C64" i="3"/>
  <c r="E75" i="3"/>
  <c r="E56" i="3"/>
  <c r="G59" i="3"/>
  <c r="C8" i="3"/>
  <c r="E73" i="3"/>
  <c r="D17" i="3"/>
  <c r="F54" i="3"/>
  <c r="C74" i="3"/>
  <c r="D75" i="3"/>
  <c r="C85" i="3"/>
  <c r="C50" i="3"/>
  <c r="G9" i="3"/>
  <c r="H8" i="3"/>
  <c r="G74" i="3"/>
  <c r="G13" i="3"/>
  <c r="F75" i="3"/>
  <c r="C18" i="3"/>
  <c r="C60" i="3"/>
  <c r="G81" i="3"/>
  <c r="C81" i="3"/>
  <c r="H74" i="3"/>
  <c r="E14" i="3"/>
  <c r="C9" i="3"/>
  <c r="F15" i="3"/>
  <c r="C65" i="3"/>
  <c r="H34" i="3"/>
  <c r="G34" i="3"/>
  <c r="F65" i="3"/>
  <c r="F87" i="3"/>
  <c r="F35" i="3"/>
  <c r="C67" i="3"/>
  <c r="D35" i="3"/>
  <c r="G32" i="3"/>
  <c r="D72" i="3"/>
  <c r="G36" i="3"/>
  <c r="H16" i="3"/>
  <c r="G12" i="3"/>
  <c r="F80" i="3"/>
  <c r="D85" i="3"/>
  <c r="E84" i="3"/>
  <c r="D13" i="3"/>
  <c r="G80" i="3"/>
  <c r="H82" i="3"/>
  <c r="D15" i="3"/>
  <c r="E86" i="3"/>
  <c r="C80" i="3"/>
  <c r="D47" i="3"/>
  <c r="D53" i="3"/>
  <c r="D9" i="3"/>
  <c r="E31" i="3"/>
  <c r="G51" i="3"/>
  <c r="E62" i="3"/>
  <c r="D80" i="3"/>
  <c r="D31" i="3"/>
  <c r="C35" i="3"/>
  <c r="F49" i="3"/>
  <c r="H65" i="3"/>
  <c r="D84" i="3"/>
  <c r="C34" i="3"/>
  <c r="G19" i="3"/>
  <c r="C58" i="3"/>
  <c r="D33" i="3"/>
  <c r="G71" i="3"/>
  <c r="F10" i="3"/>
  <c r="G31" i="3"/>
  <c r="C17" i="3"/>
  <c r="D73" i="3"/>
  <c r="E57" i="3"/>
  <c r="H67" i="3"/>
  <c r="F51" i="3"/>
  <c r="H83" i="3"/>
  <c r="D8" i="3"/>
  <c r="D62" i="3"/>
  <c r="E35" i="3"/>
  <c r="C20" i="3"/>
  <c r="F34" i="3"/>
  <c r="G18" i="3"/>
  <c r="H64" i="3"/>
  <c r="C19" i="3"/>
  <c r="D82" i="3"/>
  <c r="F85" i="3"/>
  <c r="C82" i="3"/>
  <c r="H12" i="3"/>
  <c r="C72" i="3"/>
  <c r="H57" i="3"/>
  <c r="E63" i="3"/>
  <c r="D14" i="3"/>
  <c r="C87" i="3"/>
  <c r="F33" i="3"/>
  <c r="H17" i="3"/>
  <c r="D19" i="3"/>
  <c r="H60" i="3"/>
  <c r="H87" i="3"/>
  <c r="D16" i="3"/>
  <c r="C51" i="3"/>
  <c r="E81" i="3"/>
  <c r="E65" i="3"/>
  <c r="G56" i="3"/>
  <c r="F20" i="3"/>
  <c r="G16" i="3"/>
  <c r="F63" i="3"/>
  <c r="E79" i="3"/>
  <c r="E50" i="3"/>
  <c r="F84" i="3"/>
  <c r="E61" i="3"/>
  <c r="F19" i="3"/>
  <c r="F71" i="3"/>
  <c r="F50" i="3"/>
  <c r="G67" i="3"/>
  <c r="G60" i="3"/>
  <c r="E49" i="3"/>
  <c r="D10" i="3"/>
  <c r="H51" i="3"/>
  <c r="D60" i="3"/>
  <c r="D67" i="3"/>
  <c r="D79" i="3"/>
  <c r="G75" i="3"/>
  <c r="F31" i="3"/>
  <c r="C47" i="3"/>
  <c r="C59" i="3"/>
  <c r="F16" i="3"/>
  <c r="F58" i="3"/>
  <c r="H72" i="3"/>
  <c r="E59" i="3"/>
  <c r="C83" i="3"/>
  <c r="H13" i="3"/>
  <c r="H80" i="3"/>
  <c r="G87" i="3"/>
  <c r="H81" i="3"/>
  <c r="D11" i="3"/>
  <c r="G15" i="3"/>
  <c r="D86" i="3"/>
  <c r="G57" i="3"/>
  <c r="E53" i="3"/>
  <c r="G68" i="3"/>
  <c r="E47" i="3"/>
  <c r="D59" i="3"/>
  <c r="F86" i="3"/>
  <c r="H53" i="3"/>
  <c r="H55" i="3"/>
  <c r="F82" i="3"/>
  <c r="G61" i="3"/>
  <c r="D32" i="3"/>
  <c r="C16" i="3"/>
  <c r="F11" i="3"/>
  <c r="C86" i="3"/>
  <c r="C61" i="3"/>
  <c r="D56" i="3"/>
  <c r="H19" i="3"/>
  <c r="D54" i="3"/>
  <c r="E15" i="3"/>
  <c r="H31" i="3"/>
  <c r="E82" i="3"/>
  <c r="G73" i="3"/>
  <c r="E74" i="3"/>
  <c r="E33" i="3"/>
  <c r="H68" i="3"/>
  <c r="C57" i="3"/>
  <c r="D52" i="3"/>
  <c r="F72" i="3"/>
  <c r="G50" i="3"/>
  <c r="E72" i="3"/>
  <c r="G58" i="3"/>
  <c r="H71" i="3"/>
  <c r="E58" i="3"/>
  <c r="C52" i="3"/>
  <c r="E32" i="3"/>
  <c r="E71" i="3"/>
  <c r="F36" i="3"/>
  <c r="F67" i="3"/>
  <c r="C12" i="3"/>
  <c r="G65" i="3"/>
  <c r="H20" i="3"/>
  <c r="F81" i="3"/>
  <c r="E34" i="3"/>
  <c r="C15" i="3"/>
  <c r="F14" i="3"/>
  <c r="G64" i="3"/>
  <c r="E20" i="3"/>
  <c r="G10" i="3"/>
  <c r="H9" i="3"/>
  <c r="E9" i="3"/>
  <c r="E8" i="3"/>
  <c r="C73" i="3"/>
  <c r="F79" i="3"/>
  <c r="E64" i="3"/>
  <c r="F59" i="3"/>
  <c r="D61" i="3"/>
  <c r="E17" i="3"/>
  <c r="H84" i="3"/>
  <c r="H10" i="3"/>
  <c r="E10" i="3"/>
  <c r="D63" i="3"/>
  <c r="H49" i="3"/>
  <c r="H11" i="3"/>
  <c r="G49" i="3"/>
  <c r="H32" i="3"/>
  <c r="C31" i="3"/>
  <c r="H86" i="3"/>
  <c r="H56" i="3"/>
  <c r="E12" i="3"/>
  <c r="C10" i="3"/>
  <c r="D65" i="3"/>
  <c r="C79" i="3"/>
  <c r="H85" i="3"/>
  <c r="F47" i="3"/>
  <c r="F61" i="3"/>
  <c r="E55" i="3"/>
  <c r="C84" i="3"/>
  <c r="D7" i="3"/>
  <c r="E87" i="3"/>
  <c r="E11" i="3"/>
  <c r="D20" i="3"/>
  <c r="C14" i="3"/>
  <c r="F32" i="3"/>
  <c r="C54" i="3"/>
  <c r="E85" i="3"/>
  <c r="G82" i="3"/>
  <c r="H75" i="3"/>
  <c r="C33" i="3"/>
  <c r="E54" i="3"/>
  <c r="C75" i="3"/>
  <c r="H73" i="3"/>
  <c r="H63" i="3"/>
  <c r="F52" i="3"/>
  <c r="G7" i="3"/>
  <c r="D71" i="3"/>
  <c r="D57" i="3"/>
  <c r="F64" i="3"/>
  <c r="E60" i="3"/>
  <c r="E16" i="3"/>
  <c r="H18" i="3"/>
  <c r="D68" i="3"/>
  <c r="G52" i="3"/>
  <c r="C49" i="3"/>
  <c r="H47" i="3"/>
  <c r="D64" i="3"/>
  <c r="F57" i="3"/>
  <c r="D18" i="3"/>
  <c r="H79" i="3"/>
  <c r="E51" i="3"/>
  <c r="C53" i="3"/>
  <c r="E68" i="3"/>
  <c r="G14" i="3"/>
  <c r="E36" i="3"/>
  <c r="E19" i="3"/>
  <c r="F53" i="3"/>
  <c r="F56" i="3"/>
  <c r="D49" i="3"/>
  <c r="H14" i="3"/>
  <c r="F83" i="3"/>
  <c r="H15" i="3"/>
  <c r="G54" i="3"/>
  <c r="F7" i="3"/>
  <c r="G35" i="3"/>
  <c r="H59" i="3"/>
  <c r="C63" i="3"/>
  <c r="F12" i="3"/>
  <c r="E67" i="3"/>
  <c r="E7" i="3"/>
  <c r="W3" i="3"/>
  <c r="W6" i="3"/>
  <c r="X4" i="3"/>
  <c r="AK7" i="13"/>
  <c r="AK6" i="13"/>
  <c r="AL8" i="13"/>
  <c r="T8" i="6"/>
  <c r="T36" i="6" s="1"/>
  <c r="T35" i="6" s="1"/>
  <c r="U7" i="6"/>
  <c r="U6" i="6"/>
  <c r="V5" i="6"/>
  <c r="AL17" i="13" l="1"/>
  <c r="AK20" i="13"/>
  <c r="AE10" i="17"/>
  <c r="T38" i="6"/>
  <c r="AE41" i="3" s="1"/>
  <c r="V31" i="6"/>
  <c r="AG11" i="17" s="1"/>
  <c r="AF11" i="17"/>
  <c r="Q19" i="6"/>
  <c r="Y7" i="17"/>
  <c r="Z5" i="17"/>
  <c r="Y4" i="17"/>
  <c r="X6" i="3"/>
  <c r="X3" i="3"/>
  <c r="Y4" i="3"/>
  <c r="AM8" i="13"/>
  <c r="AL7" i="13"/>
  <c r="AL6" i="13"/>
  <c r="V6" i="6"/>
  <c r="V7" i="6"/>
  <c r="U8" i="6"/>
  <c r="U36" i="6" s="1"/>
  <c r="U35" i="6" s="1"/>
  <c r="AM17" i="13" l="1"/>
  <c r="AL20" i="13"/>
  <c r="AF10" i="17"/>
  <c r="U38" i="6"/>
  <c r="AF41" i="3" s="1"/>
  <c r="R19" i="6"/>
  <c r="Z4" i="17"/>
  <c r="AA5" i="17"/>
  <c r="Z7" i="17"/>
  <c r="Y3" i="3"/>
  <c r="Y6" i="3"/>
  <c r="Z4" i="3"/>
  <c r="AM7" i="13"/>
  <c r="AM6" i="13"/>
  <c r="AN8" i="13"/>
  <c r="V8" i="6"/>
  <c r="V36" i="6" s="1"/>
  <c r="V35" i="6" s="1"/>
  <c r="AN17" i="13" l="1"/>
  <c r="AM20" i="13"/>
  <c r="AG10" i="17"/>
  <c r="V38" i="6"/>
  <c r="AG41" i="3" s="1"/>
  <c r="S19" i="6"/>
  <c r="AB5" i="17"/>
  <c r="AA4" i="17"/>
  <c r="AA7" i="17"/>
  <c r="Z3" i="3"/>
  <c r="AA4" i="3"/>
  <c r="Z6" i="3"/>
  <c r="AN7" i="13"/>
  <c r="AO8" i="13"/>
  <c r="AN6" i="13"/>
  <c r="AO17" i="13" l="1"/>
  <c r="AN20" i="13"/>
  <c r="T19" i="6"/>
  <c r="AC5" i="17"/>
  <c r="AB4" i="17"/>
  <c r="AB7" i="17"/>
  <c r="AA3" i="3"/>
  <c r="AB4" i="3"/>
  <c r="AA6" i="3"/>
  <c r="AO7" i="13"/>
  <c r="AP8" i="13"/>
  <c r="AO6" i="13"/>
  <c r="AP17" i="13" l="1"/>
  <c r="AO20" i="13"/>
  <c r="V19" i="6"/>
  <c r="U19" i="6"/>
  <c r="AC7" i="17"/>
  <c r="AC4" i="17"/>
  <c r="AD5" i="17"/>
  <c r="AB3" i="3"/>
  <c r="AC4" i="3"/>
  <c r="AB6" i="3"/>
  <c r="AQ8" i="13"/>
  <c r="AP6" i="13"/>
  <c r="AP7" i="13"/>
  <c r="AQ17" i="13" l="1"/>
  <c r="AP20" i="13"/>
  <c r="AD4" i="17"/>
  <c r="AD7" i="17"/>
  <c r="AE5" i="17"/>
  <c r="AC3" i="3"/>
  <c r="AC6" i="3"/>
  <c r="AD4" i="3"/>
  <c r="AR8" i="13"/>
  <c r="AQ6" i="13"/>
  <c r="AQ7" i="13"/>
  <c r="AR17" i="13" l="1"/>
  <c r="AQ20" i="13"/>
  <c r="AE4" i="17"/>
  <c r="AF5" i="17"/>
  <c r="AE7" i="17"/>
  <c r="AD3" i="3"/>
  <c r="AE4" i="3"/>
  <c r="AD6" i="3"/>
  <c r="AS8" i="13"/>
  <c r="AR7" i="13"/>
  <c r="AR6" i="13"/>
  <c r="AS17" i="13" l="1"/>
  <c r="AR20" i="13"/>
  <c r="AG5" i="17"/>
  <c r="AF4" i="17"/>
  <c r="AF7" i="17"/>
  <c r="AE3" i="3"/>
  <c r="AF4" i="3"/>
  <c r="AE6" i="3"/>
  <c r="AT8" i="13"/>
  <c r="AS6" i="13"/>
  <c r="AS7" i="13"/>
  <c r="AT17" i="13" l="1"/>
  <c r="AS20" i="13"/>
  <c r="AG4" i="17"/>
  <c r="AG7" i="17"/>
  <c r="AF3" i="3"/>
  <c r="AG4" i="3"/>
  <c r="AF6" i="3"/>
  <c r="AT6" i="13"/>
  <c r="AT7" i="13"/>
  <c r="AU8" i="13"/>
  <c r="C17" i="17" l="1"/>
  <c r="D19" i="17"/>
  <c r="C19" i="17"/>
  <c r="D17" i="17"/>
  <c r="D15" i="17"/>
  <c r="C15" i="17"/>
  <c r="AU17" i="13"/>
  <c r="AT20" i="13"/>
  <c r="H11" i="17"/>
  <c r="D9" i="17"/>
  <c r="C9" i="17"/>
  <c r="H10" i="17"/>
  <c r="G10" i="17"/>
  <c r="G11" i="17"/>
  <c r="E10" i="17"/>
  <c r="F11" i="17"/>
  <c r="F10" i="17"/>
  <c r="E11" i="17"/>
  <c r="AG3" i="3"/>
  <c r="AG6" i="3"/>
  <c r="AU7" i="13"/>
  <c r="AU6" i="13"/>
  <c r="AV8" i="13"/>
  <c r="C21" i="17" l="1"/>
  <c r="D21" i="17"/>
  <c r="AV17" i="13"/>
  <c r="AU20" i="13"/>
  <c r="H43" i="3"/>
  <c r="D42" i="3"/>
  <c r="F42" i="3"/>
  <c r="F41" i="3"/>
  <c r="D43" i="3"/>
  <c r="G41" i="3"/>
  <c r="G42" i="3"/>
  <c r="C42" i="3"/>
  <c r="E41" i="3"/>
  <c r="C41" i="3"/>
  <c r="E43" i="3"/>
  <c r="H42" i="3"/>
  <c r="D41" i="3"/>
  <c r="E42" i="3"/>
  <c r="C43" i="3"/>
  <c r="F43" i="3"/>
  <c r="H41" i="3"/>
  <c r="G43" i="3"/>
  <c r="C37" i="3"/>
  <c r="D37" i="3"/>
  <c r="AV6" i="13"/>
  <c r="AW8" i="13"/>
  <c r="AV7" i="13"/>
  <c r="AW17" i="13" l="1"/>
  <c r="AV20" i="13"/>
  <c r="D10" i="17"/>
  <c r="D12" i="17" s="1"/>
  <c r="C10" i="17"/>
  <c r="D40" i="3"/>
  <c r="D44" i="3" s="1"/>
  <c r="D76" i="3" s="1"/>
  <c r="C40" i="3"/>
  <c r="C44" i="3" s="1"/>
  <c r="C76" i="3" s="1"/>
  <c r="AW7" i="13"/>
  <c r="AW6" i="13"/>
  <c r="AX8" i="13"/>
  <c r="C12" i="17" l="1"/>
  <c r="C23" i="17" s="1"/>
  <c r="C20" i="17"/>
  <c r="D18" i="17"/>
  <c r="D20" i="17"/>
  <c r="D23" i="17"/>
  <c r="D16" i="17"/>
  <c r="AX17" i="13"/>
  <c r="AW20" i="13"/>
  <c r="AX6" i="13"/>
  <c r="AX7" i="13"/>
  <c r="AY8" i="13"/>
  <c r="C18" i="17" l="1"/>
  <c r="D13" i="17"/>
  <c r="C16" i="17"/>
  <c r="AY17" i="13"/>
  <c r="AX20" i="13"/>
  <c r="AY6" i="13"/>
  <c r="AZ8" i="13"/>
  <c r="AY7" i="13"/>
  <c r="AZ17" i="13" l="1"/>
  <c r="AY20" i="13"/>
  <c r="AZ7" i="13"/>
  <c r="BA8" i="13"/>
  <c r="AZ6" i="13"/>
  <c r="BA17" i="13" l="1"/>
  <c r="AZ20" i="13"/>
  <c r="BA7" i="13"/>
  <c r="BB8" i="13"/>
  <c r="BA6" i="13"/>
  <c r="BB17" i="13" l="1"/>
  <c r="BA20" i="13"/>
  <c r="BB6" i="13"/>
  <c r="BB7" i="13"/>
  <c r="BC8" i="13"/>
  <c r="BC17" i="13" l="1"/>
  <c r="BB20" i="13"/>
  <c r="BD8" i="13"/>
  <c r="BC7" i="13"/>
  <c r="BC6" i="13"/>
  <c r="BD17" i="13" l="1"/>
  <c r="BC20" i="13"/>
  <c r="BD6" i="13"/>
  <c r="BD7" i="13"/>
  <c r="BE8" i="13"/>
  <c r="BE17" i="13" l="1"/>
  <c r="BD20" i="13"/>
  <c r="BF8" i="13"/>
  <c r="BE6" i="13"/>
  <c r="BE7" i="13"/>
  <c r="BF17" i="13" l="1"/>
  <c r="BE20" i="13"/>
  <c r="BG8" i="13"/>
  <c r="BF6" i="13"/>
  <c r="BF7" i="13"/>
  <c r="BG17" i="13" l="1"/>
  <c r="BF20" i="13"/>
  <c r="BH8" i="13"/>
  <c r="BG7" i="13"/>
  <c r="BG6" i="13"/>
  <c r="BH17" i="13" l="1"/>
  <c r="BG20" i="13"/>
  <c r="BH6" i="13"/>
  <c r="BI8" i="13"/>
  <c r="BH7" i="13"/>
  <c r="BI17" i="13" l="1"/>
  <c r="BH20" i="13"/>
  <c r="BI7" i="13"/>
  <c r="BJ8" i="13"/>
  <c r="BI6" i="13"/>
  <c r="BJ17" i="13" l="1"/>
  <c r="BJ20" i="13" s="1"/>
  <c r="BI20" i="13"/>
  <c r="BJ7" i="13"/>
  <c r="BJ6" i="13"/>
  <c r="C10" i="6" l="1"/>
  <c r="N10" i="6"/>
  <c r="G10" i="6"/>
  <c r="C11" i="6"/>
  <c r="E11" i="6"/>
  <c r="D12" i="6"/>
  <c r="G12" i="6"/>
  <c r="D11" i="6"/>
  <c r="H11" i="6"/>
  <c r="H22" i="6" s="1"/>
  <c r="C12" i="6"/>
  <c r="H12" i="6"/>
  <c r="H23" i="6" s="1"/>
  <c r="H10" i="6"/>
  <c r="D10" i="6"/>
  <c r="F12" i="6"/>
  <c r="K10" i="6"/>
  <c r="E10" i="6"/>
  <c r="I10" i="6"/>
  <c r="I11" i="6"/>
  <c r="I22" i="6" s="1"/>
  <c r="G11" i="6"/>
  <c r="J12" i="6"/>
  <c r="J23" i="6" s="1"/>
  <c r="E12" i="6"/>
  <c r="L12" i="6"/>
  <c r="L23" i="6" s="1"/>
  <c r="F11" i="6"/>
  <c r="J11" i="6"/>
  <c r="J22" i="6" s="1"/>
  <c r="I12" i="6"/>
  <c r="I23" i="6" s="1"/>
  <c r="J10" i="6"/>
  <c r="F10" i="6"/>
  <c r="K11" i="6"/>
  <c r="K22" i="6" s="1"/>
  <c r="M11" i="6"/>
  <c r="M22" i="6" s="1"/>
  <c r="M12" i="6"/>
  <c r="M23" i="6" s="1"/>
  <c r="L10" i="6"/>
  <c r="M10" i="6"/>
  <c r="K12" i="6"/>
  <c r="K23" i="6" s="1"/>
  <c r="L11" i="6"/>
  <c r="L22" i="6" s="1"/>
  <c r="N12" i="6"/>
  <c r="N23" i="6" s="1"/>
  <c r="Q11" i="6"/>
  <c r="Q22" i="6" s="1"/>
  <c r="N11" i="6"/>
  <c r="N22" i="6" s="1"/>
  <c r="Q10" i="6"/>
  <c r="O12" i="6"/>
  <c r="O23" i="6" s="1"/>
  <c r="O10" i="6"/>
  <c r="O11" i="6"/>
  <c r="O22" i="6" s="1"/>
  <c r="Q12" i="6"/>
  <c r="Q23" i="6" s="1"/>
  <c r="R12" i="6"/>
  <c r="R23" i="6" s="1"/>
  <c r="P10" i="6"/>
  <c r="P11" i="6"/>
  <c r="P22" i="6" s="1"/>
  <c r="P12" i="6"/>
  <c r="P23" i="6" s="1"/>
  <c r="S11" i="6"/>
  <c r="S22" i="6" s="1"/>
  <c r="T11" i="6"/>
  <c r="T22" i="6" s="1"/>
  <c r="S12" i="6"/>
  <c r="S23" i="6" s="1"/>
  <c r="T12" i="6"/>
  <c r="T23" i="6" s="1"/>
  <c r="R10" i="6"/>
  <c r="R11" i="6"/>
  <c r="R22" i="6" s="1"/>
  <c r="V10" i="6"/>
  <c r="T10" i="6"/>
  <c r="S10" i="6"/>
  <c r="U11" i="6"/>
  <c r="U22" i="6" s="1"/>
  <c r="U10" i="6"/>
  <c r="U12" i="6"/>
  <c r="U23" i="6" s="1"/>
  <c r="V12" i="6"/>
  <c r="V23" i="6" s="1"/>
  <c r="V11" i="6"/>
  <c r="V22" i="6" s="1"/>
  <c r="U13" i="6" l="1"/>
  <c r="U21" i="6"/>
  <c r="U24" i="6" s="1"/>
  <c r="P21" i="6"/>
  <c r="P24" i="6" s="1"/>
  <c r="P13" i="6"/>
  <c r="M13" i="6"/>
  <c r="M21" i="6"/>
  <c r="M24" i="6" s="1"/>
  <c r="S13" i="6"/>
  <c r="S21" i="6"/>
  <c r="S24" i="6" s="1"/>
  <c r="L13" i="6"/>
  <c r="L21" i="6"/>
  <c r="L24" i="6" s="1"/>
  <c r="H13" i="6"/>
  <c r="S8" i="17" s="1"/>
  <c r="H21" i="6"/>
  <c r="H24" i="6" s="1"/>
  <c r="T13" i="6"/>
  <c r="T21" i="6"/>
  <c r="T24" i="6" s="1"/>
  <c r="I21" i="6"/>
  <c r="I24" i="6" s="1"/>
  <c r="I13" i="6"/>
  <c r="O13" i="6"/>
  <c r="O21" i="6"/>
  <c r="O24" i="6" s="1"/>
  <c r="E13" i="6"/>
  <c r="R13" i="6"/>
  <c r="R21" i="6"/>
  <c r="R24" i="6" s="1"/>
  <c r="F13" i="6"/>
  <c r="K13" i="6"/>
  <c r="K21" i="6"/>
  <c r="K24" i="6" s="1"/>
  <c r="G13" i="6"/>
  <c r="V13" i="6"/>
  <c r="V21" i="6"/>
  <c r="V24" i="6" s="1"/>
  <c r="Q13" i="6"/>
  <c r="Q21" i="6"/>
  <c r="Q24" i="6" s="1"/>
  <c r="J13" i="6"/>
  <c r="J21" i="6"/>
  <c r="J24" i="6" s="1"/>
  <c r="N13" i="6"/>
  <c r="N21" i="6"/>
  <c r="N24" i="6" s="1"/>
  <c r="D13" i="6"/>
  <c r="C13" i="6"/>
  <c r="C23" i="10"/>
  <c r="H23" i="10" s="1"/>
  <c r="R14" i="6" l="1"/>
  <c r="Z8" i="17"/>
  <c r="X8" i="17"/>
  <c r="M14" i="6"/>
  <c r="O14" i="6"/>
  <c r="AB8" i="17"/>
  <c r="T8" i="17"/>
  <c r="I14" i="6"/>
  <c r="AA8" i="17"/>
  <c r="P14" i="6"/>
  <c r="N8" i="17"/>
  <c r="C27" i="6"/>
  <c r="V8" i="17"/>
  <c r="K14" i="6"/>
  <c r="D27" i="6"/>
  <c r="O8" i="17"/>
  <c r="F27" i="6"/>
  <c r="Q8" i="17"/>
  <c r="W8" i="17"/>
  <c r="L14" i="6"/>
  <c r="Y8" i="17"/>
  <c r="N14" i="6"/>
  <c r="AC8" i="17"/>
  <c r="P8" i="17"/>
  <c r="E27" i="6"/>
  <c r="AD8" i="17"/>
  <c r="S14" i="6"/>
  <c r="U8" i="17"/>
  <c r="J14" i="6"/>
  <c r="Q14" i="6"/>
  <c r="AG8" i="17"/>
  <c r="V14" i="6"/>
  <c r="H14" i="6"/>
  <c r="G27" i="6"/>
  <c r="R8" i="17"/>
  <c r="G14" i="6"/>
  <c r="AE8" i="17"/>
  <c r="T14" i="6"/>
  <c r="AF8" i="17"/>
  <c r="U14" i="6"/>
  <c r="F8" i="17" l="1"/>
  <c r="H27" i="6"/>
  <c r="I27" i="6" s="1"/>
  <c r="D8" i="17"/>
  <c r="E8" i="17"/>
  <c r="H8" i="17"/>
  <c r="G8" i="17"/>
  <c r="H26" i="6" l="1"/>
  <c r="H29" i="6" s="1"/>
  <c r="S37" i="3" s="1"/>
  <c r="S40" i="3" s="1"/>
  <c r="S9" i="17" s="1"/>
  <c r="S12" i="17" s="1"/>
  <c r="J27" i="6"/>
  <c r="I26" i="6"/>
  <c r="I29" i="6" s="1"/>
  <c r="T37" i="3" s="1"/>
  <c r="T40" i="3" s="1"/>
  <c r="S23" i="17" l="1"/>
  <c r="S20" i="17"/>
  <c r="S16" i="17"/>
  <c r="S18" i="17"/>
  <c r="J26" i="6"/>
  <c r="J29" i="6" s="1"/>
  <c r="U37" i="3" s="1"/>
  <c r="U40" i="3" s="1"/>
  <c r="K27" i="6"/>
  <c r="T9" i="17"/>
  <c r="T12" i="17" s="1"/>
  <c r="T44" i="3"/>
  <c r="T76" i="3" s="1"/>
  <c r="S44" i="3"/>
  <c r="S76" i="3" s="1"/>
  <c r="T16" i="17" l="1"/>
  <c r="T15" i="17" s="1"/>
  <c r="T20" i="17"/>
  <c r="T19" i="17" s="1"/>
  <c r="E37" i="3"/>
  <c r="E40" i="3" s="1"/>
  <c r="E44" i="3" s="1"/>
  <c r="E76" i="3" s="1"/>
  <c r="L27" i="6"/>
  <c r="M27" i="6" s="1"/>
  <c r="N27" i="6" s="1"/>
  <c r="K26" i="6"/>
  <c r="K29" i="6" s="1"/>
  <c r="V37" i="3" s="1"/>
  <c r="U9" i="17"/>
  <c r="U44" i="3"/>
  <c r="U76" i="3" s="1"/>
  <c r="U20" i="17" l="1"/>
  <c r="U16" i="17"/>
  <c r="E9" i="17"/>
  <c r="U12" i="17"/>
  <c r="M26" i="6"/>
  <c r="M29" i="6" s="1"/>
  <c r="X37" i="3" s="1"/>
  <c r="X40" i="3" s="1"/>
  <c r="N26" i="6"/>
  <c r="N29" i="6" s="1"/>
  <c r="Y37" i="3" s="1"/>
  <c r="Y40" i="3" s="1"/>
  <c r="V40" i="3"/>
  <c r="L26" i="6"/>
  <c r="L29" i="6" s="1"/>
  <c r="W37" i="3" s="1"/>
  <c r="W40" i="3" s="1"/>
  <c r="O27" i="6"/>
  <c r="E12" i="17" l="1"/>
  <c r="E13" i="17" s="1"/>
  <c r="V16" i="17"/>
  <c r="W16" i="17" s="1"/>
  <c r="V20" i="17"/>
  <c r="W20" i="17" s="1"/>
  <c r="U19" i="17"/>
  <c r="E19" i="17" s="1"/>
  <c r="U15" i="17"/>
  <c r="E15" i="17" s="1"/>
  <c r="P27" i="6"/>
  <c r="Q27" i="6" s="1"/>
  <c r="Q26" i="6" s="1"/>
  <c r="Q29" i="6" s="1"/>
  <c r="AB37" i="3" s="1"/>
  <c r="AB40" i="3" s="1"/>
  <c r="Y9" i="17"/>
  <c r="Y12" i="17" s="1"/>
  <c r="Y44" i="3"/>
  <c r="Y76" i="3" s="1"/>
  <c r="F37" i="3"/>
  <c r="F40" i="3" s="1"/>
  <c r="F44" i="3" s="1"/>
  <c r="F76" i="3" s="1"/>
  <c r="V9" i="17"/>
  <c r="V12" i="17" s="1"/>
  <c r="V44" i="3"/>
  <c r="V76" i="3" s="1"/>
  <c r="O26" i="6"/>
  <c r="O29" i="6" s="1"/>
  <c r="Z37" i="3" s="1"/>
  <c r="W9" i="17"/>
  <c r="W12" i="17" s="1"/>
  <c r="W44" i="3"/>
  <c r="W76" i="3" s="1"/>
  <c r="X9" i="17"/>
  <c r="X12" i="17" s="1"/>
  <c r="X44" i="3"/>
  <c r="X76" i="3" s="1"/>
  <c r="E41" i="17" l="1"/>
  <c r="C33" i="2" s="1"/>
  <c r="C13" i="2"/>
  <c r="X16" i="17"/>
  <c r="Y16" i="17" s="1"/>
  <c r="Y15" i="17" s="1"/>
  <c r="X20" i="17"/>
  <c r="Y20" i="17"/>
  <c r="Y19" i="17" s="1"/>
  <c r="X19" i="17"/>
  <c r="W19" i="17"/>
  <c r="W15" i="17"/>
  <c r="V19" i="17"/>
  <c r="V15" i="17"/>
  <c r="E16" i="17"/>
  <c r="E20" i="17"/>
  <c r="P26" i="6"/>
  <c r="P29" i="6" s="1"/>
  <c r="AA37" i="3" s="1"/>
  <c r="AA40" i="3" s="1"/>
  <c r="F9" i="17"/>
  <c r="F12" i="17" s="1"/>
  <c r="F13" i="17" s="1"/>
  <c r="AB9" i="17"/>
  <c r="AB12" i="17" s="1"/>
  <c r="AB44" i="3"/>
  <c r="AB76" i="3" s="1"/>
  <c r="Z40" i="3"/>
  <c r="R27" i="6"/>
  <c r="X15" i="17" l="1"/>
  <c r="Z16" i="17"/>
  <c r="AA16" i="17" s="1"/>
  <c r="F15" i="17"/>
  <c r="Z20" i="17"/>
  <c r="F19" i="17"/>
  <c r="Z9" i="17"/>
  <c r="Z12" i="17" s="1"/>
  <c r="Z44" i="3"/>
  <c r="Z76" i="3" s="1"/>
  <c r="AA9" i="17"/>
  <c r="AA12" i="17" s="1"/>
  <c r="AA44" i="3"/>
  <c r="AA76" i="3" s="1"/>
  <c r="R26" i="6"/>
  <c r="R29" i="6" s="1"/>
  <c r="AC37" i="3" s="1"/>
  <c r="S27" i="6"/>
  <c r="S26" i="6" s="1"/>
  <c r="S29" i="6" s="1"/>
  <c r="AD37" i="3" s="1"/>
  <c r="F41" i="17"/>
  <c r="AA20" i="17" l="1"/>
  <c r="AA19" i="17" s="1"/>
  <c r="AB16" i="17"/>
  <c r="AC16" i="17" s="1"/>
  <c r="AA15" i="17"/>
  <c r="Z19" i="17"/>
  <c r="Z15" i="17"/>
  <c r="T27" i="6"/>
  <c r="T26" i="6" s="1"/>
  <c r="T29" i="6" s="1"/>
  <c r="AE37" i="3" s="1"/>
  <c r="AE40" i="3" s="1"/>
  <c r="AE44" i="3" s="1"/>
  <c r="AE76" i="3" s="1"/>
  <c r="AC40" i="3"/>
  <c r="G37" i="3"/>
  <c r="G40" i="3" s="1"/>
  <c r="G44" i="3" s="1"/>
  <c r="G76" i="3" s="1"/>
  <c r="AD40" i="3"/>
  <c r="AB15" i="17" l="1"/>
  <c r="AB20" i="17"/>
  <c r="AC20" i="17" s="1"/>
  <c r="AD16" i="17"/>
  <c r="AE9" i="17"/>
  <c r="AE12" i="17" s="1"/>
  <c r="U27" i="6"/>
  <c r="V27" i="6" s="1"/>
  <c r="V26" i="6" s="1"/>
  <c r="V29" i="6" s="1"/>
  <c r="AG37" i="3" s="1"/>
  <c r="AG40" i="3" s="1"/>
  <c r="AD9" i="17"/>
  <c r="AD12" i="17" s="1"/>
  <c r="AD44" i="3"/>
  <c r="AD76" i="3" s="1"/>
  <c r="AC9" i="17"/>
  <c r="AC44" i="3"/>
  <c r="AC76" i="3" s="1"/>
  <c r="AB19" i="17" l="1"/>
  <c r="AD20" i="17"/>
  <c r="AE20" i="17" s="1"/>
  <c r="AE19" i="17" s="1"/>
  <c r="AE16" i="17"/>
  <c r="AF16" i="17" s="1"/>
  <c r="U26" i="6"/>
  <c r="U29" i="6" s="1"/>
  <c r="AF37" i="3" s="1"/>
  <c r="AF40" i="3" s="1"/>
  <c r="AD15" i="17"/>
  <c r="G9" i="17"/>
  <c r="G12" i="17" s="1"/>
  <c r="G13" i="17" s="1"/>
  <c r="AC12" i="17"/>
  <c r="AG9" i="17"/>
  <c r="AG12" i="17" s="1"/>
  <c r="AG44" i="3"/>
  <c r="AG76" i="3" s="1"/>
  <c r="AE15" i="17" l="1"/>
  <c r="AD19" i="17"/>
  <c r="AG16" i="17"/>
  <c r="AG15" i="17" s="1"/>
  <c r="H37" i="3"/>
  <c r="H40" i="3" s="1"/>
  <c r="H44" i="3" s="1"/>
  <c r="H76" i="3" s="1"/>
  <c r="AF20" i="17"/>
  <c r="AG20" i="17" s="1"/>
  <c r="AG19" i="17" s="1"/>
  <c r="AC19" i="17"/>
  <c r="G19" i="17" s="1"/>
  <c r="AC15" i="17"/>
  <c r="G15" i="17" s="1"/>
  <c r="G41" i="17"/>
  <c r="AF9" i="17"/>
  <c r="AF44" i="3"/>
  <c r="AF76" i="3" s="1"/>
  <c r="H9" i="17" l="1"/>
  <c r="AF12" i="17"/>
  <c r="H12" i="17" l="1"/>
  <c r="C8" i="9"/>
  <c r="AF19" i="17"/>
  <c r="H19" i="17" s="1"/>
  <c r="AF15" i="17"/>
  <c r="H15" i="17" s="1"/>
  <c r="F20" i="17"/>
  <c r="G20" i="17"/>
  <c r="U17" i="17"/>
  <c r="U21" i="17" s="1"/>
  <c r="U23" i="17" s="1"/>
  <c r="V17" i="17"/>
  <c r="W17" i="17"/>
  <c r="W21" i="17" s="1"/>
  <c r="W23" i="17" s="1"/>
  <c r="Y17" i="17"/>
  <c r="Y21" i="17" s="1"/>
  <c r="Y23" i="17" s="1"/>
  <c r="Z17" i="17"/>
  <c r="AA17" i="17"/>
  <c r="AA21" i="17" s="1"/>
  <c r="AA23" i="17" s="1"/>
  <c r="AC17" i="17"/>
  <c r="AC21" i="17" s="1"/>
  <c r="AC23" i="17" s="1"/>
  <c r="AD17" i="17"/>
  <c r="AD21" i="17" s="1"/>
  <c r="AD23" i="17" s="1"/>
  <c r="AE17" i="17"/>
  <c r="AE21" i="17" s="1"/>
  <c r="AE23" i="17" s="1"/>
  <c r="AG17" i="17"/>
  <c r="AG21" i="17" s="1"/>
  <c r="AG23" i="17" s="1"/>
  <c r="AF17" i="17"/>
  <c r="H20" i="17" l="1"/>
  <c r="H41" i="17"/>
  <c r="C14" i="9" s="1"/>
  <c r="C7" i="9" s="1"/>
  <c r="D7" i="9" s="1"/>
  <c r="H13" i="17"/>
  <c r="D8" i="9"/>
  <c r="D39" i="2" s="1"/>
  <c r="E39" i="2" s="1"/>
  <c r="C39" i="2"/>
  <c r="AF21" i="17"/>
  <c r="AF23" i="17" s="1"/>
  <c r="X17" i="17"/>
  <c r="X21" i="17" s="1"/>
  <c r="X23" i="17" s="1"/>
  <c r="V21" i="17"/>
  <c r="V23" i="17" s="1"/>
  <c r="T17" i="17"/>
  <c r="Z21" i="17"/>
  <c r="Z23" i="17" s="1"/>
  <c r="H17" i="17"/>
  <c r="AB17" i="17"/>
  <c r="AB21" i="17" s="1"/>
  <c r="AB23" i="17" s="1"/>
  <c r="H21" i="17" l="1"/>
  <c r="H18" i="17"/>
  <c r="T21" i="17"/>
  <c r="T23" i="17" s="1"/>
  <c r="E17" i="17"/>
  <c r="G17" i="17"/>
  <c r="F17" i="17"/>
  <c r="F21" i="17" l="1"/>
  <c r="F18" i="17"/>
  <c r="H43" i="17"/>
  <c r="H45" i="17" s="1"/>
  <c r="H23" i="17"/>
  <c r="G21" i="17"/>
  <c r="G18" i="17"/>
  <c r="E21" i="17"/>
  <c r="E18" i="17"/>
  <c r="E6" i="8" l="1"/>
  <c r="F6" i="8" s="1"/>
  <c r="C15" i="9"/>
  <c r="C6" i="9" s="1"/>
  <c r="F43" i="17"/>
  <c r="F45" i="17" s="1"/>
  <c r="C6" i="8" s="1"/>
  <c r="C8" i="8" s="1"/>
  <c r="F23" i="17"/>
  <c r="E43" i="17"/>
  <c r="E45" i="17" s="1"/>
  <c r="E23" i="17"/>
  <c r="G23" i="17"/>
  <c r="G43" i="17"/>
  <c r="G45" i="17" s="1"/>
  <c r="D6" i="8" s="1"/>
  <c r="E8" i="8" l="1"/>
  <c r="E9" i="8" s="1"/>
  <c r="E13" i="8" s="1"/>
  <c r="E15" i="8" s="1"/>
  <c r="E7" i="8"/>
  <c r="D8" i="8"/>
  <c r="D9" i="8" s="1"/>
  <c r="D13" i="8" s="1"/>
  <c r="D15" i="8" s="1"/>
  <c r="D6" i="9"/>
  <c r="D37" i="2" s="1"/>
  <c r="E37" i="2" s="1"/>
  <c r="C37" i="2"/>
  <c r="C9" i="8"/>
  <c r="C13" i="8" s="1"/>
  <c r="C15" i="8" s="1"/>
  <c r="F8" i="8"/>
  <c r="G6" i="8"/>
  <c r="F9" i="8"/>
  <c r="F13" i="8" s="1"/>
  <c r="F15" i="8" s="1"/>
  <c r="D7" i="8"/>
  <c r="C34" i="2"/>
  <c r="C30" i="2"/>
  <c r="C31" i="2"/>
  <c r="G8" i="8" l="1"/>
  <c r="G9" i="8" s="1"/>
  <c r="G13" i="8" s="1"/>
  <c r="G15" i="8" s="1"/>
  <c r="C21" i="8" s="1"/>
  <c r="C23" i="8"/>
  <c r="C24" i="8" s="1"/>
  <c r="C38" i="2"/>
  <c r="D38" i="2"/>
  <c r="E38" i="2" s="1"/>
  <c r="C25" i="8" l="1"/>
  <c r="C9" i="9" s="1"/>
  <c r="C27" i="8" l="1"/>
  <c r="C29" i="8" s="1"/>
  <c r="C40" i="2"/>
  <c r="D9" i="9"/>
  <c r="D40" i="2" s="1"/>
  <c r="E4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Hromada</author>
  </authors>
  <commentList>
    <comment ref="C8" authorId="0" shapeId="0" xr:uid="{BB98BD35-28A1-4D44-975B-97BCD910A83A}">
      <text>
        <r>
          <rPr>
            <b/>
            <sz val="9"/>
            <color indexed="81"/>
            <rFont val="Tahoma"/>
            <family val="2"/>
          </rPr>
          <t>Andrew Hromada:</t>
        </r>
        <r>
          <rPr>
            <sz val="9"/>
            <color indexed="81"/>
            <rFont val="Tahoma"/>
            <family val="2"/>
          </rPr>
          <t xml:space="preserve">
Includes lease liabilites
</t>
        </r>
      </text>
    </comment>
    <comment ref="C9" authorId="0" shapeId="0" xr:uid="{8C364205-456D-4ED7-8B17-120DE4EC92FD}">
      <text>
        <r>
          <rPr>
            <b/>
            <sz val="9"/>
            <color indexed="81"/>
            <rFont val="Tahoma"/>
            <family val="2"/>
          </rPr>
          <t>Andrew Hromada:</t>
        </r>
        <r>
          <rPr>
            <sz val="9"/>
            <color indexed="81"/>
            <rFont val="Tahoma"/>
            <family val="2"/>
          </rPr>
          <t xml:space="preserve">
Cash ($76) + ($863 - $135M used for market making = $728M) Financial Digital Assets (stable coins)</t>
        </r>
      </text>
    </comment>
    <comment ref="C24" authorId="0" shapeId="0" xr:uid="{7275197C-205D-437A-B80E-A38AB39CBC64}">
      <text>
        <r>
          <rPr>
            <b/>
            <sz val="9"/>
            <color indexed="81"/>
            <rFont val="Tahoma"/>
            <family val="2"/>
          </rPr>
          <t>Andrew Hromada:</t>
        </r>
        <r>
          <rPr>
            <sz val="9"/>
            <color indexed="81"/>
            <rFont val="Tahoma"/>
            <family val="2"/>
          </rPr>
          <t xml:space="preserve">
Includes lease liabilites
</t>
        </r>
      </text>
    </comment>
    <comment ref="C25" authorId="0" shapeId="0" xr:uid="{E72FE352-52F7-4002-911A-A7D110270DCE}">
      <text>
        <r>
          <rPr>
            <b/>
            <sz val="9"/>
            <color indexed="81"/>
            <rFont val="Tahoma"/>
            <family val="2"/>
          </rPr>
          <t>Andrew Hromada:</t>
        </r>
        <r>
          <rPr>
            <sz val="9"/>
            <color indexed="81"/>
            <rFont val="Tahoma"/>
            <family val="2"/>
          </rPr>
          <t xml:space="preserve">
Cash ($76) + ($863 - $135M used for market making = $728M) Financial Digital Assets (stable coins)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Hromada</author>
  </authors>
  <commentList>
    <comment ref="R10" authorId="0" shapeId="0" xr:uid="{348D7567-9B7B-47B5-B18F-83B2DCFE31F3}">
      <text>
        <r>
          <rPr>
            <b/>
            <sz val="9"/>
            <color indexed="81"/>
            <rFont val="Tahoma"/>
            <family val="2"/>
          </rPr>
          <t xml:space="preserve">Andrew Hromada:
</t>
        </r>
        <r>
          <rPr>
            <sz val="9"/>
            <color indexed="81"/>
            <rFont val="Tahoma"/>
            <family val="2"/>
          </rPr>
          <t>Cumalative Subscrption Rev as broken down by the company</t>
        </r>
      </text>
    </comment>
    <comment ref="C11" authorId="0" shapeId="0" xr:uid="{5847E73D-E01D-4B66-BB72-8CCBC9BDBCAE}">
      <text>
        <r>
          <rPr>
            <b/>
            <sz val="9"/>
            <color indexed="81"/>
            <rFont val="Tahoma"/>
            <family val="2"/>
          </rPr>
          <t>Andrew Hromada:</t>
        </r>
        <r>
          <rPr>
            <sz val="9"/>
            <color indexed="81"/>
            <rFont val="Tahoma"/>
            <family val="2"/>
          </rPr>
          <t xml:space="preserve">
F1 notes below for CoinDesk + 1 Conf.
Following the acquisition of CoinDesk in November 2023, the Group benefited from a full year of
revenue contribution in 2024, resulting in an additional US$27 million compared to 2023.
</t>
        </r>
      </text>
    </comment>
    <comment ref="D11" authorId="0" shapeId="0" xr:uid="{2BC903C7-8F42-40B2-9CAD-B0FAE1C6BA3D}">
      <text>
        <r>
          <rPr>
            <b/>
            <sz val="9"/>
            <color indexed="81"/>
            <rFont val="Tahoma"/>
            <family val="2"/>
          </rPr>
          <t>Andrew Hromada:
$34 CoinDeck (See Rev build notes) + 18 2 conferences</t>
        </r>
      </text>
    </comment>
    <comment ref="E15" authorId="0" shapeId="0" xr:uid="{3C6819FB-8381-46C7-9BE0-EE634E63DCB9}">
      <text>
        <r>
          <rPr>
            <b/>
            <sz val="9"/>
            <color indexed="81"/>
            <rFont val="Tahoma"/>
            <family val="2"/>
          </rPr>
          <t>Andrew Hromada:</t>
        </r>
        <r>
          <rPr>
            <sz val="9"/>
            <color indexed="81"/>
            <rFont val="Tahoma"/>
            <family val="2"/>
          </rPr>
          <t xml:space="preserve">
Q1'26 Runrate
</t>
        </r>
      </text>
    </comment>
    <comment ref="E17" authorId="0" shapeId="0" xr:uid="{DCAE29CD-BFD9-43C3-A54C-6D6E0304A11E}">
      <text>
        <r>
          <rPr>
            <b/>
            <sz val="9"/>
            <color indexed="81"/>
            <rFont val="Tahoma"/>
            <family val="2"/>
          </rPr>
          <t>Andrew Hromada:</t>
        </r>
        <r>
          <rPr>
            <sz val="9"/>
            <color indexed="81"/>
            <rFont val="Tahoma"/>
            <family val="2"/>
          </rPr>
          <t xml:space="preserve">
Q1'26 Runrate
</t>
        </r>
      </text>
    </comment>
    <comment ref="E19" authorId="0" shapeId="0" xr:uid="{A30793E0-C480-414F-A5D9-27A2C29258DA}">
      <text>
        <r>
          <rPr>
            <b/>
            <sz val="9"/>
            <color indexed="81"/>
            <rFont val="Tahoma"/>
            <family val="2"/>
          </rPr>
          <t>Andrew Hromada:</t>
        </r>
        <r>
          <rPr>
            <sz val="9"/>
            <color indexed="81"/>
            <rFont val="Tahoma"/>
            <family val="2"/>
          </rPr>
          <t xml:space="preserve">
Q1'26 Runrate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Hromada</author>
  </authors>
  <commentList>
    <comment ref="B11" authorId="0" shapeId="0" xr:uid="{B468C6E8-9A80-49D8-B0B4-CC5B6FFE137E}">
      <text>
        <r>
          <rPr>
            <b/>
            <sz val="9"/>
            <color indexed="81"/>
            <rFont val="Tahoma"/>
            <family val="2"/>
          </rPr>
          <t>Andrew Hromada:</t>
        </r>
        <r>
          <rPr>
            <sz val="9"/>
            <color indexed="81"/>
            <rFont val="Tahoma"/>
            <family val="2"/>
          </rPr>
          <t xml:space="preserve">
Already excluded from adjusted EBITDA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<sst xmlns="http://schemas.openxmlformats.org/spreadsheetml/2006/main" count="889" uniqueCount="530">
  <si>
    <t>Market capitalization ($mm)</t>
  </si>
  <si>
    <t>Enterprise value ($mm)</t>
  </si>
  <si>
    <t>[ ]</t>
  </si>
  <si>
    <t>Legend: grey italic = placeholder label, replace with your line item.  Purple = illustrative EXAMPLE row (delete before use).  Blue = input.  Black = formula.  Green = link to another tab.  Yellow fill = key lever / fill-in cell.</t>
  </si>
  <si>
    <t>Current share price</t>
  </si>
  <si>
    <t>Diluted shares outstanding (mm)</t>
  </si>
  <si>
    <t>Total debt ($mm)</t>
  </si>
  <si>
    <t>Total cash ($mm)</t>
  </si>
  <si>
    <t>Net debt ($mm)</t>
  </si>
  <si>
    <t>COMPANY-SPECIFIC OPERATING ASSUMPTIONS</t>
  </si>
  <si>
    <t>Income Statement - Bullish (BLSH) Standalone</t>
  </si>
  <si>
    <t>($mm unless noted)</t>
  </si>
  <si>
    <t>1Q24A</t>
  </si>
  <si>
    <t>2Q24A</t>
  </si>
  <si>
    <t>3Q24A</t>
  </si>
  <si>
    <t>4Q24A</t>
  </si>
  <si>
    <t>1Q25A</t>
  </si>
  <si>
    <t>2Q25A</t>
  </si>
  <si>
    <t>3Q25A</t>
  </si>
  <si>
    <t>4Q25A</t>
  </si>
  <si>
    <t>1Q26A</t>
  </si>
  <si>
    <t>2Q26P</t>
  </si>
  <si>
    <t>3Q26P</t>
  </si>
  <si>
    <t>4Q26P</t>
  </si>
  <si>
    <t>1Q27P</t>
  </si>
  <si>
    <t xml:space="preserve">    Digital assets sales</t>
  </si>
  <si>
    <t xml:space="preserve">    Cost of digital assets derecognized</t>
  </si>
  <si>
    <t xml:space="preserve">    Other revenues</t>
  </si>
  <si>
    <t xml:space="preserve">    Change in fair value of digital assets held, net</t>
  </si>
  <si>
    <t xml:space="preserve">    Net spread related income and change in fair value of perpetual futures on the Exchange</t>
  </si>
  <si>
    <t xml:space="preserve">    Change in fair value of investment in financial assets</t>
  </si>
  <si>
    <t xml:space="preserve">    Administrative expenses</t>
  </si>
  <si>
    <t xml:space="preserve">    Other expenses</t>
  </si>
  <si>
    <t xml:space="preserve">    Finance expense</t>
  </si>
  <si>
    <t xml:space="preserve">    Change in fair value of derivatives</t>
  </si>
  <si>
    <t xml:space="preserve">    Change in fair value of financial liability at FVTPL</t>
  </si>
  <si>
    <t>Income/(loss) before income tax</t>
  </si>
  <si>
    <t xml:space="preserve">    Income tax benefit/(expense)</t>
  </si>
  <si>
    <t>Net income/(loss) (IFRS)</t>
  </si>
  <si>
    <t xml:space="preserve">    Memo: Attributable to Owners of the Group</t>
  </si>
  <si>
    <t xml:space="preserve">    Memo: Attributable to Non-controlling interests</t>
  </si>
  <si>
    <t xml:space="preserve">    Memo: Weighted avg. shares outstanding - Basic (mm)</t>
  </si>
  <si>
    <t xml:space="preserve">    Memo: Weighted avg. shares outstanding - Diluted (mm)</t>
  </si>
  <si>
    <t xml:space="preserve">    Memo: EPS - Basic ($)</t>
  </si>
  <si>
    <t xml:space="preserve">    Memo: EPS - Diluted ($)</t>
  </si>
  <si>
    <t>BLOCK 2 - BRIDGE: DIGITAL ASSETS SALES -&gt; ADJUSTED TRANSACTION REVENUE</t>
  </si>
  <si>
    <t xml:space="preserve">    (-) Digital asset sales on venues other than Exchange</t>
  </si>
  <si>
    <t xml:space="preserve">    Digital asset sales - on our Exchange (subtotal)</t>
  </si>
  <si>
    <t xml:space="preserve">    (+) Change in FV of digital asset inventories, arising from purchase on our Exchange</t>
  </si>
  <si>
    <t xml:space="preserve">    (+) Transaction income</t>
  </si>
  <si>
    <t xml:space="preserve">    (+) Net spread related income and change in FV of perpetual futures</t>
  </si>
  <si>
    <t>Adjusted Transaction Revenue</t>
  </si>
  <si>
    <t>BLOCK 3 - BRIDGE: ADJUSTED TRANSACTION REVENUE -&gt; ADJUSTED REVENUE</t>
  </si>
  <si>
    <t xml:space="preserve">    Adjusted Transaction Revenue</t>
  </si>
  <si>
    <t xml:space="preserve">    (+) Subscriptions and services revenue</t>
  </si>
  <si>
    <t xml:space="preserve">    (+) Change in FV of investment in financial assets (pre-2024 only)</t>
  </si>
  <si>
    <t xml:space="preserve">    (+) Revaluation of digital assets held as investments</t>
  </si>
  <si>
    <t>Adjusted Revenue</t>
  </si>
  <si>
    <t>BLOCK 4 - BRIDGE: NET INCOME/(LOSS) -&gt; ADJUSTED EBITDA</t>
  </si>
  <si>
    <t xml:space="preserve">    Net income/(loss) (IFRS)</t>
  </si>
  <si>
    <t xml:space="preserve">    Adjusted to exclude the following:</t>
  </si>
  <si>
    <t xml:space="preserve">        (-) Digital asset sales on other venues</t>
  </si>
  <si>
    <t xml:space="preserve">        (+) Cost of digital assets derecognized on other venues</t>
  </si>
  <si>
    <t xml:space="preserve">        (+/-) Loss/(Gain) from changes in FV of digital assets inventories net payable to customers</t>
  </si>
  <si>
    <t xml:space="preserve">        (+) Income tax expense</t>
  </si>
  <si>
    <t xml:space="preserve">        (+) Finance expenses</t>
  </si>
  <si>
    <t xml:space="preserve">        (+) Employee share-based payment expenses</t>
  </si>
  <si>
    <t xml:space="preserve">        (+) Other share-based payment expenses</t>
  </si>
  <si>
    <t xml:space="preserve">        (+/-) Change in FV of loan and other receivables - digital assets</t>
  </si>
  <si>
    <t xml:space="preserve">        (+/-) Change in FV of digital assets loan payable</t>
  </si>
  <si>
    <t xml:space="preserve">        (+/-) Change in FV of derivatives</t>
  </si>
  <si>
    <t xml:space="preserve">        (+/-) Change in FV of financial liability at FVTPL</t>
  </si>
  <si>
    <t xml:space="preserve">        (+/-) Change in FV of investments in financial assets</t>
  </si>
  <si>
    <t xml:space="preserve">        (+) Impairment losses of digital assets held - intangible assets</t>
  </si>
  <si>
    <t xml:space="preserve">        (+) Impairment of right-of-use assets</t>
  </si>
  <si>
    <t xml:space="preserve">        (+) Impairment of digital assets</t>
  </si>
  <si>
    <t xml:space="preserve">        (+) Non-recurring expenses</t>
  </si>
  <si>
    <t xml:space="preserve">        (+) Depreciation and amortization</t>
  </si>
  <si>
    <t xml:space="preserve">    Adjusted to include the following:</t>
  </si>
  <si>
    <t xml:space="preserve">        (+) Revaluation of digital assets held as investments</t>
  </si>
  <si>
    <t>Adjusted EBITDA</t>
  </si>
  <si>
    <t>BLOCK 5 - BRIDGE: ADJUSTED EBITDA -&gt; ADJUSTED NET INCOME</t>
  </si>
  <si>
    <t xml:space="preserve">    Adjusted EBITDA</t>
  </si>
  <si>
    <t xml:space="preserve">    (-) Finance expenses</t>
  </si>
  <si>
    <t xml:space="preserve">    (-) Depreciation and amortization</t>
  </si>
  <si>
    <t xml:space="preserve">    (+/-) Tax effect of adjusted net income before taxes</t>
  </si>
  <si>
    <t>Adjusted Net Income</t>
  </si>
  <si>
    <t xml:space="preserve">      Adjusted Net Income margin % (of Adjusted Revenue)</t>
  </si>
  <si>
    <t>BLOCK 6 - BRIDGE: IFRS CORE OPERATING EXPENSE -&gt; ADJUSTED OPERATING EXPENSE</t>
  </si>
  <si>
    <t xml:space="preserve">    IFRS Core Operating Expense (= Administrative expenses + Other expenses)</t>
  </si>
  <si>
    <t xml:space="preserve">    (-) Employee share-based compensation expense</t>
  </si>
  <si>
    <t xml:space="preserve">    (-) Other share-based compensation expense</t>
  </si>
  <si>
    <t xml:space="preserve">    (-) Non-recurring expenses - legal and professional fees</t>
  </si>
  <si>
    <t xml:space="preserve">    (-) Non-recurring expenses - compensation and benefits</t>
  </si>
  <si>
    <t xml:space="preserve">    (-) Depreciation and amortization expense</t>
  </si>
  <si>
    <t xml:space="preserve">    (-) Impairment of right-of-use assets</t>
  </si>
  <si>
    <t xml:space="preserve">    (-) Impairment of digital assets</t>
  </si>
  <si>
    <t>Adjusted Operating Expense</t>
  </si>
  <si>
    <t>KEY PERFORMANCE INDICATORS (actuals only - source: Shareholder Update slide 11)</t>
  </si>
  <si>
    <t xml:space="preserve">    BTC price (daily average, $000s)</t>
  </si>
  <si>
    <t xml:space="preserve">    Annualized BTC volatility (spot)</t>
  </si>
  <si>
    <t xml:space="preserve">    Avg. daily trading volume - spot ($mm)</t>
  </si>
  <si>
    <t xml:space="preserve">    Avg. daily trading volume - perpetual futures ($mm)</t>
  </si>
  <si>
    <t xml:space="preserve">    Avg. daily trading volume - options ($mm)</t>
  </si>
  <si>
    <t xml:space="preserve">    Headcount (period end)</t>
  </si>
  <si>
    <t>SOURCES</t>
  </si>
  <si>
    <t>Balance Sheet - Bullish (BLSH) Standalone, IFRS Basis</t>
  </si>
  <si>
    <t>Quarterly figures as reported in each Form 6-K / earnings release (Q2'25, Q3'25, Q4'25, Q1'26 releases) and Dec-24 comparative. 1Q24-3Q24 and 1Q25 point-in-time balance sheets were not disclosed in the sourced documents and are left blank rather than estimated. Annual (FY) columns show the year-end (4Q) snapshot, not a sum, since the Balance Sheet is a point-in-time statement - unlike the Income Statement and Cash Flow tabs. No pro forma / Equiniti effects included anywhere on this tab.</t>
  </si>
  <si>
    <t>QUARTERLY BALANCE SHEET, WITH YEAR-END (4Q) SNAPSHOT IN ANNUAL COLUMNS</t>
  </si>
  <si>
    <t>($000s unless noted)</t>
  </si>
  <si>
    <t>ASSETS</t>
  </si>
  <si>
    <t>Non-current assets</t>
  </si>
  <si>
    <t xml:space="preserve">    Goodwill</t>
  </si>
  <si>
    <t xml:space="preserve">    Other intangible assets</t>
  </si>
  <si>
    <t xml:space="preserve">    Property and equipment and right-of-use assets</t>
  </si>
  <si>
    <t xml:space="preserve">    Deferred tax assets</t>
  </si>
  <si>
    <t xml:space="preserve">    Other assets (non-current)</t>
  </si>
  <si>
    <t xml:space="preserve">    Restricted cash (non-current)</t>
  </si>
  <si>
    <t>Total non-current assets</t>
  </si>
  <si>
    <t>Current assets</t>
  </si>
  <si>
    <t xml:space="preserve">    Digital assets held - inventories</t>
  </si>
  <si>
    <t xml:space="preserve">    Digital assets held - intangible assets</t>
  </si>
  <si>
    <t xml:space="preserve">    Digital assets held - financial assets</t>
  </si>
  <si>
    <t xml:space="preserve">    Loan and other receivables - digital assets</t>
  </si>
  <si>
    <t xml:space="preserve">    Derivative financial instruments</t>
  </si>
  <si>
    <t xml:space="preserve">    Investments in financial assets</t>
  </si>
  <si>
    <t xml:space="preserve">    Other assets (current)</t>
  </si>
  <si>
    <t xml:space="preserve">    Customer segregated cash</t>
  </si>
  <si>
    <t xml:space="preserve">    Restricted cash (current)</t>
  </si>
  <si>
    <t xml:space="preserve">    Cash and cash equivalents</t>
  </si>
  <si>
    <t>Total current assets</t>
  </si>
  <si>
    <t>Total assets</t>
  </si>
  <si>
    <t>LIABILITIES</t>
  </si>
  <si>
    <t>Non-current liabilities</t>
  </si>
  <si>
    <t xml:space="preserve">    Borrowings from related parties</t>
  </si>
  <si>
    <t xml:space="preserve">    Convertible redeemable preference shares</t>
  </si>
  <si>
    <t xml:space="preserve">    Digital assets loan payable (non-current)</t>
  </si>
  <si>
    <t xml:space="preserve">    Lease liabilities (non-current)</t>
  </si>
  <si>
    <t xml:space="preserve">    Deferred tax liabilities</t>
  </si>
  <si>
    <t xml:space="preserve">    Other payables (non-current)</t>
  </si>
  <si>
    <t>Total non-current liabilities</t>
  </si>
  <si>
    <t>Current liabilities</t>
  </si>
  <si>
    <t xml:space="preserve">    Customer segregated cash liabilities</t>
  </si>
  <si>
    <t xml:space="preserve">    Borrowings (current)</t>
  </si>
  <si>
    <t xml:space="preserve">    Digital assets loan payable (current)</t>
  </si>
  <si>
    <t xml:space="preserve">    Lease liabilities (current)</t>
  </si>
  <si>
    <t xml:space="preserve">    Other payables (current)</t>
  </si>
  <si>
    <t>Total current liabilities</t>
  </si>
  <si>
    <t>Total liabilities</t>
  </si>
  <si>
    <t>Net assets</t>
  </si>
  <si>
    <t>EQUITY</t>
  </si>
  <si>
    <t xml:space="preserve">    Share capital and share premium</t>
  </si>
  <si>
    <t xml:space="preserve">    Option premium on convertible redeemable preference shares</t>
  </si>
  <si>
    <t xml:space="preserve">    Reserves</t>
  </si>
  <si>
    <t xml:space="preserve">    Accumulated deficit</t>
  </si>
  <si>
    <t>Total shareholders' equity (owners of the Group)</t>
  </si>
  <si>
    <t xml:space="preserve">    Non-controlling interests</t>
  </si>
  <si>
    <t>Total equity</t>
  </si>
  <si>
    <t>Balance check (Total equity + Total liabilities - Total assets, should = 0)</t>
  </si>
  <si>
    <t>LIQUID ASSETS BRIDGE (non-IFRS, as disclosed in earnings releases)</t>
  </si>
  <si>
    <t xml:space="preserve">    Gross liquid assets ($mm)</t>
  </si>
  <si>
    <t xml:space="preserve">    Net liquid assets ($mm)</t>
  </si>
  <si>
    <t>Dec-24 and Jun-25 balance sheets: Bullish 2Q'25 earnings release (Form 6-K, filed ~Aug 2025), "Condensed Consolidated Balance Sheets (Unaudited) as of June 30, 2025 and December 31, 2024."</t>
  </si>
  <si>
    <t>Sep-25 balance sheet: Bullish 3Q'25 earnings release, "Condensed Consolidated Balance Sheets (Unaudited) as of September 30, 2025 and December 31, 2024."</t>
  </si>
  <si>
    <t>Dec-25 balance sheet: Bullish 4Q'25 / FY2025 earnings release (Feb 5, 2026), "Condensed Consolidated Balance Sheets (Unaudited) as of December 31, 2025 and December 31, 2024."</t>
  </si>
  <si>
    <t>Mar-26 balance sheet: Bullish 1Q'26 earnings release (May 14, 2026), "Condensed Consolidated Balance Sheets (Unaudited) as of March 31, 2026 and December 31, 2025."</t>
  </si>
  <si>
    <t>1Q24-3Q24 and 1Q25 quarter-end balance sheets were not disclosed in any of the four sourced earnings releases - left blank rather than estimated. Pull from the relevant Form 6-K if needed.</t>
  </si>
  <si>
    <t>Gross/Net liquid assets: each release's "Gross and Net Liquid Assets" reconciliation table. Dec-24 figure shown uses the most recently restated value (from the 3Q'25/4Q'25 releases); the 2Q'25 release reported a slightly different Dec-24 Net Liquid Assets figure ($1,699.4mm vs. $1,696.1mm) before methodology/rounding was reconciled - noted here for transparency.</t>
  </si>
  <si>
    <t>FY2026E-FY2029E columns intentionally left blank pending the Week 3 model build - do not treat as zero.</t>
  </si>
  <si>
    <t>Legend: blue = actual reported figure (sourced). Yellow fill = forecast input cell, left blank pending Week 3/4 modeling. Grey/blank = not disclosed in source documents. Black = formula. Rows nested under a bold subtotal can be collapsed using the outline (+/-) controls to the left of the row numbers.</t>
  </si>
  <si>
    <t>Cash Flow Statement - Bullish (BLSH) Standalone, IFRS Basis</t>
  </si>
  <si>
    <t>Quarterly figures as reported in the Condensed Consolidated Statements of Cash Flows in each Form 6-K / earnings release. Direct 3-month actuals are available for 2Q24, 3Q24, 1Q25, 2Q25, 3Q25 and 1Q26 (both the quarter itself and its prior-year comparative were disclosed in the sourced releases). 1Q24, 4Q24 and 4Q25 were not disclosed as standalone 3-month figures in any of the sourced documents and are left blank rather than estimated - pull from the 20-F (FY2025 annual report) or the relevant Form 6-K if needed. Because of the missing 4Q24 and 4Q25 quarters, FY2024A and FY2025A annual sums below are partial (understated) - see Sources. No pro forma / Equiniti effects included.</t>
  </si>
  <si>
    <t>QUARTERLY + ANNUAL CASH FLOW STATEMENT</t>
  </si>
  <si>
    <t>OPERATING ACTIVITIES</t>
  </si>
  <si>
    <t xml:space="preserve">    Adjustments for:</t>
  </si>
  <si>
    <t xml:space="preserve">        Interest income</t>
  </si>
  <si>
    <t xml:space="preserve">        Debt / loan interest expense</t>
  </si>
  <si>
    <t xml:space="preserve">        Lease interest expense</t>
  </si>
  <si>
    <t xml:space="preserve">        Net foreign exchange (gain)/loss</t>
  </si>
  <si>
    <t xml:space="preserve">        Share-based payments expense</t>
  </si>
  <si>
    <t xml:space="preserve">        Depreciation of property and equipment and right-of-use assets</t>
  </si>
  <si>
    <t xml:space="preserve">        Amortization of other intangible assets</t>
  </si>
  <si>
    <t xml:space="preserve">        Impairment of right-of-use asset</t>
  </si>
  <si>
    <t xml:space="preserve">        (Gain)/loss from revaluation of digital assets and investments in financial assets at FVTPL, net</t>
  </si>
  <si>
    <t xml:space="preserve">        Derecognition of lease</t>
  </si>
  <si>
    <t xml:space="preserve">        Change in fair value of financial liability at FVTPL</t>
  </si>
  <si>
    <t xml:space="preserve">        Impairment losses of digital assets</t>
  </si>
  <si>
    <t xml:space="preserve">    Operating cash flows before changes in operating assets and liabilities</t>
  </si>
  <si>
    <t xml:space="preserve">    Changes in operating assets and liabilities:</t>
  </si>
  <si>
    <t xml:space="preserve">        (Increase)/decrease in other assets</t>
  </si>
  <si>
    <t xml:space="preserve">        Increase in deferred tax assets</t>
  </si>
  <si>
    <t xml:space="preserve">        (Increase)/decrease in digital assets held - inventories</t>
  </si>
  <si>
    <t xml:space="preserve">        (Increase)/decrease in digital assets held - financial assets</t>
  </si>
  <si>
    <t xml:space="preserve">        (Increase)/decrease in loan and other receivables - digital assets</t>
  </si>
  <si>
    <t xml:space="preserve">        Increase/(decrease) in other payables</t>
  </si>
  <si>
    <t xml:space="preserve">        Increase/(decrease) in customer segregated cash liabilities</t>
  </si>
  <si>
    <t xml:space="preserve">        Increase/(decrease) in deferred tax liabilities</t>
  </si>
  <si>
    <t xml:space="preserve">        Interest received</t>
  </si>
  <si>
    <t>Net cash provided by/(used in) operating activities</t>
  </si>
  <si>
    <t>INVESTING ACTIVITIES</t>
  </si>
  <si>
    <t xml:space="preserve">    Purchase of investment in financial assets</t>
  </si>
  <si>
    <t xml:space="preserve">    Proceeds on investment in financial assets</t>
  </si>
  <si>
    <t xml:space="preserve">    Purchase of investment in derivative financial instruments</t>
  </si>
  <si>
    <t xml:space="preserve">    Purchase of property and equipment</t>
  </si>
  <si>
    <t xml:space="preserve">    Proceeds on disposal of property and equipment</t>
  </si>
  <si>
    <t xml:space="preserve">    Purchase of digital assets held - intangible assets</t>
  </si>
  <si>
    <t xml:space="preserve">    Proceeds on disposal of digital assets held - intangible assets</t>
  </si>
  <si>
    <t xml:space="preserve">    Prepayment on intangible assets</t>
  </si>
  <si>
    <t>Net cash provided by/(used in) investing activities</t>
  </si>
  <si>
    <t>FINANCING ACTIVITIES</t>
  </si>
  <si>
    <t xml:space="preserve">    Proceeds from issuance of ordinary shares</t>
  </si>
  <si>
    <t xml:space="preserve">    Interest paid</t>
  </si>
  <si>
    <t xml:space="preserve">    Proceeds from borrowings</t>
  </si>
  <si>
    <t xml:space="preserve">    Repayment of borrowings</t>
  </si>
  <si>
    <t xml:space="preserve">    Repayment on lease liabilities</t>
  </si>
  <si>
    <t>Net cash provided by/(used in) financing activities</t>
  </si>
  <si>
    <t>Net increase/(decrease) in cash, customer segregated cash and restricted cash</t>
  </si>
  <si>
    <t xml:space="preserve">    Cash, customer segregated cash and restricted cash - beginning of period</t>
  </si>
  <si>
    <t xml:space="preserve">    Effects of exchange rate changes</t>
  </si>
  <si>
    <t>Cash, customer segregated cash and restricted cash - end of period</t>
  </si>
  <si>
    <t>FREE CASH FLOW BRIDGE</t>
  </si>
  <si>
    <t xml:space="preserve">    Net cash provided by/(used in) operating activities</t>
  </si>
  <si>
    <t xml:space="preserve">    Less: Capital expenditures (purchase of property &amp; equipment)</t>
  </si>
  <si>
    <t>Free cash flow</t>
  </si>
  <si>
    <t>2Q24 and 2Q25 (3-month) actuals: Bullish 2Q'25 earnings release, "Condensed Consolidated Statements of Cash Flows (Unaudited) for the three and six months ended June 30, 2025 and 2024."</t>
  </si>
  <si>
    <t>3Q24 and 3Q25 (3-month) actuals: Bullish 3Q'25 earnings release, "Condensed Consolidated Statements of Cash Flows (Unaudited) for the three and nine months ended September 30, 2025 and 2024."</t>
  </si>
  <si>
    <t>1Q25 and 1Q26 (3-month) actuals: Bullish 1Q'26 earnings release (May 14, 2026), "Condensed Consolidated Statements of Cash Flows (Unaudited) for the three months ended March 31, 2026 and 2025."</t>
  </si>
  <si>
    <t>1Q24 and 4Q24 (3-month) were not disclosed as standalone quarters in any sourced document. 4Q25 (3-month) was not disclosed either - the 4Q'25/FY2025 earnings release included the P&amp;L and Balance Sheet but no Statement of Cash Flows. Pull all three from the FY2025 20-F (filed March 9, 2026) or the relevant Form 6-K.</t>
  </si>
  <si>
    <t>Because 4Q24 and 4Q25 are missing, FY2024A and FY2025A columns below are the SUM of only the three disclosed quarters each year (2Q24+3Q24 only for FY2024A; 1Q25+2Q25+3Q25 only for FY2025A) - both understate the true annual cash flow and should be treated as partial, not final, until the missing quarter is added.</t>
  </si>
  <si>
    <t>As a cross-check: quarter-end cash (this tab's "end of period" line, which includes customer segregated cash and restricted cash) ties to the sum of the three separately-disclosed Balance Sheet cash-related lines for the same date - e.g. Mar-26: $76,052 (cash) + $55,640 (customer segregated cash) + $22,843 (restricted cash, current+non-current) = $154,535, matching this tab's 1Q26 end-of-period figure.</t>
  </si>
  <si>
    <t>Capital expenditures proxy = "Purchase of property and equipment" line only (does not include digital-asset purchases, which Bullish does not treat as capex).</t>
  </si>
  <si>
    <t>Comparable Companies</t>
  </si>
  <si>
    <t>Bucket comps by valuation logic, not just by industry label - conflating a high-growth peer with a mature one produces a misleading blended multiple. Keep buckets separate and state explicitly which bucket the market is using to price your name today.</t>
  </si>
  <si>
    <t>COMP SET</t>
  </si>
  <si>
    <t>EXAMPLE ROW (illustrative - delete before use)</t>
  </si>
  <si>
    <t>UNLEVERED FREE CASH FLOW PROJECTION</t>
  </si>
  <si>
    <t>($mm)</t>
  </si>
  <si>
    <t xml:space="preserve">  Less: taxes on EBIT</t>
  </si>
  <si>
    <t xml:space="preserve">  NOPAT</t>
  </si>
  <si>
    <t>+ D&amp;A</t>
  </si>
  <si>
    <t>- Capex</t>
  </si>
  <si>
    <t>- Change in net working capital</t>
  </si>
  <si>
    <t>Unlevered free cash flow</t>
  </si>
  <si>
    <t xml:space="preserve">  Discount factor</t>
  </si>
  <si>
    <t xml:space="preserve">  PV of FCF</t>
  </si>
  <si>
    <t>DCF ASSUMPTIONS &amp; OUTPUT</t>
  </si>
  <si>
    <t>WACC / discount rate</t>
  </si>
  <si>
    <t>Terminal growth rate</t>
  </si>
  <si>
    <t>Sum of PV of explicit FCFs ($mm)</t>
  </si>
  <si>
    <t>Terminal value ($mm)</t>
  </si>
  <si>
    <t>PV of terminal value ($mm)</t>
  </si>
  <si>
    <t>Implied enterprise value ($mm)</t>
  </si>
  <si>
    <t>Less: net debt ($mm)</t>
  </si>
  <si>
    <t>Implied equity value ($mm)</t>
  </si>
  <si>
    <t>Diluted shares (mm)</t>
  </si>
  <si>
    <t>Implied share price ($)</t>
  </si>
  <si>
    <t>Valuation Summary — Football Field</t>
  </si>
  <si>
    <t>METHODOLOGY RANGE SUMMARY</t>
  </si>
  <si>
    <t>Methodology</t>
  </si>
  <si>
    <t>Base</t>
  </si>
  <si>
    <t>Source / tab</t>
  </si>
  <si>
    <t>Comps — EV/EBITDA</t>
  </si>
  <si>
    <t>Comps — EV/Revenue</t>
  </si>
  <si>
    <t>Sum-of-the-parts</t>
  </si>
  <si>
    <t>DCF</t>
  </si>
  <si>
    <t>DCF tab</t>
  </si>
  <si>
    <t>52-week trading range</t>
  </si>
  <si>
    <t>Market data</t>
  </si>
  <si>
    <t>Analyst consensus target range</t>
  </si>
  <si>
    <t>[Street estimates source]</t>
  </si>
  <si>
    <t>Scenario &amp; Sensitivity Analysis</t>
  </si>
  <si>
    <t>SCENARIOS</t>
  </si>
  <si>
    <t>Bear</t>
  </si>
  <si>
    <t>Bull</t>
  </si>
  <si>
    <t>Revenue ($mm)</t>
  </si>
  <si>
    <t>Model vs. Street</t>
  </si>
  <si>
    <t>Where your near-term numbers differ from sell-side consensus is often the actual source of edge for the next print, distinct from the multi-year thesis. State it explicitly.</t>
  </si>
  <si>
    <t>NEXT QUARTER / NEXT PRINT</t>
  </si>
  <si>
    <t>Metric</t>
  </si>
  <si>
    <t>Your estimate</t>
  </si>
  <si>
    <t>Street consensus</t>
  </si>
  <si>
    <t>Variance</t>
  </si>
  <si>
    <t>Why you differ</t>
  </si>
  <si>
    <t>Revenue</t>
  </si>
  <si>
    <t>[the specific data point or logic driving your delta from consensus]</t>
  </si>
  <si>
    <t>EBITDA</t>
  </si>
  <si>
    <t>EPS</t>
  </si>
  <si>
    <t>[Key KPI specific to this name]</t>
  </si>
  <si>
    <t>CONSENSUS SOURCE &amp; DATE</t>
  </si>
  <si>
    <t>Source</t>
  </si>
  <si>
    <t>[Bloomberg / Visible Alpha / company-compiled, as-of date]</t>
  </si>
  <si>
    <t>Historical Tracker — Model vs. Actual</t>
  </si>
  <si>
    <t>Log your modeled estimate vs. actual reported results each quarter. This is what lets you show a PM you mark your own thesis to market rather than only ever looking forward.</t>
  </si>
  <si>
    <t>QUARTERLY TRACKING LOG</t>
  </si>
  <si>
    <t>Period</t>
  </si>
  <si>
    <t>Your estimate (pre-print)</t>
  </si>
  <si>
    <t>Actual reported</t>
  </si>
  <si>
    <t>Thesis status after print</t>
  </si>
  <si>
    <t>Q[X] 20XX</t>
  </si>
  <si>
    <t>Confirms — beat driven by [specific driver], consistent with thesis</t>
  </si>
  <si>
    <t>P&amp;L (as reported)</t>
  </si>
  <si>
    <t>Monthly Metrics Report for June 2026</t>
  </si>
  <si>
    <t>(Unaudited)</t>
  </si>
  <si>
    <t>Jan</t>
  </si>
  <si>
    <t>Feb</t>
  </si>
  <si>
    <t>Mar</t>
  </si>
  <si>
    <t>Apr</t>
  </si>
  <si>
    <t>May</t>
  </si>
  <si>
    <t>Jun</t>
  </si>
  <si>
    <t>Jul</t>
  </si>
  <si>
    <t>Aug</t>
  </si>
  <si>
    <t>Sep</t>
  </si>
  <si>
    <t>Oct</t>
  </si>
  <si>
    <t>Nov</t>
  </si>
  <si>
    <t>Dec</t>
  </si>
  <si>
    <t>(B - in billions)</t>
  </si>
  <si>
    <t>Trading Volume ($B)</t>
  </si>
  <si>
    <t>Spot - BTC</t>
  </si>
  <si>
    <t>Spot - ETH</t>
  </si>
  <si>
    <t>Spot - Stablecoin</t>
  </si>
  <si>
    <t>Spot - Other</t>
  </si>
  <si>
    <t>Total Spot</t>
  </si>
  <si>
    <t>Options</t>
  </si>
  <si>
    <t>Perpetual</t>
  </si>
  <si>
    <t>Total Trading Volume</t>
  </si>
  <si>
    <t>Average Trading Spread (bps)</t>
  </si>
  <si>
    <t>Spot</t>
  </si>
  <si>
    <t>Average Trading Spread</t>
  </si>
  <si>
    <t>Monthly Average Volatility</t>
  </si>
  <si>
    <t>BTC</t>
  </si>
  <si>
    <t>ETH</t>
  </si>
  <si>
    <t>Q1</t>
  </si>
  <si>
    <t>Q2</t>
  </si>
  <si>
    <t>Q3</t>
  </si>
  <si>
    <t>Q4</t>
  </si>
  <si>
    <t>Mothly Price</t>
  </si>
  <si>
    <t>Correlation</t>
  </si>
  <si>
    <t>Spot Vol. to Volatility BTC</t>
  </si>
  <si>
    <t>Spot Vol. to BTC Price</t>
  </si>
  <si>
    <t>Total Vol. to BTC Price</t>
  </si>
  <si>
    <t>Total Vol. to Volatility BTC</t>
  </si>
  <si>
    <r>
      <rPr>
        <b/>
        <u/>
        <sz val="10"/>
        <color rgb="FF000000"/>
        <rFont val="Arial"/>
        <family val="2"/>
      </rPr>
      <t>Trading Volume</t>
    </r>
    <r>
      <rPr>
        <sz val="10"/>
        <color rgb="FF000000"/>
        <rFont val="Arial"/>
        <family val="2"/>
      </rPr>
      <t xml:space="preserve"> represents the notional value of trades, i.e. the product of the quantity of assets transacted and the trade price at the time the transaction was executed. The quantity represents the total U.S. dollar equivalent value of matched trades transacted between a buyer and seller through our platform during the period of measurement.</t>
    </r>
  </si>
  <si>
    <r>
      <rPr>
        <b/>
        <u/>
        <sz val="10"/>
        <color rgb="FF000000"/>
        <rFont val="Arial"/>
        <family val="2"/>
      </rPr>
      <t>Average Trading Spread</t>
    </r>
    <r>
      <rPr>
        <sz val="10"/>
        <color rgb="FF000000"/>
        <rFont val="Arial"/>
        <family val="2"/>
      </rPr>
      <t xml:space="preserve"> represents total commissions earned from transactions on the Bullish Exchange for the period, expressed as a percentage of the trading volume for the period. Management reviews this metric, which reflects the cost of trading on the Bullish Exchange, changes in fair value of perpetual futures, and rebates, for insight into the average revenue generated per unit of trading volume on our platform.</t>
    </r>
  </si>
  <si>
    <r>
      <rPr>
        <b/>
        <u/>
        <sz val="10"/>
        <color rgb="FF000000"/>
        <rFont val="Arial"/>
        <family val="2"/>
      </rPr>
      <t>Volatility</t>
    </r>
    <r>
      <rPr>
        <sz val="10"/>
        <color rgb="FF000000"/>
        <rFont val="Arial"/>
        <family val="2"/>
      </rPr>
      <t xml:space="preserve"> is calculated using 1-minute price intervals from Coindesk Data's Adaptive Diversified Liquidity Index for BTC and ETH. We determine the daily volatility by measuring the standard deviation of these minute-by-minute price changes, which provides a more granular view of price fluctuations. This daily figure is then converted to an annualized volatility by multiplying it by the square root of 365, a standard practice for making risk metrics comparable over a one-year period.</t>
    </r>
  </si>
  <si>
    <t>Regression</t>
  </si>
  <si>
    <t>Slope</t>
  </si>
  <si>
    <t>Intercept</t>
  </si>
  <si>
    <t>Perps</t>
  </si>
  <si>
    <t>Delta</t>
  </si>
  <si>
    <t>Average</t>
  </si>
  <si>
    <t>Mean absolute percentage error (MAPE)</t>
  </si>
  <si>
    <t>Revenue Build</t>
  </si>
  <si>
    <t>Formula Check</t>
  </si>
  <si>
    <t>Total Formula Check</t>
  </si>
  <si>
    <t>BLSH Volatility Cycle Timeline - Monthly, Jan 2025 - Dec 2029</t>
  </si>
  <si>
    <t>Actual BTC volatility (blue) = Bullish-disclosed quarterly average, held flat across the first quarter shown and linearly interpolated month-to-month between disclosed quarter-end anchors. Forecast (orange), starting 2Q26, = quarter-end anchors set from the cycle-phase narrative below, linearly interpolated monthly. ETH = BTC x 1.28 throughout (a fixed multiplier, not an independent forecast). This is a scenario for planning purposes, not a market call - see methodology below for the full reasoning and how to defend it.</t>
  </si>
  <si>
    <t>BTC annualized volatility (spot, %)</t>
  </si>
  <si>
    <t>ETH annualized volatility (spot, %) = BTC x 1.28</t>
  </si>
  <si>
    <t>Actual (A) / Forecast (F)</t>
  </si>
  <si>
    <t>A</t>
  </si>
  <si>
    <t>F</t>
  </si>
  <si>
    <t>Cycle phase narrative</t>
  </si>
  <si>
    <t>Post-halving bull run continues (Apr'24 halving)</t>
  </si>
  <si>
    <t>Bull run continues, momentum building</t>
  </si>
  <si>
    <t>Bull run continues, approaching cycle top</t>
  </si>
  <si>
    <t>Cycle top: BTC ATH $126.3k reached Oct 6, 2025; initial rollover</t>
  </si>
  <si>
    <t>Bear decline continues</t>
  </si>
  <si>
    <t>Bear decline continues (FORECAST STARTS HERE)</t>
  </si>
  <si>
    <t>Capitulation / final flush expected</t>
  </si>
  <si>
    <t>Transition into bottoming phase</t>
  </si>
  <si>
    <t>Accumulation / bottoming</t>
  </si>
  <si>
    <t>Accumulation / bottoming (trough)</t>
  </si>
  <si>
    <t>Late accumulation, base-building</t>
  </si>
  <si>
    <t>Quiet base; pre-halving buildup begins</t>
  </si>
  <si>
    <t>Pre-halving positioning (halving ~Apr 2028)</t>
  </si>
  <si>
    <t>Post-halving: early rally</t>
  </si>
  <si>
    <t>Rally continuing, vol building</t>
  </si>
  <si>
    <t>Bull acceleration</t>
  </si>
  <si>
    <t>Bull acceleration continues</t>
  </si>
  <si>
    <t>Approaching new highs; elevated vol</t>
  </si>
  <si>
    <t>Peak-approaching euphoria (capped below pre-ETF extremes)</t>
  </si>
  <si>
    <t>METHODOLOGY - HOW THIS WAS BUILT AND HOW TO DEFEND IT</t>
  </si>
  <si>
    <t>1. Actual anchors (Jan'25-Mar'26)</t>
  </si>
  <si>
    <t>Quarterly BTC annualized volatility as disclosed by Bullish (Shareholder Update / earnings releases): 1Q25 47.4%, 2Q25 35.3%, 3Q25 26.0%, 4Q25 40.5%, 1Q26 47.0%. These are quarter-averages, not month-by-month, so the same quarterly figure is held flat for the first quarter shown and interpolated linearly toward the next disclosed quarter - a simplification, stated explicitly as such.</t>
  </si>
  <si>
    <t>2. Forecast starts 2Q26</t>
  </si>
  <si>
    <t>No BLSH-disclosed data exists past 1Q26 at the time this was built (mid-2026). The forecast path uses a phase-based cycle framework rather than a single-variable extrapolation: (a) continuation of the post-October-2025-ATH decline through late 2026, (b) a bottoming/accumulation phase through 2027, (c) pre-halving positioning building into April 2028, and (d) a post-halving bull phase building through 2029.</t>
  </si>
  <si>
    <t>3. Why these specific phase transitions</t>
  </si>
  <si>
    <t>BTC hit a new all-time high of ~$126.3k on October 6, 2025, then declined roughly 47% into early 2026 - consistent with the historical pattern of a roughly year-long peak-to-trough decline followed by a multi-month accumulation phase. The next halving is expected around April 2028 (four years after the April 20, 2024 halving), which is the standard trigger for the next bull leg under BTC's historical four-year cycle - anticipation typically builds 6-12 months ahead of the event itself.</t>
  </si>
  <si>
    <t>4. Why the peaks are capped lower than pre-2024 history</t>
  </si>
  <si>
    <t>Pre-ETF-era BTC volatility often exceeded 150% annualized. Since spot ETFs launched in January 2024, institutional participation has structurally compressed realized volatility - spikes are milder and drawdowns shallower than in the 2018 or 2022 cycles. This forecast caps the 2029 peak around 80-85%, anchored to BLSH's own actual disclosed range (26%-47%) rather than to older, pre-institutionalization extremes.</t>
  </si>
  <si>
    <t>5. Monthly interpolation method</t>
  </si>
  <si>
    <t>Quarterly anchor values are set at each quarter-END month. All other months are a straight-line interpolation between the two bracketing quarter-end anchors - not independently guessed month-by-month. This keeps the path smooth and makes the underlying assumption transparent and easy to challenge or adjust (change one anchor, the whole curve updates).</t>
  </si>
  <si>
    <t>6. ETH treatment</t>
  </si>
  <si>
    <t>Rather than forecasting ETH volatility independently, ETH is modeled as BTC volatility x 1.28 throughout - a fixed multiplier reflecting ETH's historically higher volatility premium versus BTC. This is a simplification but a defensible one: it ties ETH directly to the same cycle logic rather than introducing a second, unlinked set of assumptions.</t>
  </si>
  <si>
    <t>7. How to defend this in the room</t>
  </si>
  <si>
    <t>"We didn't try to call the exact month of the next top or bottom. We anchored the path to two known facts - the October 2025 all-time high and the April 2028 halving - and to the historical shape of prior BTC cycles (roughly a year-long decline, a multi-month bottoming phase, and a halving-driven recovery). We calibrated the amplitude to BLSH's own post-ETF volatility range rather than pre-2024 extremes. This is one path among several plausible ones, which is why we'd stress-test it against bull/base/bear variants in the Scenario tab rather than underwriting a single number."</t>
  </si>
  <si>
    <t>8. Explicit limitations</t>
  </si>
  <si>
    <t>This is a directional planning scenario, not a market-timing call. The actual cycle could shift by a year or more in either direction, the historical 4-year halving cycle could weaken further as institutional adoption matures (a live debate in the market right now), and any single macro shock (rate policy, regulatory action, a major exchange failure) could invalidate the whole path with no warning. Recommend pairing this with the volatility-to-volume regression built earlier (94% correlation, ~13% MAPE) as the actual revenue-driving mechanism, using this timeline only to set the volatility *input* to that model.</t>
  </si>
  <si>
    <t>YoY Growth</t>
  </si>
  <si>
    <t>Total Volume</t>
  </si>
  <si>
    <t>Trading Spread (bps)</t>
  </si>
  <si>
    <t>Volume ($Bs)</t>
  </si>
  <si>
    <t>Spread Revenue ($Ms)</t>
  </si>
  <si>
    <t>Total Spread Revenue</t>
  </si>
  <si>
    <t>Transaction Income ($Ms)</t>
  </si>
  <si>
    <t>Take Rate (bps)</t>
  </si>
  <si>
    <t>Total Transaction Revenue</t>
  </si>
  <si>
    <t>Liquidity Service Growth</t>
  </si>
  <si>
    <t>CoinDesk</t>
  </si>
  <si>
    <t xml:space="preserve"> </t>
  </si>
  <si>
    <t>Confrences</t>
  </si>
  <si>
    <t>Liquidity Services</t>
  </si>
  <si>
    <t>Subscriptions and services revenue</t>
  </si>
  <si>
    <t>Notes</t>
  </si>
  <si>
    <t>CoinDesk (Data, Insights, Indiies)</t>
  </si>
  <si>
    <t>Conferences</t>
  </si>
  <si>
    <t>Two conferences annually, generating $9M based on 2025 Hong Kong Consensus revenue.</t>
  </si>
  <si>
    <t>CoinDesk Growth Rate</t>
  </si>
  <si>
    <t>CoinDesk (Data [incl. CCData] + Insights + Indices), separated from Conferences, is anchored to a ~$29M FY24 run-rate — built from the acquisition footnotes' pro-forma disclosures (original CoinDesk ~$28–29M standalone + CCData ~$5M, netted for overlap) — then grown at an assumed ~15–20%/yr (midpoint ~17.5%) to arrive at a ~$34M FY2025 estimate, ex-conferences.</t>
  </si>
  <si>
    <t>Subscriptions and Services Revenue</t>
  </si>
  <si>
    <t>Management post Equiniti: 20% revenue growth from tokenization and blockchain services</t>
  </si>
  <si>
    <t>Taper 2.5%</t>
  </si>
  <si>
    <t>CoinDesk Annual Growth Rate</t>
  </si>
  <si>
    <t xml:space="preserve"> Cost of digital assets derecognized</t>
  </si>
  <si>
    <t>BLSH P&amp;L Summary</t>
  </si>
  <si>
    <t>Transaction Revenue</t>
  </si>
  <si>
    <t>Liquidity Subscription</t>
  </si>
  <si>
    <t>CoinDesk (Data, Insights, Indices)</t>
  </si>
  <si>
    <t>Total Adjusted Revenue</t>
  </si>
  <si>
    <t>Volume ($B)</t>
  </si>
  <si>
    <t>Administrative expenses</t>
  </si>
  <si>
    <t>Other expenses</t>
  </si>
  <si>
    <t>% of revenue</t>
  </si>
  <si>
    <t xml:space="preserve">OpEx </t>
  </si>
  <si>
    <t>Equiniti P&amp;L Summary</t>
  </si>
  <si>
    <t>Issuer &amp; Holder Services</t>
  </si>
  <si>
    <t>Interest Income</t>
  </si>
  <si>
    <t>Total Revenue</t>
  </si>
  <si>
    <t>OpEx</t>
  </si>
  <si>
    <t>CapEx</t>
  </si>
  <si>
    <t>Growth</t>
  </si>
  <si>
    <t>% of Revenue</t>
  </si>
  <si>
    <t>Pro Forma P&amp;L Summary (Excluding synergies)</t>
  </si>
  <si>
    <t>x</t>
  </si>
  <si>
    <t>EV / Revenue</t>
  </si>
  <si>
    <t>EV / EBITDA</t>
  </si>
  <si>
    <t>EV / Revenue (2026P)</t>
  </si>
  <si>
    <t>EV / EBITDA (2026P)</t>
  </si>
  <si>
    <t>Pro Forma Summary</t>
  </si>
  <si>
    <t>BLSH Standalone Summary</t>
  </si>
  <si>
    <t>Using the disclosed structure $2.35B of newly-issued shares at a locked VWAP of $38.4797: $2.35B / $38.4797 = ≈ 61.07 million new Ordinary Shares</t>
  </si>
  <si>
    <t>Bullish to assume Equiniti's existing $1.85B debt comprised of a $1.5B term loan (S + 3.75%, maturity December 2031), $350M of senior notes
(8.5%, maturity November 2029) and $235M undrawn revolver (S + 3.75%, maturity December 2030)</t>
  </si>
  <si>
    <t>Summary</t>
  </si>
  <si>
    <t>Adjusted Net Income assumes $190M to $210M of interest expense, D&amp;A, other and taxes of ~$30M</t>
  </si>
  <si>
    <t>6-8%+ combined annual revenue growth, 2027E-2029; E2029E exit growth rate targeted at 8%+</t>
  </si>
  <si>
    <t>Tax rate</t>
  </si>
  <si>
    <t>Equiniti Announcement: "Medium-term outlook net effective tax rate ~20%"</t>
  </si>
  <si>
    <t>Adjusted EBITDA (D&amp;A minimal)</t>
  </si>
  <si>
    <t>EBITDA Terminal Multiple</t>
  </si>
  <si>
    <t>Pro Forma DCF</t>
  </si>
  <si>
    <t>Company Name</t>
  </si>
  <si>
    <t>Market
Value</t>
  </si>
  <si>
    <t>Enterprise
Value</t>
  </si>
  <si>
    <t>EV / Gross Profit</t>
  </si>
  <si>
    <t>Revenue Growth</t>
  </si>
  <si>
    <t>Gross Profit Margin</t>
  </si>
  <si>
    <t>EBITDA Margin</t>
  </si>
  <si>
    <t>CY 26E</t>
  </si>
  <si>
    <t>CY 27E</t>
  </si>
  <si>
    <t>Legacy Market Infrastructure</t>
  </si>
  <si>
    <t>ICE</t>
  </si>
  <si>
    <t>NASDAQ</t>
  </si>
  <si>
    <t>CME Group</t>
  </si>
  <si>
    <t>LSEG</t>
  </si>
  <si>
    <t>Median</t>
  </si>
  <si>
    <t>Mean</t>
  </si>
  <si>
    <t>Modern Trading Platforms</t>
  </si>
  <si>
    <t>Robinhood</t>
  </si>
  <si>
    <t>Bullish</t>
  </si>
  <si>
    <t>Coinbase</t>
  </si>
  <si>
    <t>Gemini</t>
  </si>
  <si>
    <t>nm</t>
  </si>
  <si>
    <t>WeBull</t>
  </si>
  <si>
    <t>Interactive Brokers</t>
  </si>
  <si>
    <t>eToro</t>
  </si>
  <si>
    <t>Galaxy</t>
  </si>
  <si>
    <t>na</t>
  </si>
  <si>
    <t>Register &amp; Issuer Services</t>
  </si>
  <si>
    <t>Computer Share</t>
  </si>
  <si>
    <t>Broadridge</t>
  </si>
  <si>
    <t>SS&amp;C</t>
  </si>
  <si>
    <t>Equiniti (at announcement $38.48 BLSH share)</t>
  </si>
  <si>
    <t>Equiniti (today $22.75 BLSH share)</t>
  </si>
  <si>
    <t>Median (Excluding Equiniti)</t>
  </si>
  <si>
    <t>Mean (Excluding Equiniti)</t>
  </si>
  <si>
    <t>Stablecoin Issuer</t>
  </si>
  <si>
    <t>Circle</t>
  </si>
  <si>
    <t>Tokenization Infrastructure</t>
  </si>
  <si>
    <t>Securitize</t>
  </si>
  <si>
    <t>Figure</t>
  </si>
  <si>
    <t>Data &amp; Index Providers</t>
  </si>
  <si>
    <t>MSCI</t>
  </si>
  <si>
    <t>Moody's</t>
  </si>
  <si>
    <t>S&amp;P Global</t>
  </si>
  <si>
    <t>FactSet</t>
  </si>
  <si>
    <t>Morningstar</t>
  </si>
  <si>
    <t>EV</t>
  </si>
  <si>
    <t>Pro Forma EBITDA 2026P</t>
  </si>
  <si>
    <t>$21.76 - $118.00</t>
  </si>
  <si>
    <t>Comps tab based on Modern Trading Platform median multiple</t>
  </si>
  <si>
    <t>Share Price</t>
  </si>
  <si>
    <t xml:space="preserve">Trading Revenue * Modern Trading Platform + Liquidity Revenue * Tokenization Infra. + CoinDesk * Data and Index + Equiniti * Computershare </t>
  </si>
  <si>
    <t>Current Discount</t>
  </si>
  <si>
    <t>Interest Coverage</t>
  </si>
  <si>
    <t>Net Leverage</t>
  </si>
  <si>
    <t>Risk Profile</t>
  </si>
  <si>
    <t>TAM Growth by 2030</t>
  </si>
  <si>
    <t>CAGR</t>
  </si>
  <si>
    <t>Based on McKinsey tokenization market growth by 2030 (Including:  Bonds, loans, funds and Equities = $2-4T) [Most conservative estimate: https://a16zcrypto.com/posts/article/tokenized-asset-rwa-market-data-charts/]</t>
  </si>
  <si>
    <t>50% haircut to Bull</t>
  </si>
  <si>
    <t>Transaction Volume Growth</t>
  </si>
  <si>
    <t>Q1'26 runrate already 50%+, without the Equiniti cross sell opps. / Forecasted .5 beta to volume growth rate as this take a sales effort</t>
  </si>
  <si>
    <t>Annual Growth Volume Growth Rate</t>
  </si>
  <si>
    <t>Volume Growth</t>
  </si>
  <si>
    <t>Adjusted Monthly</t>
  </si>
  <si>
    <t>Taper</t>
  </si>
  <si>
    <t>Bullish consistently states that they intend to offer the lowest spreads and high liquidity.</t>
  </si>
  <si>
    <t>Finance Expenses</t>
  </si>
  <si>
    <t>Derivative financial instruments</t>
  </si>
  <si>
    <t>Pro Forma Revenue 2029P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</si>
</sst>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0;&quot;($&quot;#,##0.00\);\-"/>
    <numFmt numFmtId="165" formatCode="0.0%;\(0.0%\);\-"/>
    <numFmt numFmtId="166" formatCode="\$#,##0;&quot;($&quot;#,##0\);\-"/>
    <numFmt numFmtId="167" formatCode="0.0\x"/>
    <numFmt numFmtId="168" formatCode="0.0"/>
    <numFmt numFmtId="169" formatCode="0\A"/>
    <numFmt numFmtId="170" formatCode="0\P"/>
    <numFmt numFmtId="171" formatCode="\$#,##0.0;&quot;($&quot;#,##0.0\);\-"/>
    <numFmt numFmtId="172" formatCode="#,##0.0;\(#,##0.0\);\-"/>
    <numFmt numFmtId="173" formatCode="0.0%"/>
    <numFmt numFmtId="174" formatCode="#,##0;\(#,##0\);\-"/>
    <numFmt numFmtId="175" formatCode="_(* #,##0.0_);_(* \(#,##0.0\);_(* &quot;-&quot;??_);_(@_)"/>
    <numFmt numFmtId="176" formatCode="&quot;$&quot;#,&quot;K&quot;"/>
    <numFmt numFmtId="177" formatCode="#,##0.0000000000000"/>
    <numFmt numFmtId="178" formatCode="_(* #,##0_);_(* \(#,##0\);_(* &quot;-&quot;??_);_(@_)"/>
    <numFmt numFmtId="179" formatCode="#,##0.0_);\(#,##0.0\)"/>
    <numFmt numFmtId="180" formatCode="0.0&quot;x&quot;"/>
    <numFmt numFmtId="181" formatCode="0%;\(0%\);\-"/>
  </numFmts>
  <fonts count="71" x14ac:knownFonts="1">
    <font>
      <sz val="11"/>
      <color theme="1"/>
      <name val="Calibri"/>
      <family val="2"/>
      <charset val="1"/>
    </font>
    <font>
      <sz val="11"/>
      <color theme="1"/>
      <name val="Calibri"/>
      <family val="2"/>
      <scheme val="minor"/>
    </font>
    <font>
      <sz val="10"/>
      <name val="Arial"/>
      <family val="2"/>
    </font>
    <font>
      <b/>
      <sz val="16"/>
      <color rgb="FF1F3864"/>
      <name val="Arial"/>
      <family val="2"/>
      <charset val="1"/>
    </font>
    <font>
      <i/>
      <sz val="9"/>
      <color rgb="FF808080"/>
      <name val="Arial"/>
      <family val="2"/>
      <charset val="1"/>
    </font>
    <font>
      <b/>
      <sz val="12"/>
      <color rgb="FFFFFFFF"/>
      <name val="Arial"/>
      <family val="2"/>
      <charset val="1"/>
    </font>
    <font>
      <i/>
      <sz val="10"/>
      <color rgb="FF808080"/>
      <name val="Arial"/>
      <family val="2"/>
      <charset val="1"/>
    </font>
    <font>
      <b/>
      <sz val="10"/>
      <name val="Arial"/>
      <family val="2"/>
      <charset val="1"/>
    </font>
    <font>
      <sz val="10"/>
      <color rgb="FF7030A0"/>
      <name val="Arial"/>
      <family val="2"/>
      <charset val="1"/>
    </font>
    <font>
      <sz val="10"/>
      <color rgb="FF000000"/>
      <name val="Arial"/>
      <family val="2"/>
      <charset val="1"/>
    </font>
    <font>
      <b/>
      <sz val="16"/>
      <color rgb="FF1F3864"/>
      <name val="Arial"/>
      <family val="2"/>
    </font>
    <font>
      <sz val="9"/>
      <color rgb="FF808080"/>
      <name val="Arial"/>
      <family val="2"/>
    </font>
    <font>
      <b/>
      <sz val="12"/>
      <color rgb="FFFFFFFF"/>
      <name val="Arial"/>
      <family val="2"/>
    </font>
    <font>
      <sz val="10"/>
      <name val="Arial"/>
      <family val="2"/>
    </font>
    <font>
      <b/>
      <sz val="10"/>
      <name val="Arial"/>
      <family val="2"/>
    </font>
    <font>
      <sz val="10"/>
      <color rgb="FF000000"/>
      <name val="Arial"/>
      <family val="2"/>
    </font>
    <font>
      <sz val="10"/>
      <color rgb="FF0000FF"/>
      <name val="Arial"/>
      <family val="2"/>
    </font>
    <font>
      <sz val="10"/>
      <color rgb="FF008000"/>
      <name val="Arial"/>
      <family val="2"/>
    </font>
    <font>
      <b/>
      <sz val="10"/>
      <color rgb="FF1F3864"/>
      <name val="Arial"/>
      <family val="2"/>
    </font>
    <font>
      <sz val="8"/>
      <color rgb="FF808080"/>
      <name val="Arial"/>
      <family val="2"/>
    </font>
    <font>
      <i/>
      <sz val="9"/>
      <color rgb="FF808080"/>
      <name val="Arial"/>
      <family val="2"/>
    </font>
    <font>
      <b/>
      <sz val="10"/>
      <color rgb="FF1F3864"/>
      <name val="Arial"/>
      <family val="2"/>
      <charset val="1"/>
    </font>
    <font>
      <sz val="10"/>
      <color theme="1"/>
      <name val="Arial"/>
      <family val="2"/>
    </font>
    <font>
      <b/>
      <sz val="10"/>
      <color rgb="FF000000"/>
      <name val="Arial"/>
      <family val="2"/>
    </font>
    <font>
      <sz val="10"/>
      <color rgb="FF000000"/>
      <name val="Arial"/>
      <family val="2"/>
    </font>
    <font>
      <b/>
      <sz val="10"/>
      <color theme="1"/>
      <name val="Arial"/>
      <family val="2"/>
    </font>
    <font>
      <i/>
      <sz val="8"/>
      <color rgb="FF000000"/>
      <name val="Arial"/>
      <family val="2"/>
    </font>
    <font>
      <b/>
      <sz val="10"/>
      <name val="Arial"/>
      <family val="2"/>
    </font>
    <font>
      <sz val="10"/>
      <name val="Arial"/>
      <family val="2"/>
    </font>
    <font>
      <sz val="11"/>
      <name val="Arial"/>
      <family val="2"/>
    </font>
    <font>
      <b/>
      <u/>
      <sz val="10"/>
      <color rgb="FF000000"/>
      <name val="Arial"/>
      <family val="2"/>
    </font>
    <font>
      <b/>
      <sz val="12"/>
      <color rgb="FF000000"/>
      <name val="Arial"/>
      <family val="2"/>
    </font>
    <font>
      <b/>
      <sz val="16"/>
      <color rgb="FF1F3864"/>
      <name val="Arial"/>
      <family val="2"/>
    </font>
    <font>
      <sz val="9"/>
      <color rgb="FF808080"/>
      <name val="Arial"/>
      <family val="2"/>
    </font>
    <font>
      <b/>
      <sz val="8"/>
      <color rgb="FF1F3864"/>
      <name val="Arial"/>
      <family val="2"/>
    </font>
    <font>
      <sz val="8"/>
      <color rgb="FF1F3864"/>
      <name val="Arial"/>
      <family val="2"/>
    </font>
    <font>
      <b/>
      <sz val="10"/>
      <color rgb="FF1F3864"/>
      <name val="Arial"/>
      <family val="2"/>
    </font>
    <font>
      <b/>
      <sz val="9"/>
      <name val="Arial"/>
      <family val="2"/>
    </font>
    <font>
      <sz val="9"/>
      <color rgb="FF0000FF"/>
      <name val="Arial"/>
      <family val="2"/>
    </font>
    <font>
      <sz val="9"/>
      <color rgb="FFED7D31"/>
      <name val="Arial"/>
      <family val="2"/>
    </font>
    <font>
      <sz val="9"/>
      <color rgb="FF008000"/>
      <name val="Arial"/>
      <family val="2"/>
    </font>
    <font>
      <i/>
      <sz val="8"/>
      <color rgb="FF1F3864"/>
      <name val="Arial"/>
      <family val="2"/>
    </font>
    <font>
      <b/>
      <sz val="11"/>
      <color rgb="FFFFFFFF"/>
      <name val="Arial"/>
      <family val="2"/>
    </font>
    <font>
      <sz val="8"/>
      <color rgb="FF808080"/>
      <name val="Arial"/>
      <family val="2"/>
    </font>
    <font>
      <i/>
      <sz val="11"/>
      <color theme="1"/>
      <name val="Calibri"/>
      <family val="2"/>
    </font>
    <font>
      <b/>
      <sz val="11"/>
      <color theme="1"/>
      <name val="Calibri"/>
      <family val="2"/>
      <charset val="1"/>
    </font>
    <font>
      <sz val="11"/>
      <color theme="1"/>
      <name val="Calibri"/>
      <family val="2"/>
    </font>
    <font>
      <sz val="11"/>
      <color rgb="FF00B0F0"/>
      <name val="Calibri"/>
      <family val="2"/>
      <charset val="1"/>
    </font>
    <font>
      <sz val="10"/>
      <color rgb="FFFF0000"/>
      <name val="Arial"/>
      <family val="2"/>
    </font>
    <font>
      <sz val="10"/>
      <color rgb="FFED7D31"/>
      <name val="Arial"/>
      <family val="2"/>
    </font>
    <font>
      <b/>
      <sz val="11"/>
      <color theme="1"/>
      <name val="Calibri"/>
      <family val="2"/>
    </font>
    <font>
      <i/>
      <sz val="10"/>
      <name val="Arial"/>
      <family val="2"/>
      <charset val="1"/>
    </font>
    <font>
      <b/>
      <i/>
      <sz val="10"/>
      <name val="Arial"/>
      <family val="2"/>
    </font>
    <font>
      <i/>
      <sz val="10"/>
      <name val="Arial"/>
      <family val="2"/>
    </font>
    <font>
      <sz val="10"/>
      <color theme="6"/>
      <name val="Arial"/>
      <family val="2"/>
    </font>
    <font>
      <sz val="10"/>
      <color rgb="FF0070C0"/>
      <name val="Arial"/>
      <family val="2"/>
    </font>
    <font>
      <sz val="9"/>
      <color indexed="81"/>
      <name val="Tahoma"/>
      <family val="2"/>
    </font>
    <font>
      <b/>
      <sz val="9"/>
      <color indexed="81"/>
      <name val="Tahoma"/>
      <family val="2"/>
    </font>
    <font>
      <sz val="10"/>
      <color rgb="FF00B0F0"/>
      <name val="Arial"/>
      <family val="2"/>
    </font>
    <font>
      <i/>
      <sz val="11"/>
      <color theme="1"/>
      <name val="Calibri"/>
      <family val="2"/>
      <charset val="1"/>
    </font>
    <font>
      <b/>
      <i/>
      <sz val="10"/>
      <color rgb="FF00B0F0"/>
      <name val="Arial"/>
      <family val="2"/>
    </font>
    <font>
      <i/>
      <sz val="10"/>
      <color rgb="FF0070C0"/>
      <name val="Arial"/>
      <family val="2"/>
    </font>
    <font>
      <sz val="11"/>
      <color rgb="FF0070C0"/>
      <name val="Calibri"/>
      <family val="2"/>
      <charset val="1"/>
    </font>
    <font>
      <b/>
      <sz val="11"/>
      <color rgb="FFFF0000"/>
      <name val="Calibri"/>
      <family val="2"/>
    </font>
    <font>
      <sz val="11"/>
      <name val="Calibri"/>
      <family val="2"/>
    </font>
    <font>
      <sz val="10"/>
      <color rgb="FF0070C0"/>
      <name val="Arial"/>
      <family val="2"/>
      <charset val="1"/>
    </font>
    <font>
      <b/>
      <sz val="10"/>
      <color rgb="FFFFFFFF"/>
      <name val="Arial"/>
      <family val="2"/>
    </font>
    <font>
      <sz val="11"/>
      <color rgb="FF00B050"/>
      <name val="Calibri"/>
      <family val="2"/>
      <charset val="1"/>
    </font>
    <font>
      <sz val="10"/>
      <color rgb="FF00B050"/>
      <name val="Arial"/>
      <family val="2"/>
    </font>
    <font>
      <u/>
      <sz val="10"/>
      <name val="Arial"/>
      <family val="2"/>
    </font>
    <font>
      <i/>
      <sz val="10"/>
      <color theme="1"/>
      <name val="Arial"/>
      <family val="2"/>
    </font>
  </fonts>
  <fills count="22">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2E6FF"/>
      </patternFill>
    </fill>
    <fill>
      <patternFill patternType="solid">
        <fgColor rgb="FFF2E6FF"/>
        <bgColor rgb="FFF2F2F2"/>
      </patternFill>
    </fill>
    <fill>
      <patternFill patternType="solid">
        <fgColor rgb="FFD9E2F3"/>
        <bgColor rgb="FFF2E6FF"/>
      </patternFill>
    </fill>
    <fill>
      <patternFill patternType="solid">
        <fgColor theme="0"/>
        <bgColor indexed="64"/>
      </patternFill>
    </fill>
    <fill>
      <patternFill patternType="solid">
        <fgColor rgb="FFFFFFFF"/>
        <bgColor rgb="FFFFFFFF"/>
      </patternFill>
    </fill>
    <fill>
      <patternFill patternType="solid">
        <fgColor theme="0" tint="-4.9989318521683403E-2"/>
        <bgColor indexed="64"/>
      </patternFill>
    </fill>
    <fill>
      <patternFill patternType="solid">
        <fgColor rgb="FFF2F2F2"/>
        <bgColor indexed="64"/>
      </patternFill>
    </fill>
    <fill>
      <patternFill patternType="solid">
        <fgColor theme="8" tint="0.79998168889431442"/>
        <bgColor indexed="64"/>
      </patternFill>
    </fill>
    <fill>
      <patternFill patternType="solid">
        <fgColor rgb="FFBDD7EE"/>
        <bgColor rgb="FFD9E2F3"/>
      </patternFill>
    </fill>
    <fill>
      <patternFill patternType="solid">
        <fgColor rgb="FFD9E2F3"/>
        <bgColor rgb="FFBDD7EE"/>
      </patternFill>
    </fill>
    <fill>
      <patternFill patternType="solid">
        <fgColor rgb="FFFFFF00"/>
        <bgColor indexed="64"/>
      </patternFill>
    </fill>
    <fill>
      <patternFill patternType="solid">
        <fgColor theme="2"/>
        <bgColor indexed="64"/>
      </patternFill>
    </fill>
    <fill>
      <patternFill patternType="solid">
        <fgColor theme="8" tint="0.59999389629810485"/>
        <bgColor rgb="FFF2E6FF"/>
      </patternFill>
    </fill>
    <fill>
      <patternFill patternType="solid">
        <fgColor rgb="FFF8F8F8"/>
        <bgColor indexed="64"/>
      </patternFill>
    </fill>
    <fill>
      <patternFill patternType="solid">
        <fgColor theme="2"/>
        <bgColor rgb="FFFFFF00"/>
      </patternFill>
    </fill>
    <fill>
      <patternFill patternType="solid">
        <fgColor theme="2"/>
        <bgColor rgb="FFF2E6FF"/>
      </patternFill>
    </fill>
    <fill>
      <patternFill patternType="solid">
        <fgColor rgb="FFD9D9D9"/>
        <bgColor rgb="FFC0C0C0"/>
      </patternFill>
    </fill>
    <fill>
      <patternFill patternType="solid">
        <fgColor theme="9" tint="0.79998168889431442"/>
        <bgColor indexed="64"/>
      </patternFill>
    </fill>
  </fills>
  <borders count="13">
    <border>
      <left/>
      <right/>
      <top/>
      <bottom/>
      <diagonal/>
    </border>
    <border>
      <left/>
      <right/>
      <top/>
      <bottom style="thin">
        <color rgb="FF000000"/>
      </bottom>
      <diagonal/>
    </border>
    <border>
      <left/>
      <right/>
      <top style="thin">
        <color rgb="FF000000"/>
      </top>
      <bottom style="thin">
        <color rgb="FF000000"/>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indexed="64"/>
      </top>
      <bottom/>
      <diagonal/>
    </border>
    <border>
      <left/>
      <right/>
      <top style="thin">
        <color indexed="64"/>
      </top>
      <bottom style="thin">
        <color indexed="64"/>
      </bottom>
      <diagonal/>
    </border>
    <border>
      <left/>
      <right/>
      <top style="thin">
        <color rgb="FFF2F2F2"/>
      </top>
      <bottom style="thin">
        <color rgb="FFF2F2F2"/>
      </bottom>
      <diagonal/>
    </border>
    <border>
      <left style="thin">
        <color rgb="FFF2F2F2"/>
      </left>
      <right/>
      <top style="thin">
        <color rgb="FFF2F2F2"/>
      </top>
      <bottom style="thin">
        <color rgb="FFF2F2F2"/>
      </bottom>
      <diagonal/>
    </border>
    <border>
      <left/>
      <right style="thin">
        <color rgb="FFF2F2F2"/>
      </right>
      <top style="thin">
        <color rgb="FFF2F2F2"/>
      </top>
      <bottom style="thin">
        <color rgb="FFF2F2F2"/>
      </bottom>
      <diagonal/>
    </border>
    <border>
      <left/>
      <right/>
      <top style="thin">
        <color rgb="FF000000"/>
      </top>
      <bottom/>
      <diagonal/>
    </border>
    <border>
      <left/>
      <right/>
      <top style="thin">
        <color rgb="FFBFBFBF"/>
      </top>
      <bottom/>
      <diagonal/>
    </border>
  </borders>
  <cellStyleXfs count="8">
    <xf numFmtId="0" fontId="0" fillId="0" borderId="0"/>
    <xf numFmtId="43" fontId="2" fillId="0" borderId="0" applyBorder="0" applyAlignment="0" applyProtection="0"/>
    <xf numFmtId="9" fontId="2" fillId="0" borderId="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24" fillId="0" borderId="0" applyBorder="0">
      <alignment wrapText="1"/>
    </xf>
  </cellStyleXfs>
  <cellXfs count="265">
    <xf numFmtId="0" fontId="0" fillId="0" borderId="0" xfId="0"/>
    <xf numFmtId="0" fontId="4" fillId="0" borderId="0" xfId="0" applyFont="1"/>
    <xf numFmtId="0" fontId="8" fillId="5" borderId="0" xfId="0" applyFont="1" applyFill="1"/>
    <xf numFmtId="0" fontId="6" fillId="0" borderId="0" xfId="0" applyFont="1"/>
    <xf numFmtId="0" fontId="5" fillId="2" borderId="0" xfId="0" applyFont="1" applyFill="1" applyAlignment="1">
      <alignment horizontal="left" vertical="center" indent="1"/>
    </xf>
    <xf numFmtId="0" fontId="3" fillId="0" borderId="0" xfId="0" applyFont="1"/>
    <xf numFmtId="0" fontId="7" fillId="0" borderId="0" xfId="0" applyFont="1"/>
    <xf numFmtId="0" fontId="10" fillId="0" borderId="0" xfId="0" applyFont="1"/>
    <xf numFmtId="0" fontId="11" fillId="0" borderId="0" xfId="0" applyFont="1" applyAlignment="1">
      <alignment wrapText="1"/>
    </xf>
    <xf numFmtId="14" fontId="0" fillId="0" borderId="0" xfId="0" applyNumberFormat="1"/>
    <xf numFmtId="0" fontId="12" fillId="2" borderId="0" xfId="0" applyFont="1" applyFill="1" applyAlignment="1">
      <alignment vertical="center"/>
    </xf>
    <xf numFmtId="0" fontId="13" fillId="2" borderId="0" xfId="0" applyFont="1" applyFill="1" applyAlignment="1">
      <alignment vertical="center"/>
    </xf>
    <xf numFmtId="0" fontId="14" fillId="0" borderId="0" xfId="0" applyFont="1"/>
    <xf numFmtId="169" fontId="14" fillId="4" borderId="0" xfId="0" applyNumberFormat="1" applyFont="1" applyFill="1" applyAlignment="1">
      <alignment horizontal="center"/>
    </xf>
    <xf numFmtId="170" fontId="14" fillId="4" borderId="0" xfId="0" applyNumberFormat="1" applyFont="1" applyFill="1" applyAlignment="1">
      <alignment horizontal="center"/>
    </xf>
    <xf numFmtId="0" fontId="14" fillId="4" borderId="0" xfId="0" applyFont="1" applyFill="1" applyAlignment="1">
      <alignment horizontal="center"/>
    </xf>
    <xf numFmtId="0" fontId="13" fillId="0" borderId="0" xfId="0" applyFont="1"/>
    <xf numFmtId="171" fontId="15" fillId="0" borderId="0" xfId="0" applyNumberFormat="1" applyFont="1"/>
    <xf numFmtId="171" fontId="16" fillId="0" borderId="0" xfId="0" applyNumberFormat="1" applyFont="1"/>
    <xf numFmtId="171" fontId="13" fillId="0" borderId="0" xfId="0" applyNumberFormat="1" applyFont="1"/>
    <xf numFmtId="171" fontId="14" fillId="6" borderId="0" xfId="0" applyNumberFormat="1" applyFont="1" applyFill="1"/>
    <xf numFmtId="0" fontId="14" fillId="0" borderId="0" xfId="0" applyFont="1" applyAlignment="1">
      <alignment vertical="center"/>
    </xf>
    <xf numFmtId="171" fontId="14" fillId="6" borderId="0" xfId="0" applyNumberFormat="1" applyFont="1" applyFill="1" applyAlignment="1">
      <alignment vertical="center"/>
    </xf>
    <xf numFmtId="172" fontId="13" fillId="0" borderId="0" xfId="0" applyNumberFormat="1" applyFont="1"/>
    <xf numFmtId="172" fontId="16" fillId="0" borderId="0" xfId="0" applyNumberFormat="1" applyFont="1"/>
    <xf numFmtId="164" fontId="13" fillId="0" borderId="0" xfId="0" applyNumberFormat="1" applyFont="1"/>
    <xf numFmtId="164" fontId="16" fillId="0" borderId="0" xfId="0" applyNumberFormat="1" applyFont="1"/>
    <xf numFmtId="0" fontId="13" fillId="0" borderId="0" xfId="0" applyFont="1" applyAlignment="1">
      <alignment vertical="center"/>
    </xf>
    <xf numFmtId="0" fontId="12" fillId="2" borderId="0" xfId="0" applyFont="1" applyFill="1"/>
    <xf numFmtId="0" fontId="13" fillId="2" borderId="0" xfId="0" applyFont="1" applyFill="1"/>
    <xf numFmtId="171" fontId="17" fillId="0" borderId="0" xfId="0" applyNumberFormat="1" applyFont="1"/>
    <xf numFmtId="171" fontId="16" fillId="6" borderId="0" xfId="0" applyNumberFormat="1" applyFont="1" applyFill="1"/>
    <xf numFmtId="0" fontId="0" fillId="2" borderId="0" xfId="0" applyFill="1"/>
    <xf numFmtId="171" fontId="0" fillId="0" borderId="0" xfId="0" applyNumberFormat="1"/>
    <xf numFmtId="173" fontId="15" fillId="0" borderId="0" xfId="0" applyNumberFormat="1" applyFont="1"/>
    <xf numFmtId="0" fontId="14" fillId="6" borderId="0" xfId="0" applyFont="1" applyFill="1"/>
    <xf numFmtId="0" fontId="0" fillId="6" borderId="0" xfId="0" applyFill="1"/>
    <xf numFmtId="173" fontId="0" fillId="0" borderId="0" xfId="0" applyNumberFormat="1"/>
    <xf numFmtId="173" fontId="16" fillId="0" borderId="0" xfId="0" applyNumberFormat="1" applyFont="1"/>
    <xf numFmtId="3" fontId="0" fillId="0" borderId="0" xfId="0" applyNumberFormat="1"/>
    <xf numFmtId="3" fontId="16" fillId="0" borderId="0" xfId="0" applyNumberFormat="1" applyFont="1"/>
    <xf numFmtId="0" fontId="18" fillId="6" borderId="0" xfId="0" applyFont="1" applyFill="1"/>
    <xf numFmtId="0" fontId="19" fillId="0" borderId="0" xfId="0" applyFont="1" applyAlignment="1">
      <alignment vertical="top" wrapText="1"/>
    </xf>
    <xf numFmtId="0" fontId="11" fillId="0" borderId="0" xfId="0" applyFont="1"/>
    <xf numFmtId="0" fontId="13" fillId="0" borderId="0" xfId="0" applyFont="1" applyAlignment="1">
      <alignment horizontal="center"/>
    </xf>
    <xf numFmtId="169" fontId="14" fillId="4" borderId="0" xfId="0" applyNumberFormat="1" applyFont="1" applyFill="1"/>
    <xf numFmtId="170" fontId="14" fillId="4" borderId="0" xfId="0" applyNumberFormat="1" applyFont="1" applyFill="1"/>
    <xf numFmtId="0" fontId="14" fillId="4" borderId="0" xfId="0" applyFont="1" applyFill="1"/>
    <xf numFmtId="0" fontId="13" fillId="6" borderId="0" xfId="0" applyFont="1" applyFill="1"/>
    <xf numFmtId="166" fontId="15" fillId="0" borderId="0" xfId="0" applyNumberFormat="1" applyFont="1"/>
    <xf numFmtId="166" fontId="13" fillId="0" borderId="0" xfId="0" applyNumberFormat="1" applyFont="1"/>
    <xf numFmtId="166" fontId="0" fillId="0" borderId="0" xfId="0" applyNumberFormat="1"/>
    <xf numFmtId="166" fontId="16" fillId="0" borderId="0" xfId="0" applyNumberFormat="1" applyFont="1"/>
    <xf numFmtId="166" fontId="14" fillId="6" borderId="0" xfId="0" applyNumberFormat="1" applyFont="1" applyFill="1"/>
    <xf numFmtId="166" fontId="13" fillId="6" borderId="0" xfId="0" applyNumberFormat="1" applyFont="1" applyFill="1"/>
    <xf numFmtId="166" fontId="15" fillId="0" borderId="0" xfId="0" applyNumberFormat="1" applyFont="1" applyAlignment="1">
      <alignment vertical="center"/>
    </xf>
    <xf numFmtId="166" fontId="13" fillId="0" borderId="0" xfId="0" applyNumberFormat="1" applyFont="1" applyAlignment="1">
      <alignment vertical="center"/>
    </xf>
    <xf numFmtId="166" fontId="20" fillId="0" borderId="0" xfId="0" applyNumberFormat="1" applyFont="1"/>
    <xf numFmtId="0" fontId="13" fillId="0" borderId="0" xfId="0" applyFont="1" applyAlignment="1">
      <alignment horizontal="left" vertical="center" indent="1"/>
    </xf>
    <xf numFmtId="0" fontId="13" fillId="2" borderId="0" xfId="0" applyFont="1" applyFill="1" applyAlignment="1">
      <alignment horizontal="center"/>
    </xf>
    <xf numFmtId="0" fontId="7" fillId="4" borderId="0" xfId="0" applyFont="1" applyFill="1" applyAlignment="1">
      <alignment horizontal="center"/>
    </xf>
    <xf numFmtId="0" fontId="7" fillId="4" borderId="0" xfId="0" applyFont="1" applyFill="1" applyAlignment="1">
      <alignment horizontal="center" wrapText="1"/>
    </xf>
    <xf numFmtId="171" fontId="8" fillId="5" borderId="0" xfId="0" applyNumberFormat="1" applyFont="1" applyFill="1"/>
    <xf numFmtId="165" fontId="9" fillId="0" borderId="0" xfId="0" applyNumberFormat="1" applyFont="1"/>
    <xf numFmtId="171" fontId="0" fillId="3" borderId="0" xfId="0" applyNumberFormat="1" applyFill="1"/>
    <xf numFmtId="165" fontId="9" fillId="5" borderId="0" xfId="0" applyNumberFormat="1" applyFont="1" applyFill="1"/>
    <xf numFmtId="0" fontId="5" fillId="2" borderId="0" xfId="0" applyFont="1" applyFill="1" applyAlignment="1">
      <alignment vertical="center"/>
    </xf>
    <xf numFmtId="0" fontId="22" fillId="0" borderId="0" xfId="3" applyFont="1"/>
    <xf numFmtId="0" fontId="22" fillId="0" borderId="0" xfId="3" applyFont="1" applyAlignment="1">
      <alignment horizontal="center"/>
    </xf>
    <xf numFmtId="0" fontId="23" fillId="7" borderId="0" xfId="3" applyFont="1" applyFill="1" applyAlignment="1">
      <alignment horizontal="left" vertical="center" wrapText="1"/>
    </xf>
    <xf numFmtId="0" fontId="24" fillId="8" borderId="0" xfId="3" applyFont="1" applyFill="1" applyAlignment="1">
      <alignment vertical="center"/>
    </xf>
    <xf numFmtId="0" fontId="22" fillId="0" borderId="2" xfId="3" applyFont="1" applyBorder="1" applyAlignment="1">
      <alignment horizontal="center" vertical="center"/>
    </xf>
    <xf numFmtId="0" fontId="22" fillId="0" borderId="2" xfId="4" applyFont="1" applyBorder="1" applyAlignment="1">
      <alignment horizontal="center" vertical="center"/>
    </xf>
    <xf numFmtId="0" fontId="26" fillId="8" borderId="0" xfId="3" applyFont="1" applyFill="1" applyAlignment="1">
      <alignment vertical="center"/>
    </xf>
    <xf numFmtId="0" fontId="22" fillId="0" borderId="0" xfId="3" applyFont="1" applyAlignment="1">
      <alignment horizontal="center" vertical="center"/>
    </xf>
    <xf numFmtId="0" fontId="22" fillId="0" borderId="0" xfId="4" applyFont="1" applyAlignment="1">
      <alignment horizontal="center"/>
    </xf>
    <xf numFmtId="0" fontId="22" fillId="0" borderId="0" xfId="4" applyFont="1"/>
    <xf numFmtId="0" fontId="27" fillId="9" borderId="3" xfId="3" applyFont="1" applyFill="1" applyBorder="1"/>
    <xf numFmtId="0" fontId="22" fillId="9" borderId="4" xfId="3" applyFont="1" applyFill="1" applyBorder="1" applyAlignment="1">
      <alignment horizontal="center" vertical="center"/>
    </xf>
    <xf numFmtId="0" fontId="22" fillId="9" borderId="5" xfId="3" applyFont="1" applyFill="1" applyBorder="1" applyAlignment="1">
      <alignment horizontal="center" vertical="center"/>
    </xf>
    <xf numFmtId="0" fontId="22" fillId="9" borderId="0" xfId="4" applyFont="1" applyFill="1" applyAlignment="1">
      <alignment horizontal="center" vertical="center"/>
    </xf>
    <xf numFmtId="0" fontId="28" fillId="7" borderId="0" xfId="3" applyFont="1" applyFill="1"/>
    <xf numFmtId="168" fontId="28" fillId="7" borderId="0" xfId="3" applyNumberFormat="1" applyFont="1" applyFill="1" applyAlignment="1">
      <alignment horizontal="center"/>
    </xf>
    <xf numFmtId="168" fontId="28" fillId="7" borderId="0" xfId="4" applyNumberFormat="1" applyFont="1" applyFill="1" applyAlignment="1">
      <alignment horizontal="center"/>
    </xf>
    <xf numFmtId="0" fontId="27" fillId="7" borderId="6" xfId="3" applyFont="1" applyFill="1" applyBorder="1"/>
    <xf numFmtId="168" fontId="27" fillId="7" borderId="6" xfId="3" applyNumberFormat="1" applyFont="1" applyFill="1" applyBorder="1" applyAlignment="1">
      <alignment horizontal="center"/>
    </xf>
    <xf numFmtId="168" fontId="27" fillId="7" borderId="6" xfId="4" applyNumberFormat="1" applyFont="1" applyFill="1" applyBorder="1" applyAlignment="1">
      <alignment horizontal="center"/>
    </xf>
    <xf numFmtId="0" fontId="27" fillId="7" borderId="7" xfId="3" applyFont="1" applyFill="1" applyBorder="1"/>
    <xf numFmtId="168" fontId="27" fillId="7" borderId="7" xfId="3" applyNumberFormat="1" applyFont="1" applyFill="1" applyBorder="1" applyAlignment="1">
      <alignment horizontal="center"/>
    </xf>
    <xf numFmtId="168" fontId="27" fillId="7" borderId="7" xfId="4" applyNumberFormat="1" applyFont="1" applyFill="1" applyBorder="1" applyAlignment="1">
      <alignment horizontal="center"/>
    </xf>
    <xf numFmtId="0" fontId="22" fillId="9" borderId="5" xfId="4" applyFont="1" applyFill="1" applyBorder="1" applyAlignment="1">
      <alignment horizontal="center" vertical="center"/>
    </xf>
    <xf numFmtId="39" fontId="22" fillId="0" borderId="0" xfId="3" applyNumberFormat="1" applyFont="1" applyAlignment="1">
      <alignment horizontal="center"/>
    </xf>
    <xf numFmtId="39" fontId="22" fillId="0" borderId="0" xfId="4" applyNumberFormat="1" applyFont="1" applyAlignment="1">
      <alignment horizontal="center"/>
    </xf>
    <xf numFmtId="39" fontId="27" fillId="7" borderId="7" xfId="3" applyNumberFormat="1" applyFont="1" applyFill="1" applyBorder="1" applyAlignment="1">
      <alignment horizontal="center"/>
    </xf>
    <xf numFmtId="39" fontId="27" fillId="7" borderId="7" xfId="4" applyNumberFormat="1" applyFont="1" applyFill="1" applyBorder="1" applyAlignment="1">
      <alignment horizontal="center"/>
    </xf>
    <xf numFmtId="0" fontId="28" fillId="0" borderId="0" xfId="3" applyFont="1"/>
    <xf numFmtId="9" fontId="22" fillId="0" borderId="0" xfId="5" applyFont="1" applyAlignment="1">
      <alignment horizontal="center"/>
    </xf>
    <xf numFmtId="14" fontId="22" fillId="0" borderId="0" xfId="3" applyNumberFormat="1" applyFont="1" applyAlignment="1">
      <alignment horizontal="center"/>
    </xf>
    <xf numFmtId="0" fontId="0" fillId="0" borderId="6" xfId="0" applyBorder="1"/>
    <xf numFmtId="176" fontId="29" fillId="0" borderId="0" xfId="3" applyNumberFormat="1" applyFont="1"/>
    <xf numFmtId="0" fontId="0" fillId="0" borderId="0" xfId="0" applyAlignment="1">
      <alignment horizontal="center"/>
    </xf>
    <xf numFmtId="0" fontId="24" fillId="0" borderId="0" xfId="7" applyAlignment="1">
      <alignment vertical="center" wrapText="1"/>
    </xf>
    <xf numFmtId="0" fontId="31" fillId="0" borderId="0" xfId="3" applyFont="1" applyAlignment="1">
      <alignment vertical="center" wrapText="1"/>
    </xf>
    <xf numFmtId="2" fontId="22" fillId="0" borderId="0" xfId="3" applyNumberFormat="1" applyFont="1" applyAlignment="1">
      <alignment horizontal="center"/>
    </xf>
    <xf numFmtId="168" fontId="22" fillId="0" borderId="0" xfId="3" applyNumberFormat="1" applyFont="1" applyAlignment="1">
      <alignment horizontal="center"/>
    </xf>
    <xf numFmtId="0" fontId="22" fillId="0" borderId="6" xfId="3" applyFont="1" applyBorder="1"/>
    <xf numFmtId="9" fontId="22" fillId="0" borderId="6" xfId="3" applyNumberFormat="1" applyFont="1" applyBorder="1" applyAlignment="1">
      <alignment horizontal="center"/>
    </xf>
    <xf numFmtId="0" fontId="25" fillId="0" borderId="1" xfId="3" applyFont="1" applyBorder="1" applyAlignment="1">
      <alignment horizontal="centerContinuous" vertical="center"/>
    </xf>
    <xf numFmtId="0" fontId="25" fillId="0" borderId="1" xfId="4" applyFont="1" applyBorder="1" applyAlignment="1">
      <alignment horizontal="centerContinuous"/>
    </xf>
    <xf numFmtId="9" fontId="28" fillId="0" borderId="0" xfId="2" applyFont="1" applyAlignment="1">
      <alignment horizontal="center"/>
    </xf>
    <xf numFmtId="168" fontId="22" fillId="0" borderId="0" xfId="0" applyNumberFormat="1" applyFont="1"/>
    <xf numFmtId="0" fontId="25" fillId="10" borderId="8" xfId="3" applyFont="1" applyFill="1" applyBorder="1" applyAlignment="1">
      <alignment horizontal="center" vertical="center"/>
    </xf>
    <xf numFmtId="0" fontId="25" fillId="10" borderId="8" xfId="3" applyFont="1" applyFill="1" applyBorder="1" applyAlignment="1">
      <alignment horizontal="center"/>
    </xf>
    <xf numFmtId="0" fontId="25" fillId="10" borderId="8" xfId="4" applyFont="1" applyFill="1" applyBorder="1"/>
    <xf numFmtId="0" fontId="25" fillId="10" borderId="8" xfId="3" applyFont="1" applyFill="1" applyBorder="1"/>
    <xf numFmtId="0" fontId="27" fillId="10" borderId="9" xfId="3" applyFont="1" applyFill="1" applyBorder="1"/>
    <xf numFmtId="0" fontId="25" fillId="10" borderId="10" xfId="3" applyFont="1" applyFill="1" applyBorder="1"/>
    <xf numFmtId="0" fontId="25" fillId="0" borderId="0" xfId="3" applyFont="1"/>
    <xf numFmtId="168" fontId="25" fillId="0" borderId="0" xfId="3" applyNumberFormat="1" applyFont="1" applyAlignment="1">
      <alignment horizontal="center"/>
    </xf>
    <xf numFmtId="0" fontId="25" fillId="0" borderId="11" xfId="3" applyFont="1" applyBorder="1"/>
    <xf numFmtId="168" fontId="25" fillId="0" borderId="11" xfId="3" applyNumberFormat="1" applyFont="1" applyBorder="1" applyAlignment="1">
      <alignment horizontal="center"/>
    </xf>
    <xf numFmtId="0" fontId="22" fillId="0" borderId="0" xfId="3" applyFont="1" applyAlignment="1">
      <alignment horizontal="centerContinuous"/>
    </xf>
    <xf numFmtId="0" fontId="22" fillId="11" borderId="2" xfId="3" applyFont="1" applyFill="1" applyBorder="1" applyAlignment="1">
      <alignment horizontal="center" vertical="center"/>
    </xf>
    <xf numFmtId="9" fontId="2" fillId="0" borderId="0" xfId="2"/>
    <xf numFmtId="175" fontId="2" fillId="0" borderId="0" xfId="1" applyNumberFormat="1"/>
    <xf numFmtId="0" fontId="32" fillId="0" borderId="0" xfId="0" applyFont="1"/>
    <xf numFmtId="0" fontId="33" fillId="0" borderId="0" xfId="0" applyFont="1" applyAlignment="1">
      <alignment wrapText="1"/>
    </xf>
    <xf numFmtId="0" fontId="34" fillId="0" borderId="0" xfId="0" applyFont="1" applyAlignment="1">
      <alignment horizontal="center"/>
    </xf>
    <xf numFmtId="14" fontId="35" fillId="0" borderId="0" xfId="0" applyNumberFormat="1" applyFont="1" applyAlignment="1">
      <alignment horizontal="center"/>
    </xf>
    <xf numFmtId="0" fontId="34" fillId="0" borderId="12" xfId="0" applyFont="1" applyBorder="1" applyAlignment="1">
      <alignment horizontal="center"/>
    </xf>
    <xf numFmtId="0" fontId="37" fillId="0" borderId="0" xfId="0" applyFont="1"/>
    <xf numFmtId="173" fontId="38" fillId="0" borderId="0" xfId="0" applyNumberFormat="1" applyFont="1"/>
    <xf numFmtId="173" fontId="39" fillId="0" borderId="0" xfId="0" applyNumberFormat="1" applyFont="1"/>
    <xf numFmtId="173" fontId="40" fillId="0" borderId="0" xfId="0" applyNumberFormat="1" applyFont="1"/>
    <xf numFmtId="0" fontId="33" fillId="0" borderId="0" xfId="0" applyFont="1"/>
    <xf numFmtId="0" fontId="33" fillId="0" borderId="0" xfId="0" applyFont="1" applyAlignment="1">
      <alignment horizontal="center"/>
    </xf>
    <xf numFmtId="0" fontId="42" fillId="2" borderId="0" xfId="0" applyFont="1" applyFill="1"/>
    <xf numFmtId="0" fontId="27" fillId="0" borderId="0" xfId="0" applyFont="1"/>
    <xf numFmtId="0" fontId="43" fillId="0" borderId="0" xfId="0" applyFont="1" applyAlignment="1">
      <alignment vertical="top" wrapText="1"/>
    </xf>
    <xf numFmtId="0" fontId="0" fillId="0" borderId="0" xfId="0" applyAlignment="1">
      <alignment horizontal="left" indent="1"/>
    </xf>
    <xf numFmtId="0" fontId="44" fillId="0" borderId="0" xfId="0" applyFont="1" applyAlignment="1">
      <alignment horizontal="left" indent="1"/>
    </xf>
    <xf numFmtId="43" fontId="0" fillId="0" borderId="0" xfId="0" applyNumberFormat="1"/>
    <xf numFmtId="0" fontId="45" fillId="0" borderId="0" xfId="0" applyFont="1"/>
    <xf numFmtId="175" fontId="27" fillId="0" borderId="6" xfId="1" applyNumberFormat="1" applyFont="1" applyBorder="1"/>
    <xf numFmtId="0" fontId="45" fillId="0" borderId="6" xfId="0" applyFont="1" applyBorder="1"/>
    <xf numFmtId="0" fontId="46" fillId="0" borderId="6" xfId="0" applyFont="1" applyBorder="1"/>
    <xf numFmtId="175" fontId="0" fillId="0" borderId="6" xfId="0" applyNumberFormat="1" applyBorder="1"/>
    <xf numFmtId="175" fontId="47" fillId="0" borderId="0" xfId="0" applyNumberFormat="1" applyFont="1"/>
    <xf numFmtId="43" fontId="0" fillId="0" borderId="6" xfId="0" applyNumberFormat="1" applyBorder="1"/>
    <xf numFmtId="177" fontId="0" fillId="0" borderId="0" xfId="0" applyNumberFormat="1"/>
    <xf numFmtId="171" fontId="49" fillId="0" borderId="0" xfId="0" applyNumberFormat="1" applyFont="1"/>
    <xf numFmtId="171" fontId="2" fillId="6" borderId="0" xfId="0" applyNumberFormat="1" applyFont="1" applyFill="1"/>
    <xf numFmtId="0" fontId="13" fillId="14" borderId="0" xfId="0" applyFont="1" applyFill="1"/>
    <xf numFmtId="168" fontId="0" fillId="0" borderId="0" xfId="0" applyNumberFormat="1"/>
    <xf numFmtId="0" fontId="44" fillId="0" borderId="0" xfId="0" applyFont="1" applyAlignment="1">
      <alignment horizontal="left" indent="2"/>
    </xf>
    <xf numFmtId="43" fontId="2" fillId="0" borderId="0" xfId="1"/>
    <xf numFmtId="0" fontId="50" fillId="0" borderId="0" xfId="0" applyFont="1"/>
    <xf numFmtId="43" fontId="50" fillId="0" borderId="0" xfId="0" applyNumberFormat="1" applyFont="1"/>
    <xf numFmtId="0" fontId="53" fillId="0" borderId="0" xfId="0" applyFont="1"/>
    <xf numFmtId="0" fontId="51" fillId="0" borderId="0" xfId="0" applyFont="1"/>
    <xf numFmtId="43" fontId="54" fillId="0" borderId="0" xfId="1" applyFont="1" applyAlignment="1"/>
    <xf numFmtId="43" fontId="55" fillId="0" borderId="0" xfId="1" applyFont="1" applyAlignment="1"/>
    <xf numFmtId="43" fontId="14" fillId="0" borderId="0" xfId="1" applyFont="1" applyAlignment="1">
      <alignment horizontal="left"/>
    </xf>
    <xf numFmtId="43" fontId="2" fillId="0" borderId="0" xfId="1" applyAlignment="1"/>
    <xf numFmtId="43" fontId="58" fillId="0" borderId="0" xfId="1" applyFont="1" applyAlignment="1"/>
    <xf numFmtId="9" fontId="2" fillId="15" borderId="0" xfId="2" applyFill="1"/>
    <xf numFmtId="0" fontId="52" fillId="0" borderId="0" xfId="0" applyFont="1"/>
    <xf numFmtId="0" fontId="2" fillId="0" borderId="0" xfId="0" applyFont="1"/>
    <xf numFmtId="0" fontId="47" fillId="0" borderId="0" xfId="0" applyFont="1"/>
    <xf numFmtId="175" fontId="54" fillId="0" borderId="0" xfId="1" applyNumberFormat="1" applyFont="1"/>
    <xf numFmtId="0" fontId="59" fillId="0" borderId="0" xfId="0" applyFont="1"/>
    <xf numFmtId="9" fontId="53" fillId="0" borderId="0" xfId="2" applyFont="1"/>
    <xf numFmtId="0" fontId="59" fillId="0" borderId="0" xfId="0" applyFont="1" applyAlignment="1">
      <alignment horizontal="left" indent="1"/>
    </xf>
    <xf numFmtId="9" fontId="60" fillId="15" borderId="0" xfId="2" applyFont="1" applyFill="1" applyAlignment="1">
      <alignment horizontal="center"/>
    </xf>
    <xf numFmtId="171" fontId="54" fillId="6" borderId="0" xfId="0" applyNumberFormat="1" applyFont="1" applyFill="1"/>
    <xf numFmtId="0" fontId="14" fillId="0" borderId="0" xfId="0" applyFont="1" applyAlignment="1">
      <alignment horizontal="left" indent="1"/>
    </xf>
    <xf numFmtId="0" fontId="50" fillId="0" borderId="6" xfId="0" applyFont="1" applyBorder="1"/>
    <xf numFmtId="0" fontId="14" fillId="16" borderId="0" xfId="0" applyFont="1" applyFill="1" applyAlignment="1">
      <alignment horizontal="center"/>
    </xf>
    <xf numFmtId="0" fontId="0" fillId="17" borderId="0" xfId="0" applyFill="1"/>
    <xf numFmtId="14" fontId="0" fillId="17" borderId="0" xfId="0" applyNumberFormat="1" applyFill="1"/>
    <xf numFmtId="168" fontId="13" fillId="0" borderId="0" xfId="0" applyNumberFormat="1" applyFont="1" applyAlignment="1">
      <alignment horizontal="center"/>
    </xf>
    <xf numFmtId="168" fontId="13" fillId="17" borderId="0" xfId="0" applyNumberFormat="1" applyFont="1" applyFill="1" applyAlignment="1">
      <alignment horizontal="center"/>
    </xf>
    <xf numFmtId="168" fontId="55" fillId="0" borderId="0" xfId="0" applyNumberFormat="1" applyFont="1" applyAlignment="1">
      <alignment horizontal="center"/>
    </xf>
    <xf numFmtId="170" fontId="14" fillId="16" borderId="0" xfId="0" applyNumberFormat="1" applyFont="1" applyFill="1" applyAlignment="1">
      <alignment horizontal="center"/>
    </xf>
    <xf numFmtId="168" fontId="48" fillId="0" borderId="0" xfId="0" applyNumberFormat="1" applyFont="1" applyAlignment="1">
      <alignment horizontal="center"/>
    </xf>
    <xf numFmtId="0" fontId="2" fillId="0" borderId="0" xfId="0" applyFont="1" applyAlignment="1">
      <alignment horizontal="left" vertical="center" indent="1"/>
    </xf>
    <xf numFmtId="0" fontId="2" fillId="0" borderId="0" xfId="0" applyFont="1" applyAlignment="1">
      <alignment horizontal="left" indent="1"/>
    </xf>
    <xf numFmtId="168" fontId="14" fillId="0" borderId="0" xfId="0" applyNumberFormat="1" applyFont="1" applyAlignment="1">
      <alignment horizontal="center"/>
    </xf>
    <xf numFmtId="0" fontId="14" fillId="0" borderId="0" xfId="0" applyFont="1" applyAlignment="1">
      <alignment horizontal="center"/>
    </xf>
    <xf numFmtId="168" fontId="50" fillId="0" borderId="6" xfId="0" applyNumberFormat="1" applyFont="1" applyBorder="1" applyAlignment="1">
      <alignment horizontal="center"/>
    </xf>
    <xf numFmtId="171" fontId="15" fillId="14" borderId="0" xfId="0" applyNumberFormat="1" applyFont="1" applyFill="1"/>
    <xf numFmtId="179" fontId="13" fillId="0" borderId="0" xfId="0" applyNumberFormat="1" applyFont="1" applyAlignment="1">
      <alignment horizontal="center"/>
    </xf>
    <xf numFmtId="0" fontId="53" fillId="0" borderId="0" xfId="0" applyFont="1" applyAlignment="1">
      <alignment horizontal="left" indent="1"/>
    </xf>
    <xf numFmtId="9" fontId="53" fillId="0" borderId="0" xfId="2" applyFont="1" applyAlignment="1">
      <alignment horizontal="center"/>
    </xf>
    <xf numFmtId="9" fontId="61" fillId="0" borderId="0" xfId="2" applyFont="1" applyAlignment="1">
      <alignment horizontal="center"/>
    </xf>
    <xf numFmtId="179" fontId="0" fillId="0" borderId="6" xfId="0" applyNumberFormat="1" applyBorder="1"/>
    <xf numFmtId="179" fontId="14" fillId="0" borderId="0" xfId="0" applyNumberFormat="1" applyFont="1" applyAlignment="1">
      <alignment horizontal="center"/>
    </xf>
    <xf numFmtId="168" fontId="50" fillId="0" borderId="0" xfId="0" applyNumberFormat="1" applyFont="1" applyAlignment="1">
      <alignment horizontal="center"/>
    </xf>
    <xf numFmtId="179" fontId="14" fillId="0" borderId="6" xfId="0" applyNumberFormat="1" applyFont="1" applyBorder="1" applyAlignment="1">
      <alignment horizontal="center"/>
    </xf>
    <xf numFmtId="168" fontId="53" fillId="0" borderId="0" xfId="0" applyNumberFormat="1" applyFont="1" applyAlignment="1">
      <alignment horizontal="center"/>
    </xf>
    <xf numFmtId="0" fontId="53" fillId="0" borderId="0" xfId="0" applyFont="1" applyAlignment="1">
      <alignment horizontal="left" indent="2"/>
    </xf>
    <xf numFmtId="0" fontId="46" fillId="0" borderId="0" xfId="0" applyFont="1"/>
    <xf numFmtId="179" fontId="46" fillId="0" borderId="0" xfId="0" applyNumberFormat="1" applyFont="1" applyAlignment="1">
      <alignment horizontal="center"/>
    </xf>
    <xf numFmtId="9" fontId="2" fillId="0" borderId="0" xfId="2" applyBorder="1" applyAlignment="1">
      <alignment horizontal="center"/>
    </xf>
    <xf numFmtId="179" fontId="46" fillId="0" borderId="6" xfId="0" applyNumberFormat="1" applyFont="1" applyBorder="1" applyAlignment="1">
      <alignment horizontal="center"/>
    </xf>
    <xf numFmtId="9" fontId="0" fillId="0" borderId="0" xfId="0" applyNumberFormat="1" applyAlignment="1">
      <alignment horizontal="center"/>
    </xf>
    <xf numFmtId="0" fontId="0" fillId="15" borderId="0" xfId="0" applyFill="1" applyAlignment="1">
      <alignment horizontal="center" vertical="center"/>
    </xf>
    <xf numFmtId="168" fontId="0" fillId="18" borderId="0" xfId="0" applyNumberFormat="1" applyFill="1"/>
    <xf numFmtId="168" fontId="62" fillId="18" borderId="0" xfId="0" applyNumberFormat="1" applyFont="1" applyFill="1" applyAlignment="1">
      <alignment horizontal="center" vertical="center"/>
    </xf>
    <xf numFmtId="14" fontId="6" fillId="0" borderId="0" xfId="0" applyNumberFormat="1" applyFont="1"/>
    <xf numFmtId="2" fontId="62" fillId="18" borderId="0" xfId="0" applyNumberFormat="1" applyFont="1" applyFill="1" applyAlignment="1">
      <alignment horizontal="center" vertical="center"/>
    </xf>
    <xf numFmtId="3" fontId="50" fillId="18" borderId="0" xfId="0" applyNumberFormat="1" applyFont="1" applyFill="1" applyAlignment="1">
      <alignment horizontal="center" vertical="center"/>
    </xf>
    <xf numFmtId="180" fontId="0" fillId="0" borderId="0" xfId="0" applyNumberFormat="1" applyAlignment="1">
      <alignment horizontal="center"/>
    </xf>
    <xf numFmtId="3" fontId="64" fillId="18" borderId="0" xfId="0" applyNumberFormat="1" applyFont="1" applyFill="1" applyAlignment="1">
      <alignment horizontal="center" vertical="center"/>
    </xf>
    <xf numFmtId="170" fontId="14" fillId="19" borderId="0" xfId="0" applyNumberFormat="1" applyFont="1" applyFill="1" applyAlignment="1">
      <alignment horizontal="center"/>
    </xf>
    <xf numFmtId="0" fontId="51" fillId="0" borderId="0" xfId="0" applyFont="1" applyAlignment="1">
      <alignment horizontal="left" indent="1"/>
    </xf>
    <xf numFmtId="9" fontId="53" fillId="0" borderId="0" xfId="2" applyFont="1" applyBorder="1" applyAlignment="1">
      <alignment horizontal="center"/>
    </xf>
    <xf numFmtId="179" fontId="2" fillId="0" borderId="6" xfId="0" applyNumberFormat="1" applyFont="1" applyBorder="1" applyAlignment="1">
      <alignment horizontal="center"/>
    </xf>
    <xf numFmtId="179" fontId="2" fillId="0" borderId="0" xfId="0" applyNumberFormat="1" applyFont="1" applyAlignment="1">
      <alignment horizontal="center"/>
    </xf>
    <xf numFmtId="166" fontId="0" fillId="18" borderId="0" xfId="0" applyNumberFormat="1" applyFill="1"/>
    <xf numFmtId="164" fontId="0" fillId="18" borderId="0" xfId="0" applyNumberFormat="1" applyFill="1"/>
    <xf numFmtId="165" fontId="65" fillId="18" borderId="0" xfId="0" applyNumberFormat="1" applyFont="1" applyFill="1"/>
    <xf numFmtId="180" fontId="62" fillId="15" borderId="0" xfId="0" applyNumberFormat="1" applyFont="1" applyFill="1" applyAlignment="1">
      <alignment horizontal="right"/>
    </xf>
    <xf numFmtId="164" fontId="63" fillId="18" borderId="0" xfId="0" applyNumberFormat="1" applyFont="1" applyFill="1"/>
    <xf numFmtId="174" fontId="16" fillId="0" borderId="0" xfId="0" applyNumberFormat="1" applyFont="1"/>
    <xf numFmtId="167" fontId="16" fillId="0" borderId="0" xfId="0" applyNumberFormat="1" applyFont="1"/>
    <xf numFmtId="181" fontId="16" fillId="0" borderId="0" xfId="0" applyNumberFormat="1" applyFont="1"/>
    <xf numFmtId="0" fontId="23" fillId="20" borderId="0" xfId="0" applyFont="1" applyFill="1"/>
    <xf numFmtId="174" fontId="23" fillId="20" borderId="0" xfId="0" applyNumberFormat="1" applyFont="1" applyFill="1"/>
    <xf numFmtId="167" fontId="23" fillId="20" borderId="0" xfId="0" applyNumberFormat="1" applyFont="1" applyFill="1"/>
    <xf numFmtId="181" fontId="23" fillId="20" borderId="0" xfId="0" applyNumberFormat="1" applyFont="1" applyFill="1"/>
    <xf numFmtId="0" fontId="66" fillId="2" borderId="0" xfId="0" applyFont="1" applyFill="1"/>
    <xf numFmtId="0" fontId="7" fillId="4" borderId="0" xfId="0" applyFont="1" applyFill="1" applyAlignment="1">
      <alignment horizontal="centerContinuous" wrapText="1"/>
    </xf>
    <xf numFmtId="164" fontId="67" fillId="18" borderId="0" xfId="0" applyNumberFormat="1" applyFont="1" applyFill="1"/>
    <xf numFmtId="166" fontId="67" fillId="18" borderId="0" xfId="0" applyNumberFormat="1" applyFont="1" applyFill="1"/>
    <xf numFmtId="178" fontId="68" fillId="15" borderId="0" xfId="1" applyNumberFormat="1" applyFont="1" applyFill="1"/>
    <xf numFmtId="164" fontId="0" fillId="18" borderId="0" xfId="0" applyNumberFormat="1" applyFill="1" applyAlignment="1">
      <alignment horizontal="right"/>
    </xf>
    <xf numFmtId="0" fontId="69" fillId="0" borderId="0" xfId="0" applyFont="1"/>
    <xf numFmtId="0" fontId="22" fillId="11" borderId="2" xfId="4" applyFont="1" applyFill="1" applyBorder="1" applyAlignment="1">
      <alignment horizontal="center" vertical="center"/>
    </xf>
    <xf numFmtId="0" fontId="27" fillId="7" borderId="0" xfId="3" applyFont="1" applyFill="1"/>
    <xf numFmtId="168" fontId="27" fillId="7" borderId="0" xfId="3" applyNumberFormat="1" applyFont="1" applyFill="1" applyAlignment="1">
      <alignment horizontal="center"/>
    </xf>
    <xf numFmtId="168" fontId="27" fillId="7" borderId="0" xfId="4" applyNumberFormat="1" applyFont="1" applyFill="1" applyAlignment="1">
      <alignment horizontal="center"/>
    </xf>
    <xf numFmtId="0" fontId="14" fillId="7" borderId="0" xfId="3" applyFont="1" applyFill="1"/>
    <xf numFmtId="0" fontId="22" fillId="0" borderId="0" xfId="3" applyFont="1" applyAlignment="1">
      <alignment horizontal="left" indent="1"/>
    </xf>
    <xf numFmtId="9" fontId="2" fillId="0" borderId="0" xfId="2" applyAlignment="1">
      <alignment horizontal="center"/>
    </xf>
    <xf numFmtId="9" fontId="55" fillId="15" borderId="0" xfId="2" applyFont="1" applyFill="1"/>
    <xf numFmtId="168" fontId="50" fillId="17" borderId="6" xfId="0" applyNumberFormat="1" applyFont="1" applyFill="1" applyBorder="1" applyAlignment="1">
      <alignment horizontal="center"/>
    </xf>
    <xf numFmtId="179" fontId="13" fillId="17" borderId="0" xfId="0" applyNumberFormat="1" applyFont="1" applyFill="1" applyAlignment="1">
      <alignment horizontal="center"/>
    </xf>
    <xf numFmtId="9" fontId="61" fillId="17" borderId="0" xfId="2" applyFont="1" applyFill="1" applyAlignment="1">
      <alignment horizontal="center"/>
    </xf>
    <xf numFmtId="179" fontId="46" fillId="17" borderId="6" xfId="0" applyNumberFormat="1" applyFont="1" applyFill="1" applyBorder="1" applyAlignment="1">
      <alignment horizontal="center"/>
    </xf>
    <xf numFmtId="179" fontId="14" fillId="17" borderId="0" xfId="0" applyNumberFormat="1" applyFont="1" applyFill="1" applyAlignment="1">
      <alignment horizontal="center"/>
    </xf>
    <xf numFmtId="9" fontId="70" fillId="0" borderId="0" xfId="2" applyFont="1" applyAlignment="1">
      <alignment horizontal="center"/>
    </xf>
    <xf numFmtId="10" fontId="0" fillId="21" borderId="0" xfId="0" applyNumberFormat="1" applyFill="1"/>
    <xf numFmtId="180" fontId="45" fillId="0" borderId="0" xfId="0" applyNumberFormat="1" applyFont="1" applyAlignment="1">
      <alignment horizontal="center"/>
    </xf>
    <xf numFmtId="0" fontId="36" fillId="12" borderId="0" xfId="0" applyFont="1" applyFill="1" applyAlignment="1">
      <alignment horizontal="center"/>
    </xf>
    <xf numFmtId="0" fontId="41" fillId="0" borderId="0" xfId="0" applyFont="1" applyAlignment="1">
      <alignment horizontal="center" wrapText="1"/>
    </xf>
    <xf numFmtId="0" fontId="41" fillId="13" borderId="0" xfId="0" applyFont="1" applyFill="1" applyAlignment="1">
      <alignment horizontal="center" wrapText="1"/>
    </xf>
    <xf numFmtId="0" fontId="7" fillId="4" borderId="0" xfId="0" applyFont="1" applyFill="1" applyAlignment="1">
      <alignment horizontal="center" wrapText="1"/>
    </xf>
    <xf numFmtId="0" fontId="7" fillId="4" borderId="0" xfId="0" applyFont="1" applyFill="1" applyAlignment="1">
      <alignment horizontal="center" vertical="center" wrapText="1"/>
    </xf>
    <xf numFmtId="0" fontId="5" fillId="2" borderId="0" xfId="0" applyFont="1" applyFill="1" applyAlignment="1">
      <alignment horizontal="left" vertical="center" indent="1"/>
    </xf>
    <xf numFmtId="0" fontId="21" fillId="6" borderId="0" xfId="0" applyFont="1" applyFill="1" applyAlignment="1">
      <alignment horizontal="left" vertical="center" indent="1"/>
    </xf>
    <xf numFmtId="0" fontId="6" fillId="0" borderId="0" xfId="0" applyFont="1"/>
    <xf numFmtId="0" fontId="4" fillId="0" borderId="0" xfId="0" applyFont="1"/>
    <xf numFmtId="168" fontId="50" fillId="0" borderId="0" xfId="0" applyNumberFormat="1" applyFont="1" applyBorder="1" applyAlignment="1">
      <alignment horizontal="center"/>
    </xf>
    <xf numFmtId="168" fontId="50" fillId="17" borderId="0" xfId="0" applyNumberFormat="1" applyFont="1" applyFill="1" applyBorder="1" applyAlignment="1">
      <alignment horizontal="center"/>
    </xf>
  </cellXfs>
  <cellStyles count="8">
    <cellStyle name="Comma" xfId="1" builtinId="3"/>
    <cellStyle name="Comma 2" xfId="6" xr:uid="{4EF4A80D-F2A9-483B-878A-D9931A85881A}"/>
    <cellStyle name="Normal" xfId="0" builtinId="0"/>
    <cellStyle name="Normal 2" xfId="3" xr:uid="{1F7C9638-1860-4558-BF3F-CC2DFF4E95DE}"/>
    <cellStyle name="Normal 5" xfId="4" xr:uid="{565AB9D6-F938-4521-9E89-440D67AFD396}"/>
    <cellStyle name="Percent" xfId="2" builtinId="5"/>
    <cellStyle name="Percent 2" xfId="5" xr:uid="{0E414CE0-057D-44BA-BDE2-60A507E83B1C}"/>
    <cellStyle name="Table (Normal)" xfId="7" xr:uid="{FAE00CA7-8BE5-492C-921C-34ECFD53F8C9}"/>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2F2F2"/>
      <rgbColor rgb="FFF2E6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192093</xdr:colOff>
      <xdr:row>1</xdr:row>
      <xdr:rowOff>15886</xdr:rowOff>
    </xdr:from>
    <xdr:to>
      <xdr:col>1</xdr:col>
      <xdr:colOff>1449473</xdr:colOff>
      <xdr:row>3</xdr:row>
      <xdr:rowOff>409</xdr:rowOff>
    </xdr:to>
    <xdr:pic>
      <xdr:nvPicPr>
        <xdr:cNvPr id="2" name="Picture 1">
          <a:extLst>
            <a:ext uri="{FF2B5EF4-FFF2-40B4-BE49-F238E27FC236}">
              <a16:creationId xmlns:a16="http://schemas.microsoft.com/office/drawing/2014/main" id="{B75C7883-CEBF-4A01-8078-917A89AE5BC1}"/>
            </a:ext>
          </a:extLst>
        </xdr:cNvPr>
        <xdr:cNvPicPr>
          <a:picLocks noChangeAspect="1"/>
        </xdr:cNvPicPr>
      </xdr:nvPicPr>
      <xdr:blipFill rotWithShape="1">
        <a:blip xmlns:r="http://schemas.openxmlformats.org/officeDocument/2006/relationships" r:embed="rId1"/>
        <a:srcRect t="16125" b="10306"/>
        <a:stretch/>
      </xdr:blipFill>
      <xdr:spPr>
        <a:xfrm>
          <a:off x="192093" y="177811"/>
          <a:ext cx="1524080" cy="317899"/>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E3617A3-7AC1-4329-9FE8-FDAF7D60276D}">
  <we:reference id="wa200009404" version="1.0.0.8" store="en-US" storeType="OMEX"/>
  <we:alternateReferences>
    <we:reference id="wa200009404" version="1.0.0.8" store="wa200009404" storeType="OMEX"/>
  </we:alternateReferences>
  <we:properties>
    <we:property name="claude.fileId" value="&quot;f5b1d97e-3ad0-493c-ba84-73289b7fdae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F40"/>
  <sheetViews>
    <sheetView showGridLines="0" tabSelected="1" zoomScaleNormal="100" workbookViewId="0"/>
  </sheetViews>
  <sheetFormatPr defaultColWidth="8.6640625" defaultRowHeight="14.25" x14ac:dyDescent="0.45"/>
  <cols>
    <col min="1" max="1" width="3" customWidth="1"/>
    <col min="2" max="2" width="34" customWidth="1"/>
    <col min="3" max="5" width="16" customWidth="1"/>
    <col min="6" max="6" width="55" customWidth="1"/>
  </cols>
  <sheetData>
    <row r="2" spans="1:6" ht="19.5" customHeight="1" x14ac:dyDescent="0.6">
      <c r="B2" s="5" t="s">
        <v>452</v>
      </c>
    </row>
    <row r="4" spans="1:6" ht="18" customHeight="1" x14ac:dyDescent="0.45">
      <c r="A4" t="s">
        <v>443</v>
      </c>
      <c r="B4" s="66" t="s">
        <v>449</v>
      </c>
      <c r="C4" s="66"/>
      <c r="D4" s="66"/>
      <c r="E4" s="66"/>
      <c r="F4" s="66"/>
    </row>
    <row r="5" spans="1:6" ht="15" customHeight="1" x14ac:dyDescent="0.45">
      <c r="B5" s="12" t="s">
        <v>4</v>
      </c>
      <c r="C5" s="210">
        <v>32.6</v>
      </c>
      <c r="E5" s="209">
        <v>46216</v>
      </c>
    </row>
    <row r="6" spans="1:6" ht="15" customHeight="1" x14ac:dyDescent="0.45">
      <c r="B6" s="167" t="s">
        <v>5</v>
      </c>
      <c r="C6" s="208">
        <v>151.648346</v>
      </c>
      <c r="E6" s="209">
        <v>46216</v>
      </c>
    </row>
    <row r="7" spans="1:6" ht="15" customHeight="1" x14ac:dyDescent="0.45">
      <c r="B7" s="12" t="s">
        <v>0</v>
      </c>
      <c r="C7" s="211">
        <f>C5*C6</f>
        <v>4943.7360796000003</v>
      </c>
      <c r="E7" s="3"/>
    </row>
    <row r="8" spans="1:6" ht="15" customHeight="1" x14ac:dyDescent="0.45">
      <c r="B8" s="167" t="s">
        <v>6</v>
      </c>
      <c r="C8" s="213">
        <v>507</v>
      </c>
      <c r="E8" s="209">
        <v>46112</v>
      </c>
    </row>
    <row r="9" spans="1:6" ht="15" customHeight="1" x14ac:dyDescent="0.45">
      <c r="B9" s="167" t="s">
        <v>7</v>
      </c>
      <c r="C9" s="213">
        <f>76+728</f>
        <v>804</v>
      </c>
      <c r="E9" s="209">
        <v>46112</v>
      </c>
    </row>
    <row r="10" spans="1:6" ht="15" customHeight="1" x14ac:dyDescent="0.45">
      <c r="B10" s="167" t="s">
        <v>8</v>
      </c>
      <c r="C10" s="213">
        <f>C8-C9</f>
        <v>-297</v>
      </c>
      <c r="E10" s="209">
        <v>46112</v>
      </c>
    </row>
    <row r="11" spans="1:6" ht="15" customHeight="1" x14ac:dyDescent="0.45">
      <c r="B11" s="12" t="s">
        <v>1</v>
      </c>
      <c r="C11" s="211">
        <f>C7+C10</f>
        <v>4646.7360796000003</v>
      </c>
    </row>
    <row r="12" spans="1:6" x14ac:dyDescent="0.45">
      <c r="B12" s="167"/>
    </row>
    <row r="13" spans="1:6" x14ac:dyDescent="0.45">
      <c r="B13" s="12" t="s">
        <v>446</v>
      </c>
      <c r="C13" s="253">
        <f>+Summary!C11/'P&amp;L'!E12</f>
        <v>11.503358684376616</v>
      </c>
    </row>
    <row r="14" spans="1:6" x14ac:dyDescent="0.45">
      <c r="B14" s="12" t="s">
        <v>447</v>
      </c>
      <c r="C14" s="253">
        <f>+C11/'P&amp;L'!E37</f>
        <v>13.468800230724639</v>
      </c>
    </row>
    <row r="16" spans="1:6" ht="18" customHeight="1" x14ac:dyDescent="0.45">
      <c r="A16" t="s">
        <v>443</v>
      </c>
      <c r="B16" s="66" t="s">
        <v>9</v>
      </c>
      <c r="C16" s="66"/>
      <c r="D16" s="66"/>
      <c r="E16" s="66"/>
      <c r="F16" s="66"/>
    </row>
    <row r="17" spans="1:6" ht="18" customHeight="1" x14ac:dyDescent="0.45">
      <c r="B17" s="158" t="s">
        <v>407</v>
      </c>
      <c r="C17" s="206" t="s">
        <v>273</v>
      </c>
    </row>
    <row r="18" spans="1:6" x14ac:dyDescent="0.45">
      <c r="B18" t="s">
        <v>523</v>
      </c>
      <c r="C18" s="206" t="s">
        <v>273</v>
      </c>
    </row>
    <row r="20" spans="1:6" ht="15" x14ac:dyDescent="0.45">
      <c r="A20" t="s">
        <v>443</v>
      </c>
      <c r="B20" s="66" t="s">
        <v>448</v>
      </c>
      <c r="C20" s="66"/>
      <c r="D20" s="66"/>
      <c r="E20" s="66"/>
      <c r="F20" s="66"/>
    </row>
    <row r="21" spans="1:6" x14ac:dyDescent="0.45">
      <c r="B21" s="12" t="s">
        <v>4</v>
      </c>
      <c r="C21" s="210">
        <v>22.85</v>
      </c>
      <c r="E21" s="209">
        <v>46216</v>
      </c>
    </row>
    <row r="22" spans="1:6" x14ac:dyDescent="0.45">
      <c r="B22" s="167" t="s">
        <v>5</v>
      </c>
      <c r="C22" s="208">
        <f>+C6+61.07</f>
        <v>212.718346</v>
      </c>
      <c r="E22" s="209">
        <v>46216</v>
      </c>
      <c r="F22" t="s">
        <v>450</v>
      </c>
    </row>
    <row r="23" spans="1:6" x14ac:dyDescent="0.45">
      <c r="B23" s="12" t="s">
        <v>0</v>
      </c>
      <c r="C23" s="211">
        <f>C21*C22</f>
        <v>4860.6142061</v>
      </c>
      <c r="E23" s="3"/>
    </row>
    <row r="24" spans="1:6" x14ac:dyDescent="0.45">
      <c r="B24" s="167" t="s">
        <v>6</v>
      </c>
      <c r="C24" s="213">
        <f>+C8+1850</f>
        <v>2357</v>
      </c>
      <c r="E24" s="209">
        <v>46112</v>
      </c>
      <c r="F24" t="s">
        <v>451</v>
      </c>
    </row>
    <row r="25" spans="1:6" x14ac:dyDescent="0.45">
      <c r="B25" s="167" t="s">
        <v>7</v>
      </c>
      <c r="C25" s="213">
        <f>76+728</f>
        <v>804</v>
      </c>
      <c r="E25" s="209">
        <v>46112</v>
      </c>
    </row>
    <row r="26" spans="1:6" x14ac:dyDescent="0.45">
      <c r="B26" s="167" t="s">
        <v>8</v>
      </c>
      <c r="C26" s="213">
        <f>C24-C25</f>
        <v>1553</v>
      </c>
      <c r="E26" s="209">
        <v>46112</v>
      </c>
    </row>
    <row r="27" spans="1:6" x14ac:dyDescent="0.45">
      <c r="B27" s="12" t="s">
        <v>1</v>
      </c>
      <c r="C27" s="211">
        <f>C23+C26</f>
        <v>6413.6142061</v>
      </c>
    </row>
    <row r="29" spans="1:6" x14ac:dyDescent="0.45">
      <c r="B29" s="237" t="s">
        <v>515</v>
      </c>
    </row>
    <row r="30" spans="1:6" x14ac:dyDescent="0.45">
      <c r="B30" t="s">
        <v>514</v>
      </c>
      <c r="C30" s="212">
        <f>+C26/'P&amp;L'!E45</f>
        <v>4.4540549580757185</v>
      </c>
    </row>
    <row r="31" spans="1:6" x14ac:dyDescent="0.45">
      <c r="B31" t="s">
        <v>513</v>
      </c>
      <c r="C31" s="212">
        <f>+'P&amp;L'!E45 / 210</f>
        <v>1.660338313030842</v>
      </c>
      <c r="F31" t="s">
        <v>453</v>
      </c>
    </row>
    <row r="33" spans="2:5" x14ac:dyDescent="0.45">
      <c r="B33" s="6" t="s">
        <v>446</v>
      </c>
      <c r="C33" s="212">
        <f>+Summary!C27/'P&amp;L'!E41</f>
        <v>4.8626813054513836</v>
      </c>
    </row>
    <row r="34" spans="2:5" x14ac:dyDescent="0.45">
      <c r="B34" s="6" t="s">
        <v>447</v>
      </c>
      <c r="C34" s="212">
        <f>+C27/'P&amp;L'!E45</f>
        <v>18.394455990897981</v>
      </c>
    </row>
    <row r="36" spans="2:5" x14ac:dyDescent="0.45">
      <c r="B36" s="60" t="s">
        <v>258</v>
      </c>
      <c r="C36" s="60" t="s">
        <v>506</v>
      </c>
      <c r="D36" s="60" t="s">
        <v>510</v>
      </c>
      <c r="E36" s="60" t="s">
        <v>512</v>
      </c>
    </row>
    <row r="37" spans="2:5" x14ac:dyDescent="0.45">
      <c r="B37" s="6" t="s">
        <v>261</v>
      </c>
      <c r="C37" s="233">
        <f>+Valuation!C6</f>
        <v>12229.897510734045</v>
      </c>
      <c r="D37" s="233">
        <f>+Valuation!D6</f>
        <v>50.192650100495072</v>
      </c>
      <c r="E37" s="165">
        <f>+D37/$C$21 -1</f>
        <v>1.196614884047924</v>
      </c>
    </row>
    <row r="38" spans="2:5" x14ac:dyDescent="0.45">
      <c r="B38" s="6" t="s">
        <v>262</v>
      </c>
      <c r="C38" s="233">
        <f>+Valuation!C7</f>
        <v>27585.107932066854</v>
      </c>
      <c r="D38" s="233">
        <f>+Valuation!D7</f>
        <v>122.3782923362278</v>
      </c>
      <c r="E38" s="165">
        <f t="shared" ref="E38:E40" si="0">+D38/$C$21 -1</f>
        <v>4.355723953445418</v>
      </c>
    </row>
    <row r="39" spans="2:5" x14ac:dyDescent="0.45">
      <c r="B39" s="6" t="s">
        <v>263</v>
      </c>
      <c r="C39" s="233">
        <f>+Valuation!C8</f>
        <v>20580.447228468605</v>
      </c>
      <c r="D39" s="233">
        <f>+Valuation!D8</f>
        <v>89.4490183205383</v>
      </c>
      <c r="E39" s="165">
        <f t="shared" si="0"/>
        <v>2.9146178696078029</v>
      </c>
    </row>
    <row r="40" spans="2:5" x14ac:dyDescent="0.45">
      <c r="B40" s="6" t="s">
        <v>264</v>
      </c>
      <c r="C40" s="233">
        <f>+Valuation!C9</f>
        <v>11324.144228498622</v>
      </c>
      <c r="D40" s="233">
        <f>+Valuation!D9</f>
        <v>45.934656846657802</v>
      </c>
      <c r="E40" s="165">
        <f t="shared" si="0"/>
        <v>1.0102694462432296</v>
      </c>
    </row>
  </sheetData>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F7B4FAB-1E52-488A-8EC3-29B7975A9F7A}">
          <x14:formula1>
            <xm:f>'Scenario &amp; Sensitivity'!$B$16:$B$18</xm:f>
          </x14:formula1>
          <xm:sqref>C17:C18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7"/>
  <sheetViews>
    <sheetView showGridLines="0" zoomScaleNormal="100" workbookViewId="0">
      <selection activeCell="C6" sqref="C6"/>
    </sheetView>
  </sheetViews>
  <sheetFormatPr defaultColWidth="8.6640625" defaultRowHeight="14.25" x14ac:dyDescent="0.45"/>
  <cols>
    <col min="1" max="1" width="3" customWidth="1"/>
    <col min="2" max="2" width="30" customWidth="1"/>
    <col min="3" max="4" width="16" customWidth="1"/>
    <col min="5" max="5" width="55" customWidth="1"/>
  </cols>
  <sheetData>
    <row r="2" spans="2:5" ht="19.5" customHeight="1" x14ac:dyDescent="0.6">
      <c r="B2" s="5" t="s">
        <v>256</v>
      </c>
    </row>
    <row r="4" spans="2:5" ht="18" customHeight="1" x14ac:dyDescent="0.45">
      <c r="B4" s="66" t="s">
        <v>257</v>
      </c>
      <c r="C4" s="66"/>
      <c r="D4" s="66"/>
      <c r="E4" s="66"/>
    </row>
    <row r="5" spans="2:5" ht="15" customHeight="1" x14ac:dyDescent="0.45">
      <c r="B5" s="60" t="s">
        <v>258</v>
      </c>
      <c r="C5" s="60" t="s">
        <v>506</v>
      </c>
      <c r="D5" s="60" t="s">
        <v>510</v>
      </c>
      <c r="E5" s="60" t="s">
        <v>260</v>
      </c>
    </row>
    <row r="6" spans="2:5" ht="15" customHeight="1" x14ac:dyDescent="0.45">
      <c r="B6" s="6" t="s">
        <v>261</v>
      </c>
      <c r="C6" s="220">
        <f>C15*Comps!J13</f>
        <v>12229.897510734045</v>
      </c>
      <c r="D6" s="220">
        <f>+(C6-$C$16)/$C$17</f>
        <v>50.192650100495072</v>
      </c>
      <c r="E6" s="3" t="s">
        <v>509</v>
      </c>
    </row>
    <row r="7" spans="2:5" ht="15" customHeight="1" x14ac:dyDescent="0.45">
      <c r="B7" s="6" t="s">
        <v>262</v>
      </c>
      <c r="C7" s="220">
        <f>C14*Comps!F13</f>
        <v>27585.107932066854</v>
      </c>
      <c r="D7" s="220">
        <f>+(C7-$C$16)/$C$17</f>
        <v>122.3782923362278</v>
      </c>
      <c r="E7" s="3" t="s">
        <v>509</v>
      </c>
    </row>
    <row r="8" spans="2:5" ht="15" customHeight="1" x14ac:dyDescent="0.45">
      <c r="B8" s="6" t="s">
        <v>263</v>
      </c>
      <c r="C8" s="220">
        <f>+('P&amp;L'!H9*Comps!E25)+('P&amp;L'!H10*Comps!E44)+('P&amp;L'!H11*Comps!E52)+('P&amp;L'!H31*Comps!E29)</f>
        <v>20580.447228468605</v>
      </c>
      <c r="D8" s="220">
        <f>+(C8-$C$16)/$C$17</f>
        <v>89.4490183205383</v>
      </c>
      <c r="E8" s="3" t="s">
        <v>511</v>
      </c>
    </row>
    <row r="9" spans="2:5" ht="15" customHeight="1" x14ac:dyDescent="0.45">
      <c r="B9" s="6" t="s">
        <v>264</v>
      </c>
      <c r="C9" s="233">
        <f>+DCF!C25</f>
        <v>11324.144228498622</v>
      </c>
      <c r="D9" s="220">
        <f>+(C9-$C$16)/$C$17</f>
        <v>45.934656846657802</v>
      </c>
      <c r="E9" s="3" t="s">
        <v>265</v>
      </c>
    </row>
    <row r="10" spans="2:5" ht="15" customHeight="1" x14ac:dyDescent="0.45">
      <c r="B10" s="6" t="s">
        <v>266</v>
      </c>
      <c r="C10" s="220"/>
      <c r="D10" s="236" t="s">
        <v>508</v>
      </c>
      <c r="E10" s="3" t="s">
        <v>267</v>
      </c>
    </row>
    <row r="11" spans="2:5" ht="15" customHeight="1" x14ac:dyDescent="0.45">
      <c r="B11" s="6" t="s">
        <v>268</v>
      </c>
      <c r="C11" s="220"/>
      <c r="D11" s="220"/>
      <c r="E11" s="3" t="s">
        <v>269</v>
      </c>
    </row>
    <row r="14" spans="2:5" x14ac:dyDescent="0.45">
      <c r="B14" s="167" t="s">
        <v>529</v>
      </c>
      <c r="C14" s="234">
        <f>'P&amp;L'!H41</f>
        <v>3065.0119924518726</v>
      </c>
    </row>
    <row r="15" spans="2:5" x14ac:dyDescent="0.45">
      <c r="B15" s="167" t="s">
        <v>507</v>
      </c>
      <c r="C15" s="234">
        <f>'P&amp;L'!H45</f>
        <v>855.23758816321993</v>
      </c>
    </row>
    <row r="16" spans="2:5" x14ac:dyDescent="0.45">
      <c r="B16" s="167" t="s">
        <v>252</v>
      </c>
      <c r="C16" s="234">
        <f>+Summary!C26</f>
        <v>1553</v>
      </c>
    </row>
    <row r="17" spans="2:3" x14ac:dyDescent="0.45">
      <c r="B17" s="167" t="s">
        <v>254</v>
      </c>
      <c r="C17" s="235">
        <f>+Summary!C22</f>
        <v>212.718346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D349-73CC-4D54-9F10-95909DEF5BEE}">
  <dimension ref="A2:AH158"/>
  <sheetViews>
    <sheetView showGridLines="0" zoomScale="101" zoomScaleNormal="75" workbookViewId="0">
      <selection activeCell="H10" sqref="H10"/>
    </sheetView>
  </sheetViews>
  <sheetFormatPr defaultColWidth="8.6640625" defaultRowHeight="14.25" outlineLevelRow="1" x14ac:dyDescent="0.45"/>
  <cols>
    <col min="1" max="1" width="3" customWidth="1"/>
    <col min="2" max="2" width="34" customWidth="1"/>
    <col min="3" max="8" width="12" customWidth="1"/>
    <col min="9" max="9" width="4.19921875" customWidth="1"/>
    <col min="10" max="13" width="10" bestFit="1" customWidth="1"/>
    <col min="14" max="14" width="11.3984375" bestFit="1" customWidth="1"/>
    <col min="15" max="18" width="10" bestFit="1" customWidth="1"/>
    <col min="19" max="20" width="9.19921875" style="178" customWidth="1"/>
    <col min="21" max="21" width="10.19921875" style="178" customWidth="1"/>
    <col min="22" max="33" width="9.19921875" style="178" customWidth="1"/>
  </cols>
  <sheetData>
    <row r="2" spans="1:34" ht="20.25" customHeight="1" x14ac:dyDescent="0.6">
      <c r="B2" s="7" t="s">
        <v>10</v>
      </c>
      <c r="C2" s="5"/>
    </row>
    <row r="3" spans="1:34" ht="20.25" customHeight="1" x14ac:dyDescent="0.6">
      <c r="B3" s="7"/>
      <c r="C3" s="5"/>
    </row>
    <row r="4" spans="1:34" hidden="1" outlineLevel="1" x14ac:dyDescent="0.45">
      <c r="J4">
        <f>YEAR(J5)</f>
        <v>2024</v>
      </c>
      <c r="K4">
        <f>YEAR(K5)</f>
        <v>2024</v>
      </c>
      <c r="L4">
        <f t="shared" ref="L4:AG4" si="0">YEAR(L5)</f>
        <v>2024</v>
      </c>
      <c r="M4">
        <f t="shared" si="0"/>
        <v>2024</v>
      </c>
      <c r="N4">
        <f t="shared" si="0"/>
        <v>2025</v>
      </c>
      <c r="O4">
        <f t="shared" si="0"/>
        <v>2025</v>
      </c>
      <c r="P4">
        <f t="shared" si="0"/>
        <v>2025</v>
      </c>
      <c r="Q4">
        <f t="shared" si="0"/>
        <v>2025</v>
      </c>
      <c r="R4">
        <f t="shared" si="0"/>
        <v>2026</v>
      </c>
      <c r="S4" s="178">
        <f t="shared" si="0"/>
        <v>2026</v>
      </c>
      <c r="T4" s="178">
        <f t="shared" si="0"/>
        <v>2026</v>
      </c>
      <c r="U4" s="178">
        <f t="shared" si="0"/>
        <v>2026</v>
      </c>
      <c r="V4" s="178">
        <f t="shared" si="0"/>
        <v>2027</v>
      </c>
      <c r="W4" s="178">
        <f t="shared" si="0"/>
        <v>2027</v>
      </c>
      <c r="X4" s="178">
        <f t="shared" si="0"/>
        <v>2027</v>
      </c>
      <c r="Y4" s="178">
        <f t="shared" si="0"/>
        <v>2027</v>
      </c>
      <c r="Z4" s="178">
        <f t="shared" si="0"/>
        <v>2028</v>
      </c>
      <c r="AA4" s="178">
        <f t="shared" si="0"/>
        <v>2028</v>
      </c>
      <c r="AB4" s="178">
        <f t="shared" si="0"/>
        <v>2028</v>
      </c>
      <c r="AC4" s="178">
        <f t="shared" si="0"/>
        <v>2028</v>
      </c>
      <c r="AD4" s="178">
        <f t="shared" si="0"/>
        <v>2029</v>
      </c>
      <c r="AE4" s="178">
        <f t="shared" si="0"/>
        <v>2029</v>
      </c>
      <c r="AF4" s="178">
        <f t="shared" si="0"/>
        <v>2029</v>
      </c>
      <c r="AG4" s="178">
        <f t="shared" si="0"/>
        <v>2029</v>
      </c>
    </row>
    <row r="5" spans="1:34" ht="14.25" hidden="1" customHeight="1" outlineLevel="1" x14ac:dyDescent="0.45">
      <c r="J5" s="9">
        <v>45354</v>
      </c>
      <c r="K5" s="9">
        <f t="shared" ref="K5:AG5" si="1">EOMONTH(J5,3)</f>
        <v>45473</v>
      </c>
      <c r="L5" s="9">
        <f t="shared" si="1"/>
        <v>45565</v>
      </c>
      <c r="M5" s="9">
        <f t="shared" si="1"/>
        <v>45657</v>
      </c>
      <c r="N5" s="9">
        <f t="shared" si="1"/>
        <v>45747</v>
      </c>
      <c r="O5" s="9">
        <f t="shared" si="1"/>
        <v>45838</v>
      </c>
      <c r="P5" s="9">
        <f t="shared" si="1"/>
        <v>45930</v>
      </c>
      <c r="Q5" s="9">
        <f t="shared" si="1"/>
        <v>46022</v>
      </c>
      <c r="R5" s="9">
        <f t="shared" si="1"/>
        <v>46112</v>
      </c>
      <c r="S5" s="179">
        <f t="shared" si="1"/>
        <v>46203</v>
      </c>
      <c r="T5" s="179">
        <f t="shared" si="1"/>
        <v>46295</v>
      </c>
      <c r="U5" s="179">
        <f t="shared" si="1"/>
        <v>46387</v>
      </c>
      <c r="V5" s="179">
        <f t="shared" si="1"/>
        <v>46477</v>
      </c>
      <c r="W5" s="179">
        <f t="shared" si="1"/>
        <v>46568</v>
      </c>
      <c r="X5" s="179">
        <f t="shared" si="1"/>
        <v>46660</v>
      </c>
      <c r="Y5" s="179">
        <f t="shared" si="1"/>
        <v>46752</v>
      </c>
      <c r="Z5" s="179">
        <f t="shared" si="1"/>
        <v>46843</v>
      </c>
      <c r="AA5" s="179">
        <f t="shared" si="1"/>
        <v>46934</v>
      </c>
      <c r="AB5" s="179">
        <f t="shared" si="1"/>
        <v>47026</v>
      </c>
      <c r="AC5" s="179">
        <f t="shared" si="1"/>
        <v>47118</v>
      </c>
      <c r="AD5" s="179">
        <f t="shared" si="1"/>
        <v>47208</v>
      </c>
      <c r="AE5" s="179">
        <f t="shared" si="1"/>
        <v>47299</v>
      </c>
      <c r="AF5" s="179">
        <f t="shared" si="1"/>
        <v>47391</v>
      </c>
      <c r="AG5" s="179">
        <f t="shared" si="1"/>
        <v>47483</v>
      </c>
    </row>
    <row r="6" spans="1:34" ht="18" customHeight="1" collapsed="1" x14ac:dyDescent="0.45">
      <c r="A6" t="s">
        <v>443</v>
      </c>
      <c r="B6" s="10" t="s">
        <v>424</v>
      </c>
      <c r="C6" s="11"/>
      <c r="D6" s="11"/>
      <c r="E6" s="11"/>
      <c r="F6" s="11"/>
      <c r="G6" s="11"/>
      <c r="H6" s="11"/>
      <c r="J6" s="59"/>
      <c r="K6" s="11"/>
      <c r="L6" s="11"/>
      <c r="M6" s="11"/>
      <c r="N6" s="11"/>
      <c r="O6" s="11"/>
      <c r="P6" s="11"/>
      <c r="Q6" s="11"/>
      <c r="R6" s="11"/>
      <c r="S6" s="11"/>
      <c r="T6" s="11"/>
      <c r="U6" s="11"/>
      <c r="V6" s="11"/>
      <c r="W6" s="11"/>
      <c r="X6" s="11"/>
      <c r="Y6" s="11"/>
      <c r="Z6" s="11"/>
      <c r="AA6" s="11"/>
      <c r="AB6" s="11"/>
      <c r="AC6" s="11"/>
      <c r="AD6" s="11"/>
      <c r="AE6" s="11"/>
      <c r="AF6" s="11"/>
      <c r="AG6" s="11"/>
    </row>
    <row r="7" spans="1:34" ht="14.25" customHeight="1" x14ac:dyDescent="0.45">
      <c r="B7" s="12" t="s">
        <v>11</v>
      </c>
      <c r="C7" s="13">
        <v>2024</v>
      </c>
      <c r="D7" s="13">
        <v>2025</v>
      </c>
      <c r="E7" s="183">
        <v>2026</v>
      </c>
      <c r="F7" s="183">
        <v>2027</v>
      </c>
      <c r="G7" s="183">
        <v>2028</v>
      </c>
      <c r="H7" s="183">
        <v>2029</v>
      </c>
      <c r="J7" s="15" t="str">
        <f>"Q" &amp; INT((MONTH(J5)-1)/3)+1 &amp; " " &amp; YEAR(J5)</f>
        <v>Q1 2024</v>
      </c>
      <c r="K7" s="15" t="str">
        <f>"Q" &amp; INT((MONTH(K5)-1)/3)+1 &amp; " " &amp; YEAR(K5)</f>
        <v>Q2 2024</v>
      </c>
      <c r="L7" s="15" t="str">
        <f t="shared" ref="L7:AG7" si="2">"Q" &amp; INT((MONTH(L5)-1)/3)+1 &amp; " " &amp; YEAR(L5)</f>
        <v>Q3 2024</v>
      </c>
      <c r="M7" s="15" t="str">
        <f t="shared" si="2"/>
        <v>Q4 2024</v>
      </c>
      <c r="N7" s="15" t="str">
        <f t="shared" si="2"/>
        <v>Q1 2025</v>
      </c>
      <c r="O7" s="15" t="str">
        <f t="shared" si="2"/>
        <v>Q2 2025</v>
      </c>
      <c r="P7" s="15" t="str">
        <f t="shared" si="2"/>
        <v>Q3 2025</v>
      </c>
      <c r="Q7" s="15" t="str">
        <f t="shared" si="2"/>
        <v>Q4 2025</v>
      </c>
      <c r="R7" s="15" t="str">
        <f t="shared" si="2"/>
        <v>Q1 2026</v>
      </c>
      <c r="S7" s="15" t="str">
        <f t="shared" si="2"/>
        <v>Q2 2026</v>
      </c>
      <c r="T7" s="177" t="str">
        <f t="shared" si="2"/>
        <v>Q3 2026</v>
      </c>
      <c r="U7" s="177" t="str">
        <f t="shared" si="2"/>
        <v>Q4 2026</v>
      </c>
      <c r="V7" s="177" t="str">
        <f t="shared" si="2"/>
        <v>Q1 2027</v>
      </c>
      <c r="W7" s="177" t="str">
        <f t="shared" si="2"/>
        <v>Q2 2027</v>
      </c>
      <c r="X7" s="177" t="str">
        <f t="shared" si="2"/>
        <v>Q3 2027</v>
      </c>
      <c r="Y7" s="177" t="str">
        <f t="shared" si="2"/>
        <v>Q4 2027</v>
      </c>
      <c r="Z7" s="177" t="str">
        <f t="shared" si="2"/>
        <v>Q1 2028</v>
      </c>
      <c r="AA7" s="177" t="str">
        <f t="shared" si="2"/>
        <v>Q2 2028</v>
      </c>
      <c r="AB7" s="177" t="str">
        <f t="shared" si="2"/>
        <v>Q3 2028</v>
      </c>
      <c r="AC7" s="177" t="str">
        <f t="shared" si="2"/>
        <v>Q4 2028</v>
      </c>
      <c r="AD7" s="177" t="str">
        <f t="shared" si="2"/>
        <v>Q1 2029</v>
      </c>
      <c r="AE7" s="177" t="str">
        <f t="shared" si="2"/>
        <v>Q2 2029</v>
      </c>
      <c r="AF7" s="177" t="str">
        <f t="shared" si="2"/>
        <v>Q3 2029</v>
      </c>
      <c r="AG7" s="177" t="str">
        <f t="shared" si="2"/>
        <v>Q4 2029</v>
      </c>
    </row>
    <row r="8" spans="1:34" ht="14.25" customHeight="1" x14ac:dyDescent="0.45">
      <c r="B8" s="12" t="s">
        <v>429</v>
      </c>
      <c r="C8" s="188"/>
      <c r="D8" s="187">
        <f>+SUMIFS($J$8:$AG$8,$J$4:$AG$4,D$7)</f>
        <v>796.19999999999982</v>
      </c>
      <c r="E8" s="187">
        <f t="shared" ref="E8:H8" si="3">+SUMIFS($J$8:$AG$8,$J$4:$AG$4,E$7)</f>
        <v>702.08682804145053</v>
      </c>
      <c r="F8" s="187">
        <f t="shared" si="3"/>
        <v>1387.4998892709455</v>
      </c>
      <c r="G8" s="187">
        <f t="shared" si="3"/>
        <v>3485.2421455807307</v>
      </c>
      <c r="H8" s="187">
        <f t="shared" si="3"/>
        <v>8754.5324560095723</v>
      </c>
      <c r="J8" s="16"/>
      <c r="K8" s="16"/>
      <c r="L8" s="16"/>
      <c r="M8" s="16"/>
      <c r="N8" s="180">
        <f>+'Revenue Build'!C13</f>
        <v>251.99999999999997</v>
      </c>
      <c r="O8" s="180">
        <f>+'Revenue Build'!D13</f>
        <v>179.7</v>
      </c>
      <c r="P8" s="180">
        <f>+'Revenue Build'!E13</f>
        <v>142.19999999999999</v>
      </c>
      <c r="Q8" s="180">
        <f>+'Revenue Build'!F13</f>
        <v>222.3</v>
      </c>
      <c r="R8" s="180">
        <f>+'Revenue Build'!G13</f>
        <v>196.8</v>
      </c>
      <c r="S8" s="180">
        <f>+'Revenue Build'!H13</f>
        <v>130.80000000000001</v>
      </c>
      <c r="T8" s="180">
        <f>+'Revenue Build'!I13</f>
        <v>177.76144777220179</v>
      </c>
      <c r="U8" s="180">
        <f>+'Revenue Build'!J13</f>
        <v>196.72538026924875</v>
      </c>
      <c r="V8" s="180">
        <f>+'Revenue Build'!K13</f>
        <v>237.62299383501315</v>
      </c>
      <c r="W8" s="180">
        <f>+'Revenue Build'!L13</f>
        <v>299.14962536550672</v>
      </c>
      <c r="X8" s="180">
        <f>+'Revenue Build'!M13</f>
        <v>376.60706530134144</v>
      </c>
      <c r="Y8" s="180">
        <f>+'Revenue Build'!N13</f>
        <v>474.12020476908401</v>
      </c>
      <c r="Z8" s="180">
        <f>+'Revenue Build'!O13</f>
        <v>596.88197402885385</v>
      </c>
      <c r="AA8" s="180">
        <f>+'Revenue Build'!P13</f>
        <v>751.42988494679025</v>
      </c>
      <c r="AB8" s="180">
        <f>+'Revenue Build'!Q13</f>
        <v>945.99417734108147</v>
      </c>
      <c r="AC8" s="180">
        <f>+'Revenue Build'!R13</f>
        <v>1190.9361092640054</v>
      </c>
      <c r="AD8" s="180">
        <f>+'Revenue Build'!S13</f>
        <v>1499.2997317757313</v>
      </c>
      <c r="AE8" s="180">
        <f>+'Revenue Build'!T13</f>
        <v>1887.5065322286468</v>
      </c>
      <c r="AF8" s="180">
        <f>+'Revenue Build'!U13</f>
        <v>2376.2299383501295</v>
      </c>
      <c r="AG8" s="180">
        <f>+'Revenue Build'!V13</f>
        <v>2991.4962536550652</v>
      </c>
    </row>
    <row r="9" spans="1:34" ht="14.25" customHeight="1" x14ac:dyDescent="0.45">
      <c r="B9" s="185" t="s">
        <v>425</v>
      </c>
      <c r="C9" s="180">
        <f>+SUMIFS($J$9:$AG$9,$J$4:$AG$4,C$7)</f>
        <v>153.25400000001943</v>
      </c>
      <c r="D9" s="180">
        <f>+SUMIFS($J$9:$AG$9,$J$4:$AG$4,D$7)</f>
        <v>130.73300000002234</v>
      </c>
      <c r="E9" s="180">
        <f>+SUMIFS($J9:$AG9,$J$4:$AG$4,E$7)</f>
        <v>139.54899917638494</v>
      </c>
      <c r="F9" s="180">
        <f t="shared" ref="F9:H11" si="4">+SUMIFS($J9:$AG9,$J$4:$AG$4,F$7)</f>
        <v>227.92504444377988</v>
      </c>
      <c r="G9" s="180">
        <f t="shared" si="4"/>
        <v>471.5449406365808</v>
      </c>
      <c r="H9" s="180">
        <f t="shared" si="4"/>
        <v>977.92519974901757</v>
      </c>
      <c r="J9" s="180">
        <f>+'Income Statement'!J40</f>
        <v>44.474000000013504</v>
      </c>
      <c r="K9" s="180">
        <f>+'Income Statement'!K40</f>
        <v>34.908999999996858</v>
      </c>
      <c r="L9" s="180">
        <f>+'Income Statement'!L40</f>
        <v>32.875000000008029</v>
      </c>
      <c r="M9" s="180">
        <f>+'Income Statement'!M40</f>
        <v>40.996000000001047</v>
      </c>
      <c r="N9" s="180">
        <f>+'Income Statement'!N40</f>
        <v>42.043000000020612</v>
      </c>
      <c r="O9" s="180">
        <f>+'Income Statement'!O40</f>
        <v>24.055999999999706</v>
      </c>
      <c r="P9" s="180">
        <f>+'Income Statement'!P40</f>
        <v>26.704999999997789</v>
      </c>
      <c r="Q9" s="180">
        <f>+'Income Statement'!Q40</f>
        <v>37.929000000004251</v>
      </c>
      <c r="R9" s="180">
        <f>+'Income Statement'!R40</f>
        <v>38.017000000004657</v>
      </c>
      <c r="S9" s="180">
        <f>+'Income Statement'!S40</f>
        <v>29.692140979287419</v>
      </c>
      <c r="T9" s="181">
        <f>+'Income Statement'!T40</f>
        <v>34.894384410814759</v>
      </c>
      <c r="U9" s="181">
        <f>+'Income Statement'!U40</f>
        <v>36.945473786278122</v>
      </c>
      <c r="V9" s="181">
        <f>+'Income Statement'!V40</f>
        <v>42.603864951731154</v>
      </c>
      <c r="W9" s="181">
        <f>+'Income Statement'!W40</f>
        <v>51.146960046422876</v>
      </c>
      <c r="X9" s="181">
        <f>+'Income Statement'!X40</f>
        <v>60.953782151150236</v>
      </c>
      <c r="Y9" s="181">
        <f>+'Income Statement'!Y40</f>
        <v>73.220437294475644</v>
      </c>
      <c r="Z9" s="181">
        <f>+'Income Statement'!Z40</f>
        <v>87.921829353617326</v>
      </c>
      <c r="AA9" s="181">
        <f>+'Income Statement'!AA40</f>
        <v>105.48589280198235</v>
      </c>
      <c r="AB9" s="181">
        <f>+'Income Statement'!AB40</f>
        <v>126.49588939630117</v>
      </c>
      <c r="AC9" s="181">
        <f>+'Income Statement'!AC40</f>
        <v>151.64132908468</v>
      </c>
      <c r="AD9" s="181">
        <f>+'Income Statement'!AD40</f>
        <v>182.06870438318373</v>
      </c>
      <c r="AE9" s="181">
        <f>+'Income Statement'!AE40</f>
        <v>218.56564842154737</v>
      </c>
      <c r="AF9" s="181">
        <f>+'Income Statement'!AF40</f>
        <v>262.35156262768766</v>
      </c>
      <c r="AG9" s="181">
        <f>+'Income Statement'!AG40</f>
        <v>314.93928431659873</v>
      </c>
    </row>
    <row r="10" spans="1:34" x14ac:dyDescent="0.45">
      <c r="B10" s="186" t="s">
        <v>426</v>
      </c>
      <c r="C10" s="180">
        <f>+'Income Statement'!C41-C11</f>
        <v>23.783999999999999</v>
      </c>
      <c r="D10" s="180">
        <f>+'Income Statement'!D41-D11</f>
        <v>103.495</v>
      </c>
      <c r="E10" s="180">
        <f t="shared" ref="E10:E11" si="5">+SUMIFS($J10:$AG10,$J$4:$AG$4,E$7)</f>
        <v>236.84244225983014</v>
      </c>
      <c r="F10" s="180">
        <f t="shared" si="4"/>
        <v>361.08491053385427</v>
      </c>
      <c r="G10" s="180">
        <f t="shared" si="4"/>
        <v>634.04459896334708</v>
      </c>
      <c r="H10" s="180">
        <f t="shared" si="4"/>
        <v>1113.3463120356564</v>
      </c>
      <c r="J10" s="184">
        <f>+'Income Statement'!J41</f>
        <v>8.8000000000000007</v>
      </c>
      <c r="K10" s="184">
        <f>+'Income Statement'!K41</f>
        <v>25.8</v>
      </c>
      <c r="L10" s="184">
        <f>+'Income Statement'!L41</f>
        <v>11.5</v>
      </c>
      <c r="M10" s="184">
        <f>+'Income Statement'!M41</f>
        <v>13.683999999999999</v>
      </c>
      <c r="N10" s="184">
        <f>+'Income Statement'!N41</f>
        <v>19.741</v>
      </c>
      <c r="O10" s="184">
        <f>+'Income Statement'!O41</f>
        <v>31.9</v>
      </c>
      <c r="P10" s="184">
        <f>+'Income Statement'!P41</f>
        <v>49.3</v>
      </c>
      <c r="Q10" s="184">
        <f>+'Income Statement'!Q41</f>
        <v>54.554000000000002</v>
      </c>
      <c r="R10" s="184">
        <f>+'Income Statement'!R41</f>
        <v>54.77</v>
      </c>
      <c r="S10" s="184">
        <f>+'Income Statement'!S41</f>
        <v>62.689</v>
      </c>
      <c r="T10" s="181">
        <f>+'Revenue Build'!I35</f>
        <v>56.668945199288842</v>
      </c>
      <c r="U10" s="181">
        <f>+'Revenue Build'!J35</f>
        <v>62.714497060541305</v>
      </c>
      <c r="V10" s="181">
        <f>+'Revenue Build'!K35</f>
        <v>72.193078334156027</v>
      </c>
      <c r="W10" s="181">
        <f>+'Revenue Build'!L35</f>
        <v>83.10423910966469</v>
      </c>
      <c r="X10" s="181">
        <f>+'Revenue Build'!M35</f>
        <v>95.664497447102264</v>
      </c>
      <c r="Y10" s="181">
        <f>+'Revenue Build'!N35</f>
        <v>110.12309564293129</v>
      </c>
      <c r="Z10" s="181">
        <f>+'Revenue Build'!O35</f>
        <v>126.76694612531547</v>
      </c>
      <c r="AA10" s="181">
        <f>+'Revenue Build'!P35</f>
        <v>145.92632486507969</v>
      </c>
      <c r="AB10" s="181">
        <f>+'Revenue Build'!Q35</f>
        <v>167.98142528083073</v>
      </c>
      <c r="AC10" s="181">
        <f>+'Revenue Build'!R35</f>
        <v>193.36990269212117</v>
      </c>
      <c r="AD10" s="181">
        <f>+'Revenue Build'!S35</f>
        <v>222.59555903070077</v>
      </c>
      <c r="AE10" s="181">
        <f>+'Revenue Build'!T35</f>
        <v>256.23834014686634</v>
      </c>
      <c r="AF10" s="181">
        <f>+'Revenue Build'!U35</f>
        <v>294.96584409469506</v>
      </c>
      <c r="AG10" s="181">
        <f>+'Revenue Build'!V35</f>
        <v>339.54656876339425</v>
      </c>
    </row>
    <row r="11" spans="1:34" x14ac:dyDescent="0.45">
      <c r="B11" s="186" t="s">
        <v>427</v>
      </c>
      <c r="C11" s="182">
        <f>27+9</f>
        <v>36</v>
      </c>
      <c r="D11" s="182">
        <f>34+18</f>
        <v>52</v>
      </c>
      <c r="E11" s="180">
        <f t="shared" si="5"/>
        <v>27.554589205340449</v>
      </c>
      <c r="F11" s="180">
        <f t="shared" si="4"/>
        <v>59.235357782380873</v>
      </c>
      <c r="G11" s="180">
        <f t="shared" si="4"/>
        <v>65.420661449738006</v>
      </c>
      <c r="H11" s="180">
        <f t="shared" si="4"/>
        <v>72.533760667198706</v>
      </c>
      <c r="S11"/>
      <c r="T11" s="181">
        <f>+SUM('Revenue Build'!I31:I32)</f>
        <v>13.615234500549068</v>
      </c>
      <c r="U11" s="181">
        <f>+SUM('Revenue Build'!J31:J32)</f>
        <v>13.939354704791379</v>
      </c>
      <c r="V11" s="181">
        <f>+SUM('Revenue Build'!K31:K32)</f>
        <v>14.275</v>
      </c>
      <c r="W11" s="181">
        <f>+SUM('Revenue Build'!L31:L32)</f>
        <v>14.622580196239356</v>
      </c>
      <c r="X11" s="181">
        <f>+SUM('Revenue Build'!M31:M32)</f>
        <v>14.982519675631428</v>
      </c>
      <c r="Y11" s="181">
        <f>+SUM('Revenue Build'!N31:N32)</f>
        <v>15.355257910510087</v>
      </c>
      <c r="Z11" s="181">
        <f>+SUM('Revenue Build'!O31:O32)</f>
        <v>15.741250000000003</v>
      </c>
      <c r="AA11" s="181">
        <f>+SUM('Revenue Build'!P31:P32)</f>
        <v>16.140967225675261</v>
      </c>
      <c r="AB11" s="181">
        <f>+SUM('Revenue Build'!Q31:Q32)</f>
        <v>16.554897626976143</v>
      </c>
      <c r="AC11" s="181">
        <f>+SUM('Revenue Build'!R31:R32)</f>
        <v>16.983546597086601</v>
      </c>
      <c r="AD11" s="181">
        <f>+SUM('Revenue Build'!S31:S32)</f>
        <v>17.427437500000003</v>
      </c>
      <c r="AE11" s="181">
        <f>+SUM('Revenue Build'!T31:T32)</f>
        <v>17.88711230952655</v>
      </c>
      <c r="AF11" s="181">
        <f>+SUM('Revenue Build'!U31:U32)</f>
        <v>18.363132271022565</v>
      </c>
      <c r="AG11" s="181">
        <f>+SUM('Revenue Build'!V31:V32)</f>
        <v>18.856078586649588</v>
      </c>
    </row>
    <row r="12" spans="1:34" x14ac:dyDescent="0.45">
      <c r="B12" s="12" t="s">
        <v>428</v>
      </c>
      <c r="C12" s="189">
        <f>SUM(C9:C11)</f>
        <v>213.03800000001942</v>
      </c>
      <c r="D12" s="189">
        <f>SUM(D9:D11)</f>
        <v>286.22800000002235</v>
      </c>
      <c r="E12" s="189">
        <f>SUM(E9:E11)</f>
        <v>403.94603064155552</v>
      </c>
      <c r="F12" s="189">
        <f t="shared" ref="F12:H12" si="6">SUM(F9:F11)</f>
        <v>648.24531276001505</v>
      </c>
      <c r="G12" s="189">
        <f t="shared" si="6"/>
        <v>1171.0102010496657</v>
      </c>
      <c r="H12" s="189">
        <f t="shared" si="6"/>
        <v>2163.8052724518725</v>
      </c>
      <c r="J12" s="189">
        <f>SUM(J9:J11)</f>
        <v>53.274000000013501</v>
      </c>
      <c r="K12" s="189">
        <f t="shared" ref="K12:AG12" si="7">SUM(K9:K11)</f>
        <v>60.708999999996863</v>
      </c>
      <c r="L12" s="189">
        <f t="shared" si="7"/>
        <v>44.375000000008029</v>
      </c>
      <c r="M12" s="189">
        <f t="shared" si="7"/>
        <v>54.680000000001044</v>
      </c>
      <c r="N12" s="189">
        <f t="shared" si="7"/>
        <v>61.784000000020612</v>
      </c>
      <c r="O12" s="189">
        <f t="shared" si="7"/>
        <v>55.955999999999705</v>
      </c>
      <c r="P12" s="189">
        <f t="shared" si="7"/>
        <v>76.004999999997779</v>
      </c>
      <c r="Q12" s="189">
        <f t="shared" si="7"/>
        <v>92.483000000004253</v>
      </c>
      <c r="R12" s="189">
        <f t="shared" si="7"/>
        <v>92.787000000004667</v>
      </c>
      <c r="S12" s="189">
        <f t="shared" si="7"/>
        <v>92.381140979287423</v>
      </c>
      <c r="T12" s="246">
        <f t="shared" si="7"/>
        <v>105.17856411065267</v>
      </c>
      <c r="U12" s="246">
        <f t="shared" si="7"/>
        <v>113.5993255516108</v>
      </c>
      <c r="V12" s="246">
        <f t="shared" si="7"/>
        <v>129.07194328588719</v>
      </c>
      <c r="W12" s="246">
        <f t="shared" si="7"/>
        <v>148.87377935232695</v>
      </c>
      <c r="X12" s="246">
        <f t="shared" si="7"/>
        <v>171.60079927388395</v>
      </c>
      <c r="Y12" s="246">
        <f t="shared" si="7"/>
        <v>198.69879084791702</v>
      </c>
      <c r="Z12" s="246">
        <f t="shared" si="7"/>
        <v>230.43002547893281</v>
      </c>
      <c r="AA12" s="246">
        <f t="shared" si="7"/>
        <v>267.55318489273731</v>
      </c>
      <c r="AB12" s="246">
        <f t="shared" si="7"/>
        <v>311.03221230410804</v>
      </c>
      <c r="AC12" s="246">
        <f t="shared" si="7"/>
        <v>361.99477837388781</v>
      </c>
      <c r="AD12" s="246">
        <f t="shared" si="7"/>
        <v>422.09170091388449</v>
      </c>
      <c r="AE12" s="246">
        <f t="shared" si="7"/>
        <v>492.6911008779403</v>
      </c>
      <c r="AF12" s="246">
        <f t="shared" si="7"/>
        <v>575.68053899340521</v>
      </c>
      <c r="AG12" s="246">
        <f t="shared" si="7"/>
        <v>673.34193166664249</v>
      </c>
    </row>
    <row r="13" spans="1:34" x14ac:dyDescent="0.45">
      <c r="B13" s="12"/>
      <c r="C13" s="263"/>
      <c r="D13" s="203">
        <f>D12/C12-1</f>
        <v>0.34355373219799401</v>
      </c>
      <c r="E13" s="203">
        <f t="shared" ref="E13:H13" si="8">E12/D12-1</f>
        <v>0.41127363724556631</v>
      </c>
      <c r="F13" s="203">
        <f t="shared" si="8"/>
        <v>0.60478198468854449</v>
      </c>
      <c r="G13" s="203">
        <f t="shared" si="8"/>
        <v>0.8064306490144757</v>
      </c>
      <c r="H13" s="203">
        <f t="shared" si="8"/>
        <v>0.84781077954085182</v>
      </c>
      <c r="J13" s="263"/>
      <c r="K13" s="263"/>
      <c r="L13" s="263"/>
      <c r="M13" s="263"/>
      <c r="N13" s="263"/>
      <c r="O13" s="263"/>
      <c r="P13" s="263"/>
      <c r="Q13" s="263"/>
      <c r="R13" s="263"/>
      <c r="S13" s="263"/>
      <c r="T13" s="264"/>
      <c r="U13" s="264"/>
      <c r="V13" s="264"/>
      <c r="W13" s="264"/>
      <c r="X13" s="264"/>
      <c r="Y13" s="264"/>
      <c r="Z13" s="264"/>
      <c r="AA13" s="264"/>
      <c r="AB13" s="264"/>
      <c r="AC13" s="264"/>
      <c r="AD13" s="264"/>
      <c r="AE13" s="264"/>
      <c r="AF13" s="264"/>
      <c r="AG13" s="264"/>
    </row>
    <row r="14" spans="1:34" x14ac:dyDescent="0.45">
      <c r="S14"/>
    </row>
    <row r="15" spans="1:34" x14ac:dyDescent="0.45">
      <c r="B15" s="167" t="s">
        <v>430</v>
      </c>
      <c r="C15" s="191">
        <f>SUMIFS($J15:$AG15,$J$4:$AG$4,C$7)</f>
        <v>-153.119</v>
      </c>
      <c r="D15" s="191">
        <f t="shared" ref="D15:H19" si="9">SUMIFS($J15:$AG15,$J$4:$AG$4,D$7)</f>
        <v>-182.18800000000002</v>
      </c>
      <c r="E15" s="191">
        <f t="shared" si="9"/>
        <v>-219.16382872203769</v>
      </c>
      <c r="F15" s="191">
        <f t="shared" si="9"/>
        <v>-326.52287955818377</v>
      </c>
      <c r="G15" s="191">
        <f t="shared" si="9"/>
        <v>-542.46312848574598</v>
      </c>
      <c r="H15" s="191">
        <f t="shared" si="9"/>
        <v>-915.39375992110467</v>
      </c>
      <c r="J15" s="191">
        <f>'Income Statement'!J13</f>
        <v>-36.756999999999998</v>
      </c>
      <c r="K15" s="191">
        <f>'Income Statement'!K13</f>
        <v>-39.661999999999999</v>
      </c>
      <c r="L15" s="191">
        <f>'Income Statement'!L13</f>
        <v>-39.618000000000002</v>
      </c>
      <c r="M15" s="191">
        <f>'Income Statement'!M13</f>
        <v>-37.082000000000001</v>
      </c>
      <c r="N15" s="191">
        <f>'Income Statement'!N13</f>
        <v>-47.186</v>
      </c>
      <c r="O15" s="191">
        <f>'Income Statement'!O13</f>
        <v>-43.017000000000003</v>
      </c>
      <c r="P15" s="191">
        <f>'Income Statement'!P13</f>
        <v>-45.709000000000003</v>
      </c>
      <c r="Q15" s="191">
        <f>'Income Statement'!Q13</f>
        <v>-46.276000000000003</v>
      </c>
      <c r="R15" s="191">
        <f>'Income Statement'!R13</f>
        <v>-48.28</v>
      </c>
      <c r="S15" s="191">
        <f>'Income Statement'!S13</f>
        <v>-56.268000000000001</v>
      </c>
      <c r="T15" s="247">
        <f>-T12*T16</f>
        <v>-56.038732786194501</v>
      </c>
      <c r="U15" s="247">
        <f t="shared" ref="U15:AG15" si="10">-U12*U16</f>
        <v>-58.577095935843218</v>
      </c>
      <c r="V15" s="247">
        <f t="shared" si="10"/>
        <v>-67.048341409360688</v>
      </c>
      <c r="W15" s="247">
        <f t="shared" si="10"/>
        <v>-77.302445058231015</v>
      </c>
      <c r="X15" s="247">
        <f t="shared" si="10"/>
        <v>-85.249378733431044</v>
      </c>
      <c r="Y15" s="247">
        <f t="shared" si="10"/>
        <v>-96.922714357161013</v>
      </c>
      <c r="Z15" s="247">
        <f t="shared" si="10"/>
        <v>-110.79589337391266</v>
      </c>
      <c r="AA15" s="247">
        <f t="shared" si="10"/>
        <v>-126.06079932967727</v>
      </c>
      <c r="AB15" s="247">
        <f t="shared" si="10"/>
        <v>-142.80733116820227</v>
      </c>
      <c r="AC15" s="247">
        <f t="shared" si="10"/>
        <v>-162.79910461395383</v>
      </c>
      <c r="AD15" s="247">
        <f t="shared" si="10"/>
        <v>-185.8102238944133</v>
      </c>
      <c r="AE15" s="247">
        <f t="shared" si="10"/>
        <v>-211.88702436301853</v>
      </c>
      <c r="AF15" s="247">
        <f t="shared" si="10"/>
        <v>-241.66224084229998</v>
      </c>
      <c r="AG15" s="247">
        <f t="shared" si="10"/>
        <v>-276.0342708213729</v>
      </c>
    </row>
    <row r="16" spans="1:34" x14ac:dyDescent="0.45">
      <c r="B16" s="192" t="s">
        <v>432</v>
      </c>
      <c r="C16" s="193">
        <f>-C15/C12</f>
        <v>0.71874031862853593</v>
      </c>
      <c r="D16" s="193">
        <f t="shared" ref="D16:E16" si="11">-D15/D12</f>
        <v>0.6365135486394965</v>
      </c>
      <c r="E16" s="193">
        <f t="shared" si="11"/>
        <v>0.54255720343125324</v>
      </c>
      <c r="F16" s="194">
        <v>0.15</v>
      </c>
      <c r="G16" s="194">
        <v>0.13</v>
      </c>
      <c r="H16" s="194">
        <v>0.1</v>
      </c>
      <c r="J16" s="251">
        <f>-J15/J12</f>
        <v>0.68996133198165488</v>
      </c>
      <c r="K16" s="251">
        <f t="shared" ref="K16:S16" si="12">-K15/K12</f>
        <v>0.65331334727967927</v>
      </c>
      <c r="L16" s="251">
        <f t="shared" si="12"/>
        <v>0.8927999999998385</v>
      </c>
      <c r="M16" s="251">
        <f t="shared" si="12"/>
        <v>0.67816386247255478</v>
      </c>
      <c r="N16" s="251">
        <f t="shared" si="12"/>
        <v>0.76372523630687972</v>
      </c>
      <c r="O16" s="251">
        <f t="shared" si="12"/>
        <v>0.76876474372721837</v>
      </c>
      <c r="P16" s="251">
        <f t="shared" si="12"/>
        <v>0.60139464508915652</v>
      </c>
      <c r="Q16" s="251">
        <f t="shared" si="12"/>
        <v>0.50037304153193429</v>
      </c>
      <c r="R16" s="251">
        <f>-R15/R12</f>
        <v>0.52033151195746785</v>
      </c>
      <c r="S16" s="251">
        <f t="shared" si="12"/>
        <v>0.60908535447311407</v>
      </c>
      <c r="T16" s="248">
        <f>AVERAGE(P16:S16) - $AH$16</f>
        <v>0.53279613826291816</v>
      </c>
      <c r="U16" s="248">
        <f t="shared" ref="U16:AG16" si="13">AVERAGE(Q16:T16) - $AH$16</f>
        <v>0.51564651155635854</v>
      </c>
      <c r="V16" s="248">
        <f t="shared" si="13"/>
        <v>0.51946487906246464</v>
      </c>
      <c r="W16" s="248">
        <f t="shared" si="13"/>
        <v>0.5192482208387138</v>
      </c>
      <c r="X16" s="248">
        <f t="shared" si="13"/>
        <v>0.49678893743011376</v>
      </c>
      <c r="Y16" s="248">
        <f t="shared" si="13"/>
        <v>0.48778713722191258</v>
      </c>
      <c r="Z16" s="248">
        <f t="shared" si="13"/>
        <v>0.4808222936383012</v>
      </c>
      <c r="AA16" s="248">
        <f t="shared" si="13"/>
        <v>0.47116164728226029</v>
      </c>
      <c r="AB16" s="248">
        <f t="shared" si="13"/>
        <v>0.45914000389314691</v>
      </c>
      <c r="AC16" s="248">
        <f t="shared" si="13"/>
        <v>0.44972777050890522</v>
      </c>
      <c r="AD16" s="248">
        <f t="shared" si="13"/>
        <v>0.44021292883065344</v>
      </c>
      <c r="AE16" s="248">
        <f t="shared" si="13"/>
        <v>0.43006058762874144</v>
      </c>
      <c r="AF16" s="248">
        <f t="shared" si="13"/>
        <v>0.41978532271536173</v>
      </c>
      <c r="AG16" s="248">
        <f t="shared" si="13"/>
        <v>0.40994665242091544</v>
      </c>
      <c r="AH16" s="252">
        <v>2.5000000000000001E-2</v>
      </c>
    </row>
    <row r="17" spans="1:34" x14ac:dyDescent="0.45">
      <c r="B17" s="192" t="s">
        <v>527</v>
      </c>
      <c r="C17" s="191">
        <f>SUMIFS($J17:$AG17,$J$4:$AG$4,C$7)</f>
        <v>-46.080999999999996</v>
      </c>
      <c r="D17" s="191">
        <f t="shared" si="9"/>
        <v>-60.424999999999997</v>
      </c>
      <c r="E17" s="191">
        <f t="shared" si="9"/>
        <v>-117.42302013920744</v>
      </c>
      <c r="F17" s="191">
        <f t="shared" si="9"/>
        <v>-116.68415629680271</v>
      </c>
      <c r="G17" s="191">
        <f t="shared" si="9"/>
        <v>-210.78183618893988</v>
      </c>
      <c r="H17" s="191">
        <f t="shared" si="9"/>
        <v>-389.48494904133702</v>
      </c>
      <c r="J17" s="191">
        <f>'Income Statement'!J14</f>
        <v>-9.9160000000000004</v>
      </c>
      <c r="K17" s="191">
        <f>'Income Statement'!K14</f>
        <v>-16.72</v>
      </c>
      <c r="L17" s="191">
        <f>'Income Statement'!L14</f>
        <v>-6.81</v>
      </c>
      <c r="M17" s="191">
        <f>'Income Statement'!M14</f>
        <v>-12.635</v>
      </c>
      <c r="N17" s="191">
        <f>'Income Statement'!N14</f>
        <v>-15.063000000000001</v>
      </c>
      <c r="O17" s="191">
        <f>'Income Statement'!O14</f>
        <v>-17.361999999999998</v>
      </c>
      <c r="P17" s="191">
        <f>'Income Statement'!P14</f>
        <v>-13.608000000000001</v>
      </c>
      <c r="Q17" s="191">
        <f>'Income Statement'!Q14</f>
        <v>-14.391999999999999</v>
      </c>
      <c r="R17" s="191">
        <f>'Income Statement'!R14</f>
        <v>-45.53</v>
      </c>
      <c r="S17" s="191">
        <f>'Income Statement'!S14</f>
        <v>-32.512999999999998</v>
      </c>
      <c r="T17" s="247">
        <f>-T12*T18</f>
        <v>-18.932141539917481</v>
      </c>
      <c r="U17" s="247">
        <f t="shared" ref="U17:AG17" si="14">-U12*U18</f>
        <v>-20.447878599289943</v>
      </c>
      <c r="V17" s="247">
        <f t="shared" si="14"/>
        <v>-23.232949791459692</v>
      </c>
      <c r="W17" s="247">
        <f t="shared" si="14"/>
        <v>-26.79728028341885</v>
      </c>
      <c r="X17" s="247">
        <f t="shared" si="14"/>
        <v>-30.88814386929911</v>
      </c>
      <c r="Y17" s="247">
        <f t="shared" si="14"/>
        <v>-35.76578235262506</v>
      </c>
      <c r="Z17" s="247">
        <f t="shared" si="14"/>
        <v>-41.477404586207903</v>
      </c>
      <c r="AA17" s="247">
        <f t="shared" si="14"/>
        <v>-48.159573280692712</v>
      </c>
      <c r="AB17" s="247">
        <f t="shared" si="14"/>
        <v>-55.985798214739447</v>
      </c>
      <c r="AC17" s="247">
        <f t="shared" si="14"/>
        <v>-65.159060107299808</v>
      </c>
      <c r="AD17" s="247">
        <f t="shared" si="14"/>
        <v>-75.976506164499213</v>
      </c>
      <c r="AE17" s="247">
        <f t="shared" si="14"/>
        <v>-88.684398158029254</v>
      </c>
      <c r="AF17" s="247">
        <f t="shared" si="14"/>
        <v>-103.62249701881294</v>
      </c>
      <c r="AG17" s="247">
        <f t="shared" si="14"/>
        <v>-121.20154769999564</v>
      </c>
    </row>
    <row r="18" spans="1:34" x14ac:dyDescent="0.45">
      <c r="B18" s="192" t="s">
        <v>432</v>
      </c>
      <c r="C18" s="193">
        <f>-C17/C12</f>
        <v>0.2163041335348426</v>
      </c>
      <c r="D18" s="193">
        <f t="shared" ref="D18:J18" si="15">-D17/D12</f>
        <v>0.2111079279455374</v>
      </c>
      <c r="E18" s="193">
        <f t="shared" si="15"/>
        <v>0.29068987248795031</v>
      </c>
      <c r="F18" s="194">
        <f t="shared" si="15"/>
        <v>0.18</v>
      </c>
      <c r="G18" s="194">
        <f t="shared" si="15"/>
        <v>0.18000000000000005</v>
      </c>
      <c r="H18" s="194">
        <f t="shared" si="15"/>
        <v>0.18</v>
      </c>
      <c r="J18" s="251">
        <f t="shared" si="15"/>
        <v>0.186132071929975</v>
      </c>
      <c r="K18" s="251">
        <f t="shared" ref="K18" si="16">-K17/K12</f>
        <v>0.27541221235732533</v>
      </c>
      <c r="L18" s="251">
        <f t="shared" ref="L18" si="17">-L17/L12</f>
        <v>0.1534647887323666</v>
      </c>
      <c r="M18" s="251">
        <f t="shared" ref="M18" si="18">-M17/M12</f>
        <v>0.23107168983174395</v>
      </c>
      <c r="N18" s="251">
        <f t="shared" ref="N18" si="19">-N17/N12</f>
        <v>0.24380098407346523</v>
      </c>
      <c r="O18" s="251">
        <f t="shared" ref="O18" si="20">-O17/O12</f>
        <v>0.3102795053256146</v>
      </c>
      <c r="P18" s="251">
        <f t="shared" ref="P18" si="21">-P17/P12</f>
        <v>0.17904085257549371</v>
      </c>
      <c r="Q18" s="251">
        <f t="shared" ref="Q18" si="22">-Q17/Q12</f>
        <v>0.15561778921530808</v>
      </c>
      <c r="R18" s="251">
        <f t="shared" ref="R18" si="23">-R17/R12</f>
        <v>0.4906937394246792</v>
      </c>
      <c r="S18" s="251">
        <f t="shared" ref="S18" si="24">-S17/S12</f>
        <v>0.35194412685690546</v>
      </c>
      <c r="T18" s="248">
        <f>$AH$18</f>
        <v>0.18</v>
      </c>
      <c r="U18" s="248">
        <f t="shared" ref="U18:AG18" si="25">$AH$18</f>
        <v>0.18</v>
      </c>
      <c r="V18" s="248">
        <f t="shared" si="25"/>
        <v>0.18</v>
      </c>
      <c r="W18" s="248">
        <f t="shared" si="25"/>
        <v>0.18</v>
      </c>
      <c r="X18" s="248">
        <f t="shared" si="25"/>
        <v>0.18</v>
      </c>
      <c r="Y18" s="248">
        <f t="shared" si="25"/>
        <v>0.18</v>
      </c>
      <c r="Z18" s="248">
        <f t="shared" si="25"/>
        <v>0.18</v>
      </c>
      <c r="AA18" s="248">
        <f t="shared" si="25"/>
        <v>0.18</v>
      </c>
      <c r="AB18" s="248">
        <f t="shared" si="25"/>
        <v>0.18</v>
      </c>
      <c r="AC18" s="248">
        <f t="shared" si="25"/>
        <v>0.18</v>
      </c>
      <c r="AD18" s="248">
        <f t="shared" si="25"/>
        <v>0.18</v>
      </c>
      <c r="AE18" s="248">
        <f t="shared" si="25"/>
        <v>0.18</v>
      </c>
      <c r="AF18" s="248">
        <f t="shared" si="25"/>
        <v>0.18</v>
      </c>
      <c r="AG18" s="248">
        <f t="shared" si="25"/>
        <v>0.18</v>
      </c>
      <c r="AH18" s="252">
        <v>0.18</v>
      </c>
    </row>
    <row r="19" spans="1:34" x14ac:dyDescent="0.45">
      <c r="B19" s="167" t="s">
        <v>431</v>
      </c>
      <c r="C19" s="191">
        <f>SUMIFS($J19:$AG19,$J$4:$AG$4,C$7)</f>
        <v>-38.529000000000003</v>
      </c>
      <c r="D19" s="191">
        <f t="shared" si="9"/>
        <v>-52.369</v>
      </c>
      <c r="E19" s="191">
        <f t="shared" si="9"/>
        <v>-63.688136043833623</v>
      </c>
      <c r="F19" s="191">
        <f t="shared" si="9"/>
        <v>-102.82229745518465</v>
      </c>
      <c r="G19" s="191">
        <f t="shared" si="9"/>
        <v>-185.87471334359009</v>
      </c>
      <c r="H19" s="191">
        <f t="shared" si="9"/>
        <v>-343.48823040817848</v>
      </c>
      <c r="J19" s="191">
        <f>'Income Statement'!J15</f>
        <v>-8.9290000000000003</v>
      </c>
      <c r="K19" s="191">
        <f>'Income Statement'!K15</f>
        <v>-9.0630000000000006</v>
      </c>
      <c r="L19" s="191">
        <f>'Income Statement'!L15</f>
        <v>-9.8780000000000001</v>
      </c>
      <c r="M19" s="191">
        <f>'Income Statement'!M15</f>
        <v>-10.659000000000001</v>
      </c>
      <c r="N19" s="191">
        <f>'Income Statement'!N15</f>
        <v>-10.24</v>
      </c>
      <c r="O19" s="191">
        <f>'Income Statement'!O15</f>
        <v>-13.291</v>
      </c>
      <c r="P19" s="191">
        <f>'Income Statement'!P15</f>
        <v>-13.906000000000001</v>
      </c>
      <c r="Q19" s="191">
        <f>'Income Statement'!Q15</f>
        <v>-14.932</v>
      </c>
      <c r="R19" s="191">
        <f>'Income Statement'!R15</f>
        <v>-14.087999999999999</v>
      </c>
      <c r="S19" s="191">
        <f>'Income Statement'!S15</f>
        <v>-14.459</v>
      </c>
      <c r="T19" s="247">
        <f>-T12*T20</f>
        <v>-17.164210587432148</v>
      </c>
      <c r="U19" s="247">
        <f t="shared" ref="U19:AG19" si="26">-U12*U20</f>
        <v>-17.976925456401471</v>
      </c>
      <c r="V19" s="247">
        <f t="shared" si="26"/>
        <v>-20.321922934095799</v>
      </c>
      <c r="W19" s="247">
        <f t="shared" si="26"/>
        <v>-23.648628798348582</v>
      </c>
      <c r="X19" s="247">
        <f t="shared" si="26"/>
        <v>-27.359016559766538</v>
      </c>
      <c r="Y19" s="247">
        <f t="shared" si="26"/>
        <v>-31.492729162973728</v>
      </c>
      <c r="Z19" s="247">
        <f t="shared" si="26"/>
        <v>-36.536154086307704</v>
      </c>
      <c r="AA19" s="247">
        <f t="shared" si="26"/>
        <v>-42.496508818387774</v>
      </c>
      <c r="AB19" s="247">
        <f t="shared" si="26"/>
        <v>-49.401182115867783</v>
      </c>
      <c r="AC19" s="247">
        <f t="shared" si="26"/>
        <v>-57.440868323026827</v>
      </c>
      <c r="AD19" s="247">
        <f t="shared" si="26"/>
        <v>-66.996376806249813</v>
      </c>
      <c r="AE19" s="247">
        <f t="shared" si="26"/>
        <v>-78.222975184707892</v>
      </c>
      <c r="AF19" s="247">
        <f t="shared" si="26"/>
        <v>-91.389282848693895</v>
      </c>
      <c r="AG19" s="247">
        <f t="shared" si="26"/>
        <v>-106.87959556852688</v>
      </c>
    </row>
    <row r="20" spans="1:34" x14ac:dyDescent="0.45">
      <c r="B20" s="192" t="s">
        <v>432</v>
      </c>
      <c r="C20" s="171">
        <f>-C19/C12</f>
        <v>0.18085505872190169</v>
      </c>
      <c r="D20" s="171">
        <f t="shared" ref="D20:J20" si="27">-D19/D12</f>
        <v>0.18296253336499543</v>
      </c>
      <c r="E20" s="171">
        <f t="shared" si="27"/>
        <v>0.1576649631701611</v>
      </c>
      <c r="F20" s="194">
        <f t="shared" si="27"/>
        <v>0.15861633772159675</v>
      </c>
      <c r="G20" s="194">
        <f t="shared" si="27"/>
        <v>0.15873022555822008</v>
      </c>
      <c r="H20" s="194">
        <f t="shared" si="27"/>
        <v>0.15874267189438987</v>
      </c>
      <c r="J20" s="251">
        <f t="shared" si="27"/>
        <v>0.16760521079696922</v>
      </c>
      <c r="K20" s="251">
        <f t="shared" ref="K20" si="28">-K19/K12</f>
        <v>0.14928593783459568</v>
      </c>
      <c r="L20" s="251">
        <f t="shared" ref="L20" si="29">-L19/L12</f>
        <v>0.22260281690136818</v>
      </c>
      <c r="M20" s="251">
        <f t="shared" ref="M20" si="30">-M19/M12</f>
        <v>0.19493416239941105</v>
      </c>
      <c r="N20" s="251">
        <f t="shared" ref="N20" si="31">-N19/N12</f>
        <v>0.16573870257666359</v>
      </c>
      <c r="O20" s="251">
        <f t="shared" ref="O20" si="32">-O19/O12</f>
        <v>0.23752591321752931</v>
      </c>
      <c r="P20" s="251">
        <f t="shared" ref="P20" si="33">-P19/P12</f>
        <v>0.18296164726005404</v>
      </c>
      <c r="Q20" s="251">
        <f t="shared" ref="Q20" si="34">-Q19/Q12</f>
        <v>0.16145670015029048</v>
      </c>
      <c r="R20" s="251">
        <f t="shared" ref="R20" si="35">-R19/R12</f>
        <v>0.15183161434251879</v>
      </c>
      <c r="S20" s="251">
        <f t="shared" ref="S20" si="36">-S19/S12</f>
        <v>0.15651462892455312</v>
      </c>
      <c r="T20" s="248">
        <f>AVERAGE(P20:S20)</f>
        <v>0.16319114766935411</v>
      </c>
      <c r="U20" s="248">
        <f t="shared" ref="U20:AG20" si="37">AVERAGE(Q20:T20)</f>
        <v>0.15824852277167911</v>
      </c>
      <c r="V20" s="248">
        <f t="shared" si="37"/>
        <v>0.1574464784270263</v>
      </c>
      <c r="W20" s="248">
        <f t="shared" si="37"/>
        <v>0.15885019444815315</v>
      </c>
      <c r="X20" s="248">
        <f t="shared" si="37"/>
        <v>0.15943408582905316</v>
      </c>
      <c r="Y20" s="248">
        <f t="shared" si="37"/>
        <v>0.15849482036897794</v>
      </c>
      <c r="Z20" s="248">
        <f t="shared" si="37"/>
        <v>0.15855639476830263</v>
      </c>
      <c r="AA20" s="248">
        <f t="shared" si="37"/>
        <v>0.15883387385362174</v>
      </c>
      <c r="AB20" s="248">
        <f t="shared" si="37"/>
        <v>0.15882979370498887</v>
      </c>
      <c r="AC20" s="248">
        <f t="shared" si="37"/>
        <v>0.15867872067397279</v>
      </c>
      <c r="AD20" s="248">
        <f t="shared" si="37"/>
        <v>0.15872469575022152</v>
      </c>
      <c r="AE20" s="248">
        <f t="shared" si="37"/>
        <v>0.15876677099570125</v>
      </c>
      <c r="AF20" s="248">
        <f t="shared" si="37"/>
        <v>0.15874999528122111</v>
      </c>
      <c r="AG20" s="248">
        <f t="shared" si="37"/>
        <v>0.15873004567527918</v>
      </c>
    </row>
    <row r="21" spans="1:34" x14ac:dyDescent="0.45">
      <c r="B21" s="201" t="s">
        <v>433</v>
      </c>
      <c r="C21" s="204">
        <f>C15+C17+C19</f>
        <v>-237.72899999999998</v>
      </c>
      <c r="D21" s="204">
        <f t="shared" ref="D21:AG21" si="38">D15+D17+D19</f>
        <v>-294.98199999999997</v>
      </c>
      <c r="E21" s="204">
        <f t="shared" si="38"/>
        <v>-400.27498490507878</v>
      </c>
      <c r="F21" s="204">
        <f t="shared" si="38"/>
        <v>-546.02933331017118</v>
      </c>
      <c r="G21" s="204">
        <f t="shared" si="38"/>
        <v>-939.11967801827598</v>
      </c>
      <c r="H21" s="204">
        <f t="shared" si="38"/>
        <v>-1648.36693937062</v>
      </c>
      <c r="I21" s="100"/>
      <c r="J21" s="204">
        <f t="shared" si="38"/>
        <v>-55.602000000000004</v>
      </c>
      <c r="K21" s="204">
        <f t="shared" si="38"/>
        <v>-65.444999999999993</v>
      </c>
      <c r="L21" s="204">
        <f t="shared" si="38"/>
        <v>-56.306000000000004</v>
      </c>
      <c r="M21" s="204">
        <f t="shared" si="38"/>
        <v>-60.375999999999998</v>
      </c>
      <c r="N21" s="204">
        <f t="shared" si="38"/>
        <v>-72.489000000000004</v>
      </c>
      <c r="O21" s="204">
        <f t="shared" si="38"/>
        <v>-73.67</v>
      </c>
      <c r="P21" s="204">
        <f t="shared" si="38"/>
        <v>-73.223000000000013</v>
      </c>
      <c r="Q21" s="204">
        <f>Q15+Q17+Q19</f>
        <v>-75.600000000000009</v>
      </c>
      <c r="R21" s="204">
        <f t="shared" si="38"/>
        <v>-107.898</v>
      </c>
      <c r="S21" s="204">
        <f t="shared" si="38"/>
        <v>-103.24000000000001</v>
      </c>
      <c r="T21" s="249">
        <f t="shared" si="38"/>
        <v>-92.135084913544134</v>
      </c>
      <c r="U21" s="249">
        <f t="shared" si="38"/>
        <v>-97.001899991534643</v>
      </c>
      <c r="V21" s="249">
        <f t="shared" si="38"/>
        <v>-110.60321413491617</v>
      </c>
      <c r="W21" s="249">
        <f t="shared" si="38"/>
        <v>-127.74835413999845</v>
      </c>
      <c r="X21" s="249">
        <f t="shared" si="38"/>
        <v>-143.4965391624967</v>
      </c>
      <c r="Y21" s="249">
        <f t="shared" si="38"/>
        <v>-164.1812258727598</v>
      </c>
      <c r="Z21" s="249">
        <f t="shared" si="38"/>
        <v>-188.80945204642828</v>
      </c>
      <c r="AA21" s="249">
        <f t="shared" si="38"/>
        <v>-216.71688142875774</v>
      </c>
      <c r="AB21" s="249">
        <f t="shared" si="38"/>
        <v>-248.1943114988095</v>
      </c>
      <c r="AC21" s="249">
        <f t="shared" si="38"/>
        <v>-285.39903304428049</v>
      </c>
      <c r="AD21" s="249">
        <f t="shared" si="38"/>
        <v>-328.78310686516232</v>
      </c>
      <c r="AE21" s="249">
        <f t="shared" si="38"/>
        <v>-378.79439770575567</v>
      </c>
      <c r="AF21" s="249">
        <f t="shared" si="38"/>
        <v>-436.67402070980683</v>
      </c>
      <c r="AG21" s="249">
        <f t="shared" si="38"/>
        <v>-504.11541408989541</v>
      </c>
    </row>
    <row r="22" spans="1:34" x14ac:dyDescent="0.45">
      <c r="B22" s="156"/>
      <c r="S22"/>
    </row>
    <row r="23" spans="1:34" x14ac:dyDescent="0.45">
      <c r="B23" s="156" t="s">
        <v>285</v>
      </c>
      <c r="C23" s="196">
        <f>+C12+C21</f>
        <v>-24.690999999980562</v>
      </c>
      <c r="D23" s="196">
        <f t="shared" ref="D23:AG23" si="39">+D12+D21</f>
        <v>-8.7539999999776228</v>
      </c>
      <c r="E23" s="196">
        <f t="shared" si="39"/>
        <v>3.6710457364767421</v>
      </c>
      <c r="F23" s="196">
        <f>+F12+F21</f>
        <v>102.21597944984387</v>
      </c>
      <c r="G23" s="196">
        <f t="shared" si="39"/>
        <v>231.89052303138976</v>
      </c>
      <c r="H23" s="196">
        <f t="shared" si="39"/>
        <v>515.43833308125249</v>
      </c>
      <c r="J23" s="196">
        <f t="shared" si="39"/>
        <v>-2.3279999999865026</v>
      </c>
      <c r="K23" s="196">
        <f t="shared" si="39"/>
        <v>-4.7360000000031306</v>
      </c>
      <c r="L23" s="196">
        <f t="shared" si="39"/>
        <v>-11.930999999991975</v>
      </c>
      <c r="M23" s="196">
        <f t="shared" si="39"/>
        <v>-5.6959999999989535</v>
      </c>
      <c r="N23" s="196">
        <f t="shared" si="39"/>
        <v>-10.704999999979393</v>
      </c>
      <c r="O23" s="196">
        <f t="shared" si="39"/>
        <v>-17.714000000000297</v>
      </c>
      <c r="P23" s="196">
        <f t="shared" si="39"/>
        <v>2.7819999999977654</v>
      </c>
      <c r="Q23" s="196">
        <f t="shared" si="39"/>
        <v>16.883000000004245</v>
      </c>
      <c r="R23" s="196">
        <f>+R12+R21</f>
        <v>-15.110999999995329</v>
      </c>
      <c r="S23" s="196">
        <f t="shared" si="39"/>
        <v>-10.858859020712586</v>
      </c>
      <c r="T23" s="250">
        <f t="shared" si="39"/>
        <v>13.043479197108539</v>
      </c>
      <c r="U23" s="250">
        <f t="shared" si="39"/>
        <v>16.597425560076161</v>
      </c>
      <c r="V23" s="250">
        <f t="shared" si="39"/>
        <v>18.468729150971015</v>
      </c>
      <c r="W23" s="250">
        <f t="shared" si="39"/>
        <v>21.125425212328494</v>
      </c>
      <c r="X23" s="250">
        <f t="shared" si="39"/>
        <v>28.104260111387248</v>
      </c>
      <c r="Y23" s="250">
        <f t="shared" si="39"/>
        <v>34.517564975157228</v>
      </c>
      <c r="Z23" s="250">
        <f t="shared" si="39"/>
        <v>41.620573432504528</v>
      </c>
      <c r="AA23" s="250">
        <f t="shared" si="39"/>
        <v>50.836303463979561</v>
      </c>
      <c r="AB23" s="250">
        <f t="shared" si="39"/>
        <v>62.837900805298545</v>
      </c>
      <c r="AC23" s="250">
        <f t="shared" si="39"/>
        <v>76.595745329607325</v>
      </c>
      <c r="AD23" s="250">
        <f t="shared" si="39"/>
        <v>93.308594048722171</v>
      </c>
      <c r="AE23" s="250">
        <f t="shared" si="39"/>
        <v>113.89670317218463</v>
      </c>
      <c r="AF23" s="250">
        <f t="shared" si="39"/>
        <v>139.00651828359838</v>
      </c>
      <c r="AG23" s="250">
        <f t="shared" si="39"/>
        <v>169.22651757674709</v>
      </c>
    </row>
    <row r="24" spans="1:34" x14ac:dyDescent="0.45">
      <c r="S24"/>
    </row>
    <row r="25" spans="1:34" ht="15" x14ac:dyDescent="0.45">
      <c r="A25" t="s">
        <v>443</v>
      </c>
      <c r="B25" s="10" t="s">
        <v>434</v>
      </c>
      <c r="C25" s="11"/>
      <c r="D25" s="11"/>
      <c r="E25" s="11"/>
      <c r="F25" s="11"/>
      <c r="G25" s="11"/>
      <c r="H25" s="11"/>
      <c r="S25"/>
    </row>
    <row r="26" spans="1:34" x14ac:dyDescent="0.45">
      <c r="B26" s="12" t="s">
        <v>11</v>
      </c>
      <c r="C26" s="13">
        <v>2024</v>
      </c>
      <c r="D26" s="13">
        <v>2025</v>
      </c>
      <c r="E26" s="183">
        <v>2026</v>
      </c>
      <c r="F26" s="183">
        <v>2027</v>
      </c>
      <c r="G26" s="183">
        <v>2028</v>
      </c>
      <c r="H26" s="183">
        <v>2029</v>
      </c>
      <c r="S26"/>
    </row>
    <row r="27" spans="1:34" x14ac:dyDescent="0.45">
      <c r="B27" s="186" t="s">
        <v>435</v>
      </c>
      <c r="C27" s="180"/>
      <c r="D27" s="180"/>
      <c r="E27" s="180">
        <v>685</v>
      </c>
      <c r="F27" s="180">
        <f>+E27*(1+F28)</f>
        <v>705.55000000000007</v>
      </c>
      <c r="G27" s="180">
        <f t="shared" ref="G27:H27" si="40">+F27*(1+G28)</f>
        <v>719.66100000000006</v>
      </c>
      <c r="H27" s="180">
        <f t="shared" si="40"/>
        <v>734.0542200000001</v>
      </c>
      <c r="S27"/>
    </row>
    <row r="28" spans="1:34" x14ac:dyDescent="0.45">
      <c r="A28" s="170"/>
      <c r="B28" s="200" t="s">
        <v>440</v>
      </c>
      <c r="C28" s="199"/>
      <c r="D28" s="199"/>
      <c r="E28" s="199"/>
      <c r="F28" s="194">
        <v>0.03</v>
      </c>
      <c r="G28" s="194">
        <v>0.02</v>
      </c>
      <c r="H28" s="194">
        <v>0.02</v>
      </c>
      <c r="S28"/>
    </row>
    <row r="29" spans="1:34" x14ac:dyDescent="0.45">
      <c r="B29" s="186" t="s">
        <v>436</v>
      </c>
      <c r="E29" s="180">
        <v>230</v>
      </c>
      <c r="F29" s="180">
        <f>+E29*(1+F30)</f>
        <v>218.5</v>
      </c>
      <c r="G29" s="180">
        <f t="shared" ref="G29:H29" si="41">+F29*(1+G30)</f>
        <v>196.65</v>
      </c>
      <c r="H29" s="180">
        <f t="shared" si="41"/>
        <v>167.1525</v>
      </c>
      <c r="S29"/>
    </row>
    <row r="30" spans="1:34" x14ac:dyDescent="0.45">
      <c r="A30" s="170"/>
      <c r="B30" s="200" t="s">
        <v>440</v>
      </c>
      <c r="C30" s="170"/>
      <c r="D30" s="170"/>
      <c r="E30" s="199"/>
      <c r="F30" s="194">
        <v>-0.05</v>
      </c>
      <c r="G30" s="194">
        <v>-0.1</v>
      </c>
      <c r="H30" s="194">
        <v>-0.15</v>
      </c>
      <c r="S30"/>
    </row>
    <row r="31" spans="1:34" x14ac:dyDescent="0.45">
      <c r="B31" s="12" t="s">
        <v>437</v>
      </c>
      <c r="C31" s="189"/>
      <c r="D31" s="189"/>
      <c r="E31" s="189">
        <f>+E27+E29</f>
        <v>915</v>
      </c>
      <c r="F31" s="189">
        <f t="shared" ref="F31:H31" si="42">+F27+F29</f>
        <v>924.05000000000007</v>
      </c>
      <c r="G31" s="189">
        <f t="shared" si="42"/>
        <v>916.31100000000004</v>
      </c>
      <c r="H31" s="189">
        <f t="shared" si="42"/>
        <v>901.20672000000013</v>
      </c>
      <c r="S31"/>
    </row>
    <row r="32" spans="1:34" x14ac:dyDescent="0.45">
      <c r="B32" s="12"/>
      <c r="C32" s="197"/>
      <c r="D32" s="197"/>
      <c r="E32" s="197"/>
      <c r="F32" s="197"/>
      <c r="G32" s="197"/>
      <c r="H32" s="197"/>
      <c r="S32"/>
    </row>
    <row r="33" spans="1:19" x14ac:dyDescent="0.45">
      <c r="B33" s="201" t="s">
        <v>438</v>
      </c>
      <c r="E33" s="202">
        <v>-505</v>
      </c>
      <c r="F33" s="202">
        <f>+-F31*F34</f>
        <v>-509.99480874316941</v>
      </c>
      <c r="G33" s="202">
        <f t="shared" ref="G33:H33" si="43">+-G31*G34</f>
        <v>-505.72355737704913</v>
      </c>
      <c r="H33" s="202">
        <f t="shared" si="43"/>
        <v>-497.38731540983611</v>
      </c>
      <c r="S33"/>
    </row>
    <row r="34" spans="1:19" x14ac:dyDescent="0.45">
      <c r="B34" s="140" t="s">
        <v>441</v>
      </c>
      <c r="D34" s="100"/>
      <c r="E34" s="203">
        <f>+-E33/E31</f>
        <v>0.55191256830601088</v>
      </c>
      <c r="F34" s="205">
        <f>+E34</f>
        <v>0.55191256830601088</v>
      </c>
      <c r="G34" s="205">
        <f t="shared" ref="G34:H34" si="44">+F34</f>
        <v>0.55191256830601088</v>
      </c>
      <c r="H34" s="205">
        <f t="shared" si="44"/>
        <v>0.55191256830601088</v>
      </c>
      <c r="S34"/>
    </row>
    <row r="35" spans="1:19" x14ac:dyDescent="0.45">
      <c r="B35" t="s">
        <v>439</v>
      </c>
      <c r="D35" s="100"/>
      <c r="E35" s="202">
        <v>-65</v>
      </c>
      <c r="F35" s="202">
        <f>+-F31*F36</f>
        <v>-65.642896174863395</v>
      </c>
      <c r="G35" s="202">
        <f t="shared" ref="G35:H35" si="45">+-G31*G36</f>
        <v>-65.093131147540987</v>
      </c>
      <c r="H35" s="202">
        <f t="shared" si="45"/>
        <v>-64.020149508196724</v>
      </c>
      <c r="S35"/>
    </row>
    <row r="36" spans="1:19" x14ac:dyDescent="0.45">
      <c r="B36" s="140" t="s">
        <v>441</v>
      </c>
      <c r="D36" s="100"/>
      <c r="E36" s="203">
        <f>+-E35/E31</f>
        <v>7.1038251366120214E-2</v>
      </c>
      <c r="F36" s="205">
        <f>+E36</f>
        <v>7.1038251366120214E-2</v>
      </c>
      <c r="G36" s="205">
        <f t="shared" ref="G36:H36" si="46">+F36</f>
        <v>7.1038251366120214E-2</v>
      </c>
      <c r="H36" s="205">
        <f t="shared" si="46"/>
        <v>7.1038251366120214E-2</v>
      </c>
      <c r="S36"/>
    </row>
    <row r="37" spans="1:19" x14ac:dyDescent="0.45">
      <c r="B37" s="176" t="s">
        <v>285</v>
      </c>
      <c r="C37" s="98"/>
      <c r="D37" s="98"/>
      <c r="E37" s="198">
        <f>+E31+E33+E35</f>
        <v>345</v>
      </c>
      <c r="F37" s="198">
        <f>+F31+F33+F35</f>
        <v>348.41229508196727</v>
      </c>
      <c r="G37" s="198">
        <f>+G31+G33+G35</f>
        <v>345.49431147540992</v>
      </c>
      <c r="H37" s="198">
        <f>+H31+H33+H35</f>
        <v>339.79925508196732</v>
      </c>
      <c r="S37"/>
    </row>
    <row r="38" spans="1:19" x14ac:dyDescent="0.45">
      <c r="S38"/>
    </row>
    <row r="39" spans="1:19" ht="15" x14ac:dyDescent="0.45">
      <c r="A39" t="s">
        <v>443</v>
      </c>
      <c r="B39" s="10" t="s">
        <v>442</v>
      </c>
      <c r="C39" s="11"/>
      <c r="D39" s="11"/>
      <c r="E39" s="11"/>
      <c r="F39" s="11"/>
      <c r="G39" s="11"/>
      <c r="H39" s="11"/>
      <c r="S39"/>
    </row>
    <row r="40" spans="1:19" x14ac:dyDescent="0.45">
      <c r="C40" s="13">
        <v>2024</v>
      </c>
      <c r="D40" s="13">
        <v>2025</v>
      </c>
      <c r="E40" s="183">
        <v>2026</v>
      </c>
      <c r="F40" s="183">
        <v>2027</v>
      </c>
      <c r="G40" s="183">
        <v>2028</v>
      </c>
      <c r="H40" s="183">
        <v>2029</v>
      </c>
      <c r="S40"/>
    </row>
    <row r="41" spans="1:19" x14ac:dyDescent="0.45">
      <c r="B41" s="12" t="s">
        <v>437</v>
      </c>
      <c r="C41" s="189"/>
      <c r="D41" s="189"/>
      <c r="E41" s="189">
        <f>+E12+E31</f>
        <v>1318.9460306415556</v>
      </c>
      <c r="F41" s="189">
        <f>+F12+F31</f>
        <v>1572.2953127600151</v>
      </c>
      <c r="G41" s="189">
        <f>+G12+G31</f>
        <v>2087.3212010496659</v>
      </c>
      <c r="H41" s="189">
        <f>+H12+H31</f>
        <v>3065.0119924518726</v>
      </c>
      <c r="S41"/>
    </row>
    <row r="42" spans="1:19" x14ac:dyDescent="0.45">
      <c r="B42" s="12"/>
      <c r="C42" s="197"/>
      <c r="D42" s="197"/>
      <c r="E42" s="197"/>
      <c r="F42" s="197"/>
      <c r="G42" s="197"/>
      <c r="H42" s="197"/>
      <c r="S42"/>
    </row>
    <row r="43" spans="1:19" x14ac:dyDescent="0.45">
      <c r="B43" s="201" t="s">
        <v>438</v>
      </c>
      <c r="C43" s="201"/>
      <c r="D43" s="201"/>
      <c r="E43" s="202">
        <f>+E21+E33</f>
        <v>-905.27498490507878</v>
      </c>
      <c r="F43" s="202">
        <f>+F21+F33</f>
        <v>-1056.0241420533407</v>
      </c>
      <c r="G43" s="202">
        <f>+G21+G33</f>
        <v>-1444.8432353953251</v>
      </c>
      <c r="H43" s="202">
        <f>+H21+H33</f>
        <v>-2145.754254780456</v>
      </c>
      <c r="S43"/>
    </row>
    <row r="44" spans="1:19" x14ac:dyDescent="0.45">
      <c r="B44" s="201" t="s">
        <v>439</v>
      </c>
      <c r="C44" s="201"/>
      <c r="D44" s="201"/>
      <c r="E44" s="202">
        <f>+E35</f>
        <v>-65</v>
      </c>
      <c r="F44" s="202">
        <f>+F35</f>
        <v>-65.642896174863395</v>
      </c>
      <c r="G44" s="202">
        <f>+G35</f>
        <v>-65.093131147540987</v>
      </c>
      <c r="H44" s="202">
        <f>+H35</f>
        <v>-64.020149508196724</v>
      </c>
      <c r="S44"/>
    </row>
    <row r="45" spans="1:19" x14ac:dyDescent="0.45">
      <c r="B45" s="176" t="s">
        <v>285</v>
      </c>
      <c r="C45" s="98"/>
      <c r="D45" s="98"/>
      <c r="E45" s="198">
        <f>+E41+E43+E44</f>
        <v>348.6710457364768</v>
      </c>
      <c r="F45" s="198">
        <f>+F41+F43+F44</f>
        <v>450.62827453181103</v>
      </c>
      <c r="G45" s="198">
        <f>+G41+G43+G44</f>
        <v>577.38483450679973</v>
      </c>
      <c r="H45" s="198">
        <f>+H41+H43+H44</f>
        <v>855.23758816321993</v>
      </c>
      <c r="S45"/>
    </row>
    <row r="46" spans="1:19" x14ac:dyDescent="0.45">
      <c r="S46"/>
    </row>
    <row r="47" spans="1:19" x14ac:dyDescent="0.45">
      <c r="S47"/>
    </row>
    <row r="48" spans="1:19" x14ac:dyDescent="0.45">
      <c r="S48"/>
    </row>
    <row r="49" spans="19:19" x14ac:dyDescent="0.45">
      <c r="S49"/>
    </row>
    <row r="50" spans="19:19" x14ac:dyDescent="0.45">
      <c r="S50"/>
    </row>
    <row r="51" spans="19:19" x14ac:dyDescent="0.45">
      <c r="S51"/>
    </row>
    <row r="52" spans="19:19" x14ac:dyDescent="0.45">
      <c r="S52"/>
    </row>
    <row r="53" spans="19:19" x14ac:dyDescent="0.45">
      <c r="S53"/>
    </row>
    <row r="54" spans="19:19" x14ac:dyDescent="0.45">
      <c r="S54"/>
    </row>
    <row r="55" spans="19:19" x14ac:dyDescent="0.45">
      <c r="S55"/>
    </row>
    <row r="56" spans="19:19" x14ac:dyDescent="0.45">
      <c r="S56"/>
    </row>
    <row r="57" spans="19:19" x14ac:dyDescent="0.45">
      <c r="S57"/>
    </row>
    <row r="58" spans="19:19" x14ac:dyDescent="0.45">
      <c r="S58"/>
    </row>
    <row r="59" spans="19:19" x14ac:dyDescent="0.45">
      <c r="S59"/>
    </row>
    <row r="60" spans="19:19" x14ac:dyDescent="0.45">
      <c r="S60"/>
    </row>
    <row r="61" spans="19:19" x14ac:dyDescent="0.45">
      <c r="S61"/>
    </row>
    <row r="62" spans="19:19" x14ac:dyDescent="0.45">
      <c r="S62"/>
    </row>
    <row r="63" spans="19:19" x14ac:dyDescent="0.45">
      <c r="S63"/>
    </row>
    <row r="64" spans="19:19" x14ac:dyDescent="0.45">
      <c r="S64"/>
    </row>
    <row r="65" spans="19:19" x14ac:dyDescent="0.45">
      <c r="S65"/>
    </row>
    <row r="66" spans="19:19" x14ac:dyDescent="0.45">
      <c r="S66"/>
    </row>
    <row r="67" spans="19:19" x14ac:dyDescent="0.45">
      <c r="S67"/>
    </row>
    <row r="68" spans="19:19" x14ac:dyDescent="0.45">
      <c r="S68"/>
    </row>
    <row r="69" spans="19:19" x14ac:dyDescent="0.45">
      <c r="S69"/>
    </row>
    <row r="70" spans="19:19" x14ac:dyDescent="0.45">
      <c r="S70"/>
    </row>
    <row r="71" spans="19:19" x14ac:dyDescent="0.45">
      <c r="S71"/>
    </row>
    <row r="72" spans="19:19" x14ac:dyDescent="0.45">
      <c r="S72"/>
    </row>
    <row r="73" spans="19:19" x14ac:dyDescent="0.45">
      <c r="S73"/>
    </row>
    <row r="74" spans="19:19" x14ac:dyDescent="0.45">
      <c r="S74"/>
    </row>
    <row r="75" spans="19:19" x14ac:dyDescent="0.45">
      <c r="S75"/>
    </row>
    <row r="76" spans="19:19" x14ac:dyDescent="0.45">
      <c r="S76"/>
    </row>
    <row r="77" spans="19:19" x14ac:dyDescent="0.45">
      <c r="S77"/>
    </row>
    <row r="78" spans="19:19" x14ac:dyDescent="0.45">
      <c r="S78"/>
    </row>
    <row r="79" spans="19:19" x14ac:dyDescent="0.45">
      <c r="S79"/>
    </row>
    <row r="80" spans="19:19" x14ac:dyDescent="0.45">
      <c r="S80"/>
    </row>
    <row r="81" spans="19:19" x14ac:dyDescent="0.45">
      <c r="S81"/>
    </row>
    <row r="82" spans="19:19" x14ac:dyDescent="0.45">
      <c r="S82"/>
    </row>
    <row r="83" spans="19:19" x14ac:dyDescent="0.45">
      <c r="S83"/>
    </row>
    <row r="84" spans="19:19" x14ac:dyDescent="0.45">
      <c r="S84"/>
    </row>
    <row r="85" spans="19:19" x14ac:dyDescent="0.45">
      <c r="S85"/>
    </row>
    <row r="86" spans="19:19" x14ac:dyDescent="0.45">
      <c r="S86"/>
    </row>
    <row r="87" spans="19:19" x14ac:dyDescent="0.45">
      <c r="S87"/>
    </row>
    <row r="88" spans="19:19" x14ac:dyDescent="0.45">
      <c r="S88"/>
    </row>
    <row r="89" spans="19:19" x14ac:dyDescent="0.45">
      <c r="S89"/>
    </row>
    <row r="90" spans="19:19" x14ac:dyDescent="0.45">
      <c r="S90"/>
    </row>
    <row r="91" spans="19:19" x14ac:dyDescent="0.45">
      <c r="S91"/>
    </row>
    <row r="92" spans="19:19" x14ac:dyDescent="0.45">
      <c r="S92"/>
    </row>
    <row r="93" spans="19:19" x14ac:dyDescent="0.45">
      <c r="S93"/>
    </row>
    <row r="94" spans="19:19" x14ac:dyDescent="0.45">
      <c r="S94"/>
    </row>
    <row r="95" spans="19:19" x14ac:dyDescent="0.45">
      <c r="S95"/>
    </row>
    <row r="96" spans="19:19" x14ac:dyDescent="0.45">
      <c r="S96"/>
    </row>
    <row r="97" spans="19:19" x14ac:dyDescent="0.45">
      <c r="S97"/>
    </row>
    <row r="98" spans="19:19" x14ac:dyDescent="0.45">
      <c r="S98"/>
    </row>
    <row r="99" spans="19:19" x14ac:dyDescent="0.45">
      <c r="S99"/>
    </row>
    <row r="100" spans="19:19" x14ac:dyDescent="0.45">
      <c r="S100"/>
    </row>
    <row r="101" spans="19:19" x14ac:dyDescent="0.45">
      <c r="S101"/>
    </row>
    <row r="102" spans="19:19" x14ac:dyDescent="0.45">
      <c r="S102"/>
    </row>
    <row r="103" spans="19:19" x14ac:dyDescent="0.45">
      <c r="S103"/>
    </row>
    <row r="104" spans="19:19" x14ac:dyDescent="0.45">
      <c r="S104"/>
    </row>
    <row r="105" spans="19:19" x14ac:dyDescent="0.45">
      <c r="S105"/>
    </row>
    <row r="106" spans="19:19" x14ac:dyDescent="0.45">
      <c r="S106"/>
    </row>
    <row r="107" spans="19:19" x14ac:dyDescent="0.45">
      <c r="S107"/>
    </row>
    <row r="108" spans="19:19" x14ac:dyDescent="0.45">
      <c r="S108"/>
    </row>
    <row r="109" spans="19:19" x14ac:dyDescent="0.45">
      <c r="S109"/>
    </row>
    <row r="110" spans="19:19" x14ac:dyDescent="0.45">
      <c r="S110"/>
    </row>
    <row r="111" spans="19:19" x14ac:dyDescent="0.45">
      <c r="S111"/>
    </row>
    <row r="112" spans="19:19" x14ac:dyDescent="0.45">
      <c r="S112"/>
    </row>
    <row r="113" spans="19:19" x14ac:dyDescent="0.45">
      <c r="S113"/>
    </row>
    <row r="114" spans="19:19" x14ac:dyDescent="0.45">
      <c r="S114"/>
    </row>
    <row r="115" spans="19:19" x14ac:dyDescent="0.45">
      <c r="S115"/>
    </row>
    <row r="116" spans="19:19" x14ac:dyDescent="0.45">
      <c r="S116"/>
    </row>
    <row r="117" spans="19:19" x14ac:dyDescent="0.45">
      <c r="S117"/>
    </row>
    <row r="118" spans="19:19" x14ac:dyDescent="0.45">
      <c r="S118"/>
    </row>
    <row r="119" spans="19:19" x14ac:dyDescent="0.45">
      <c r="S119"/>
    </row>
    <row r="120" spans="19:19" x14ac:dyDescent="0.45">
      <c r="S120"/>
    </row>
    <row r="121" spans="19:19" x14ac:dyDescent="0.45">
      <c r="S121"/>
    </row>
    <row r="122" spans="19:19" x14ac:dyDescent="0.45">
      <c r="S122"/>
    </row>
    <row r="123" spans="19:19" x14ac:dyDescent="0.45">
      <c r="S123"/>
    </row>
    <row r="124" spans="19:19" x14ac:dyDescent="0.45">
      <c r="S124"/>
    </row>
    <row r="125" spans="19:19" x14ac:dyDescent="0.45">
      <c r="S125"/>
    </row>
    <row r="126" spans="19:19" x14ac:dyDescent="0.45">
      <c r="S126"/>
    </row>
    <row r="127" spans="19:19" x14ac:dyDescent="0.45">
      <c r="S127"/>
    </row>
    <row r="128" spans="19:19" x14ac:dyDescent="0.45">
      <c r="S128"/>
    </row>
    <row r="129" spans="19:19" x14ac:dyDescent="0.45">
      <c r="S129"/>
    </row>
    <row r="130" spans="19:19" x14ac:dyDescent="0.45">
      <c r="S130"/>
    </row>
    <row r="131" spans="19:19" x14ac:dyDescent="0.45">
      <c r="S131"/>
    </row>
    <row r="132" spans="19:19" x14ac:dyDescent="0.45">
      <c r="S132"/>
    </row>
    <row r="133" spans="19:19" x14ac:dyDescent="0.45">
      <c r="S133"/>
    </row>
    <row r="134" spans="19:19" x14ac:dyDescent="0.45">
      <c r="S134"/>
    </row>
    <row r="135" spans="19:19" x14ac:dyDescent="0.45">
      <c r="S135"/>
    </row>
    <row r="136" spans="19:19" x14ac:dyDescent="0.45">
      <c r="S136"/>
    </row>
    <row r="137" spans="19:19" x14ac:dyDescent="0.45">
      <c r="S137"/>
    </row>
    <row r="138" spans="19:19" x14ac:dyDescent="0.45">
      <c r="S138"/>
    </row>
    <row r="139" spans="19:19" x14ac:dyDescent="0.45">
      <c r="S139"/>
    </row>
    <row r="140" spans="19:19" x14ac:dyDescent="0.45">
      <c r="S140"/>
    </row>
    <row r="141" spans="19:19" x14ac:dyDescent="0.45">
      <c r="S141"/>
    </row>
    <row r="142" spans="19:19" x14ac:dyDescent="0.45">
      <c r="S142"/>
    </row>
    <row r="143" spans="19:19" x14ac:dyDescent="0.45">
      <c r="S143"/>
    </row>
    <row r="144" spans="19:19" x14ac:dyDescent="0.45">
      <c r="S144"/>
    </row>
    <row r="145" spans="19:19" x14ac:dyDescent="0.45">
      <c r="S145"/>
    </row>
    <row r="146" spans="19:19" x14ac:dyDescent="0.45">
      <c r="S146"/>
    </row>
    <row r="147" spans="19:19" x14ac:dyDescent="0.45">
      <c r="S147"/>
    </row>
    <row r="148" spans="19:19" x14ac:dyDescent="0.45">
      <c r="S148"/>
    </row>
    <row r="149" spans="19:19" x14ac:dyDescent="0.45">
      <c r="S149"/>
    </row>
    <row r="150" spans="19:19" x14ac:dyDescent="0.45">
      <c r="S150"/>
    </row>
    <row r="151" spans="19:19" x14ac:dyDescent="0.45">
      <c r="S151"/>
    </row>
    <row r="152" spans="19:19" x14ac:dyDescent="0.45">
      <c r="S152"/>
    </row>
    <row r="153" spans="19:19" x14ac:dyDescent="0.45">
      <c r="S153"/>
    </row>
    <row r="154" spans="19:19" x14ac:dyDescent="0.45">
      <c r="S154"/>
    </row>
    <row r="155" spans="19:19" x14ac:dyDescent="0.45">
      <c r="S155"/>
    </row>
    <row r="156" spans="19:19" x14ac:dyDescent="0.45">
      <c r="S156"/>
    </row>
    <row r="157" spans="19:19" x14ac:dyDescent="0.45">
      <c r="S157"/>
    </row>
    <row r="158" spans="19:19" x14ac:dyDescent="0.45">
      <c r="S158"/>
    </row>
  </sheetData>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Z38"/>
  <sheetViews>
    <sheetView showGridLines="0" zoomScaleNormal="100" workbookViewId="0"/>
  </sheetViews>
  <sheetFormatPr defaultColWidth="8.6640625" defaultRowHeight="14.25" outlineLevelRow="1" x14ac:dyDescent="0.45"/>
  <cols>
    <col min="1" max="1" width="3" customWidth="1"/>
    <col min="2" max="2" width="34" customWidth="1"/>
    <col min="3" max="24" width="10.59765625" customWidth="1"/>
    <col min="25" max="25" width="5.265625" customWidth="1"/>
    <col min="26" max="26" width="30.59765625" customWidth="1"/>
  </cols>
  <sheetData>
    <row r="2" spans="2:26" ht="19.5" customHeight="1" x14ac:dyDescent="0.6">
      <c r="B2" s="5" t="s">
        <v>351</v>
      </c>
    </row>
    <row r="4" spans="2:26" ht="18" customHeight="1" x14ac:dyDescent="0.45">
      <c r="B4" s="4" t="s">
        <v>351</v>
      </c>
      <c r="C4" s="4"/>
      <c r="D4" s="4"/>
      <c r="E4" s="4"/>
      <c r="F4" s="4"/>
      <c r="G4" s="4"/>
      <c r="H4" s="4"/>
      <c r="I4" s="4"/>
      <c r="J4" s="4"/>
      <c r="K4" s="4"/>
      <c r="L4" s="4"/>
      <c r="M4" s="4"/>
      <c r="N4" s="4"/>
      <c r="O4" s="4"/>
      <c r="P4" s="4"/>
      <c r="Q4" s="4"/>
      <c r="R4" s="4"/>
      <c r="S4" s="4"/>
      <c r="T4" s="4"/>
      <c r="U4" s="4"/>
      <c r="V4" s="4"/>
      <c r="Z4" s="4" t="s">
        <v>413</v>
      </c>
    </row>
    <row r="5" spans="2:26" ht="18" hidden="1" customHeight="1" outlineLevel="1" x14ac:dyDescent="0.45">
      <c r="C5">
        <v>1</v>
      </c>
      <c r="D5">
        <f>+C5+1</f>
        <v>2</v>
      </c>
      <c r="E5">
        <f t="shared" ref="E5:G5" si="0">+D5+1</f>
        <v>3</v>
      </c>
      <c r="F5">
        <f t="shared" si="0"/>
        <v>4</v>
      </c>
      <c r="G5">
        <f t="shared" si="0"/>
        <v>5</v>
      </c>
      <c r="H5">
        <f t="shared" ref="H5:V5" si="1">+G5+1</f>
        <v>6</v>
      </c>
      <c r="I5">
        <f t="shared" si="1"/>
        <v>7</v>
      </c>
      <c r="J5">
        <f t="shared" si="1"/>
        <v>8</v>
      </c>
      <c r="K5">
        <f t="shared" si="1"/>
        <v>9</v>
      </c>
      <c r="L5">
        <f t="shared" si="1"/>
        <v>10</v>
      </c>
      <c r="M5">
        <f t="shared" si="1"/>
        <v>11</v>
      </c>
      <c r="N5">
        <f t="shared" si="1"/>
        <v>12</v>
      </c>
      <c r="O5">
        <f t="shared" si="1"/>
        <v>13</v>
      </c>
      <c r="P5">
        <f t="shared" si="1"/>
        <v>14</v>
      </c>
      <c r="Q5">
        <f t="shared" si="1"/>
        <v>15</v>
      </c>
      <c r="R5">
        <f t="shared" si="1"/>
        <v>16</v>
      </c>
      <c r="S5">
        <f t="shared" si="1"/>
        <v>17</v>
      </c>
      <c r="T5">
        <f t="shared" si="1"/>
        <v>18</v>
      </c>
      <c r="U5">
        <f t="shared" si="1"/>
        <v>19</v>
      </c>
      <c r="V5">
        <f t="shared" si="1"/>
        <v>20</v>
      </c>
    </row>
    <row r="6" spans="2:26" ht="18" hidden="1" customHeight="1" outlineLevel="1" x14ac:dyDescent="0.45">
      <c r="C6" s="100">
        <v>2025</v>
      </c>
      <c r="D6" s="100">
        <f>+IF(MOD(D5,4)=1,C6+1,C6)</f>
        <v>2025</v>
      </c>
      <c r="E6" s="100">
        <f t="shared" ref="E6:G6" si="2">+IF(MOD(E5,4)=1,D6+1,D6)</f>
        <v>2025</v>
      </c>
      <c r="F6" s="100">
        <f t="shared" si="2"/>
        <v>2025</v>
      </c>
      <c r="G6" s="100">
        <f t="shared" si="2"/>
        <v>2026</v>
      </c>
      <c r="H6" s="100">
        <f t="shared" ref="H6" si="3">+IF(MOD(H5,4)=1,G6+1,G6)</f>
        <v>2026</v>
      </c>
      <c r="I6" s="100">
        <f t="shared" ref="I6" si="4">+IF(MOD(I5,4)=1,H6+1,H6)</f>
        <v>2026</v>
      </c>
      <c r="J6" s="100">
        <f t="shared" ref="J6" si="5">+IF(MOD(J5,4)=1,I6+1,I6)</f>
        <v>2026</v>
      </c>
      <c r="K6" s="100">
        <f t="shared" ref="K6" si="6">+IF(MOD(K5,4)=1,J6+1,J6)</f>
        <v>2027</v>
      </c>
      <c r="L6" s="100">
        <f t="shared" ref="L6" si="7">+IF(MOD(L5,4)=1,K6+1,K6)</f>
        <v>2027</v>
      </c>
      <c r="M6" s="100">
        <f t="shared" ref="M6" si="8">+IF(MOD(M5,4)=1,L6+1,L6)</f>
        <v>2027</v>
      </c>
      <c r="N6" s="100">
        <f t="shared" ref="N6" si="9">+IF(MOD(N5,4)=1,M6+1,M6)</f>
        <v>2027</v>
      </c>
      <c r="O6" s="100">
        <f t="shared" ref="O6" si="10">+IF(MOD(O5,4)=1,N6+1,N6)</f>
        <v>2028</v>
      </c>
      <c r="P6" s="100">
        <f t="shared" ref="P6" si="11">+IF(MOD(P5,4)=1,O6+1,O6)</f>
        <v>2028</v>
      </c>
      <c r="Q6" s="100">
        <f t="shared" ref="Q6" si="12">+IF(MOD(Q5,4)=1,P6+1,P6)</f>
        <v>2028</v>
      </c>
      <c r="R6" s="100">
        <f t="shared" ref="R6" si="13">+IF(MOD(R5,4)=1,Q6+1,Q6)</f>
        <v>2028</v>
      </c>
      <c r="S6" s="100">
        <f t="shared" ref="S6" si="14">+IF(MOD(S5,4)=1,R6+1,R6)</f>
        <v>2029</v>
      </c>
      <c r="T6" s="100">
        <f t="shared" ref="T6" si="15">+IF(MOD(T5,4)=1,S6+1,S6)</f>
        <v>2029</v>
      </c>
      <c r="U6" s="100">
        <f t="shared" ref="U6" si="16">+IF(MOD(U5,4)=1,T6+1,T6)</f>
        <v>2029</v>
      </c>
      <c r="V6" s="100">
        <f t="shared" ref="V6" si="17">+IF(MOD(V5,4)=1,U6+1,U6)</f>
        <v>2029</v>
      </c>
    </row>
    <row r="7" spans="2:26" ht="15" hidden="1" customHeight="1" outlineLevel="1" x14ac:dyDescent="0.45">
      <c r="C7" s="100" t="str">
        <f>+"Q"&amp;IF(MOD(C5,4)=0,4,MOD(C5,4))</f>
        <v>Q1</v>
      </c>
      <c r="D7" s="100" t="str">
        <f>+"Q"&amp;IF(MOD(D5,4)=0,4,MOD(D5,4))</f>
        <v>Q2</v>
      </c>
      <c r="E7" s="100" t="str">
        <f t="shared" ref="E7:G7" si="18">+"Q"&amp;IF(MOD(E5,4)=0,4,MOD(E5,4))</f>
        <v>Q3</v>
      </c>
      <c r="F7" s="100" t="str">
        <f t="shared" si="18"/>
        <v>Q4</v>
      </c>
      <c r="G7" s="100" t="str">
        <f t="shared" si="18"/>
        <v>Q1</v>
      </c>
      <c r="H7" s="100" t="str">
        <f t="shared" ref="H7:V7" si="19">+"Q"&amp;IF(MOD(H5,4)=0,4,MOD(H5,4))</f>
        <v>Q2</v>
      </c>
      <c r="I7" s="100" t="str">
        <f t="shared" si="19"/>
        <v>Q3</v>
      </c>
      <c r="J7" s="100" t="str">
        <f t="shared" si="19"/>
        <v>Q4</v>
      </c>
      <c r="K7" s="100" t="str">
        <f t="shared" si="19"/>
        <v>Q1</v>
      </c>
      <c r="L7" s="100" t="str">
        <f t="shared" si="19"/>
        <v>Q2</v>
      </c>
      <c r="M7" s="100" t="str">
        <f t="shared" si="19"/>
        <v>Q3</v>
      </c>
      <c r="N7" s="100" t="str">
        <f t="shared" si="19"/>
        <v>Q4</v>
      </c>
      <c r="O7" s="100" t="str">
        <f t="shared" si="19"/>
        <v>Q1</v>
      </c>
      <c r="P7" s="100" t="str">
        <f t="shared" si="19"/>
        <v>Q2</v>
      </c>
      <c r="Q7" s="100" t="str">
        <f t="shared" si="19"/>
        <v>Q3</v>
      </c>
      <c r="R7" s="100" t="str">
        <f t="shared" si="19"/>
        <v>Q4</v>
      </c>
      <c r="S7" s="100" t="str">
        <f t="shared" si="19"/>
        <v>Q1</v>
      </c>
      <c r="T7" s="100" t="str">
        <f t="shared" si="19"/>
        <v>Q2</v>
      </c>
      <c r="U7" s="100" t="str">
        <f t="shared" si="19"/>
        <v>Q3</v>
      </c>
      <c r="V7" s="100" t="str">
        <f t="shared" si="19"/>
        <v>Q4</v>
      </c>
    </row>
    <row r="8" spans="2:26" collapsed="1" x14ac:dyDescent="0.45">
      <c r="C8" s="15" t="str">
        <f>+C7 &amp; " " &amp;C6</f>
        <v>Q1 2025</v>
      </c>
      <c r="D8" s="15" t="str">
        <f t="shared" ref="D8:G8" si="20">+D7 &amp; " " &amp;D6</f>
        <v>Q2 2025</v>
      </c>
      <c r="E8" s="15" t="str">
        <f t="shared" si="20"/>
        <v>Q3 2025</v>
      </c>
      <c r="F8" s="15" t="str">
        <f t="shared" si="20"/>
        <v>Q4 2025</v>
      </c>
      <c r="G8" s="15" t="str">
        <f t="shared" si="20"/>
        <v>Q1 2026</v>
      </c>
      <c r="H8" s="15" t="str">
        <f t="shared" ref="H8" si="21">+H7 &amp; " " &amp;H6</f>
        <v>Q2 2026</v>
      </c>
      <c r="I8" s="15" t="str">
        <f t="shared" ref="I8" si="22">+I7 &amp; " " &amp;I6</f>
        <v>Q3 2026</v>
      </c>
      <c r="J8" s="15" t="str">
        <f t="shared" ref="J8" si="23">+J7 &amp; " " &amp;J6</f>
        <v>Q4 2026</v>
      </c>
      <c r="K8" s="15" t="str">
        <f t="shared" ref="K8" si="24">+K7 &amp; " " &amp;K6</f>
        <v>Q1 2027</v>
      </c>
      <c r="L8" s="15" t="str">
        <f t="shared" ref="L8" si="25">+L7 &amp; " " &amp;L6</f>
        <v>Q2 2027</v>
      </c>
      <c r="M8" s="15" t="str">
        <f t="shared" ref="M8" si="26">+M7 &amp; " " &amp;M6</f>
        <v>Q3 2027</v>
      </c>
      <c r="N8" s="15" t="str">
        <f t="shared" ref="N8" si="27">+N7 &amp; " " &amp;N6</f>
        <v>Q4 2027</v>
      </c>
      <c r="O8" s="15" t="str">
        <f t="shared" ref="O8" si="28">+O7 &amp; " " &amp;O6</f>
        <v>Q1 2028</v>
      </c>
      <c r="P8" s="15" t="str">
        <f t="shared" ref="P8" si="29">+P7 &amp; " " &amp;P6</f>
        <v>Q2 2028</v>
      </c>
      <c r="Q8" s="15" t="str">
        <f t="shared" ref="Q8" si="30">+Q7 &amp; " " &amp;Q6</f>
        <v>Q3 2028</v>
      </c>
      <c r="R8" s="15" t="str">
        <f t="shared" ref="R8" si="31">+R7 &amp; " " &amp;R6</f>
        <v>Q4 2028</v>
      </c>
      <c r="S8" s="15" t="str">
        <f t="shared" ref="S8" si="32">+S7 &amp; " " &amp;S6</f>
        <v>Q1 2029</v>
      </c>
      <c r="T8" s="15" t="str">
        <f t="shared" ref="T8" si="33">+T7 &amp; " " &amp;T6</f>
        <v>Q2 2029</v>
      </c>
      <c r="U8" s="15" t="str">
        <f t="shared" ref="U8" si="34">+U7 &amp; " " &amp;U6</f>
        <v>Q3 2029</v>
      </c>
      <c r="V8" s="15" t="str">
        <f t="shared" ref="V8" si="35">+V7 &amp; " " &amp;V6</f>
        <v>Q4 2029</v>
      </c>
    </row>
    <row r="9" spans="2:26" x14ac:dyDescent="0.45">
      <c r="B9" t="s">
        <v>401</v>
      </c>
    </row>
    <row r="10" spans="2:26" x14ac:dyDescent="0.45">
      <c r="B10" s="139" t="s">
        <v>326</v>
      </c>
      <c r="C10" s="124">
        <f>+SUMIFS('Monthly Metrics'!$C17:$BJ17,'Monthly Metrics'!$C$7:$BJ$7,'Revenue Build'!C$7,'Monthly Metrics'!$C$6:$BJ$6,'Revenue Build'!C$6)</f>
        <v>229.59999999999997</v>
      </c>
      <c r="D10" s="124">
        <f>+SUMIFS('Monthly Metrics'!$C17:$BJ17,'Monthly Metrics'!$C$7:$BJ$7,'Revenue Build'!D$7,'Monthly Metrics'!$C$6:$BJ$6,'Revenue Build'!D$6)</f>
        <v>163</v>
      </c>
      <c r="E10" s="124">
        <f>+SUMIFS('Monthly Metrics'!$C17:$BJ17,'Monthly Metrics'!$C$7:$BJ$7,'Revenue Build'!E$7,'Monthly Metrics'!$C$6:$BJ$6,'Revenue Build'!E$6)</f>
        <v>130.39999999999998</v>
      </c>
      <c r="F10" s="124">
        <f>+SUMIFS('Monthly Metrics'!$C17:$BJ17,'Monthly Metrics'!$C$7:$BJ$7,'Revenue Build'!F$7,'Monthly Metrics'!$C$6:$BJ$6,'Revenue Build'!F$6)</f>
        <v>205</v>
      </c>
      <c r="G10" s="124">
        <f>+SUMIFS('Monthly Metrics'!$C17:$BJ17,'Monthly Metrics'!$C$7:$BJ$7,'Revenue Build'!G$7,'Monthly Metrics'!$C$6:$BJ$6,'Revenue Build'!G$6)</f>
        <v>175.70000000000002</v>
      </c>
      <c r="H10" s="124">
        <f>+SUMIFS('Monthly Metrics'!$C17:$BJ17,'Monthly Metrics'!$C$7:$BJ$7,'Revenue Build'!H$7,'Monthly Metrics'!$C$6:$BJ$6,'Revenue Build'!H$6)</f>
        <v>113.5</v>
      </c>
      <c r="I10" s="124">
        <f>+SUMIFS('Monthly Metrics'!$C17:$BJ17,'Monthly Metrics'!$C$7:$BJ$7,'Revenue Build'!I$7,'Monthly Metrics'!$C$6:$BJ$6,'Revenue Build'!I$6)</f>
        <v>159.57757565905456</v>
      </c>
      <c r="J10" s="124">
        <f>+SUMIFS('Monthly Metrics'!$C17:$BJ17,'Monthly Metrics'!$C$7:$BJ$7,'Revenue Build'!J$7,'Monthly Metrics'!$C$6:$BJ$6,'Revenue Build'!J$6)</f>
        <v>176.60161777148582</v>
      </c>
      <c r="K10" s="124">
        <f>+SUMIFS('Monthly Metrics'!$C17:$BJ17,'Monthly Metrics'!$C$7:$BJ$7,'Revenue Build'!K$7,'Monthly Metrics'!$C$6:$BJ$6,'Revenue Build'!K$6)</f>
        <v>213.31566406699608</v>
      </c>
      <c r="L10" s="124">
        <f>+SUMIFS('Monthly Metrics'!$C17:$BJ17,'Monthly Metrics'!$C$7:$BJ$7,'Revenue Build'!L$7,'Monthly Metrics'!$C$6:$BJ$6,'Revenue Build'!L$6)</f>
        <v>268.54851022768923</v>
      </c>
      <c r="M10" s="124">
        <f>+SUMIFS('Monthly Metrics'!$C17:$BJ17,'Monthly Metrics'!$C$7:$BJ$7,'Revenue Build'!M$7,'Monthly Metrics'!$C$6:$BJ$6,'Revenue Build'!M$6)</f>
        <v>338.08254382510381</v>
      </c>
      <c r="N10" s="124">
        <f>+SUMIFS('Monthly Metrics'!$C17:$BJ17,'Monthly Metrics'!$C$7:$BJ$7,'Revenue Build'!N$7,'Monthly Metrics'!$C$6:$BJ$6,'Revenue Build'!N$6)</f>
        <v>425.62070570543835</v>
      </c>
      <c r="O10" s="124">
        <f>+SUMIFS('Monthly Metrics'!$C17:$BJ17,'Monthly Metrics'!$C$7:$BJ$7,'Revenue Build'!O$7,'Monthly Metrics'!$C$6:$BJ$6,'Revenue Build'!O$6)</f>
        <v>535.82472219834301</v>
      </c>
      <c r="P10" s="124">
        <f>+SUMIFS('Monthly Metrics'!$C17:$BJ17,'Monthly Metrics'!$C$7:$BJ$7,'Revenue Build'!P$7,'Monthly Metrics'!$C$6:$BJ$6,'Revenue Build'!P$6)</f>
        <v>674.5633590430441</v>
      </c>
      <c r="Q10" s="124">
        <f>+SUMIFS('Monthly Metrics'!$C17:$BJ17,'Monthly Metrics'!$C$7:$BJ$7,'Revenue Build'!Q$7,'Monthly Metrics'!$C$6:$BJ$6,'Revenue Build'!Q$6)</f>
        <v>849.22495456452089</v>
      </c>
      <c r="R10" s="124">
        <f>+SUMIFS('Monthly Metrics'!$C17:$BJ17,'Monthly Metrics'!$C$7:$BJ$7,'Revenue Build'!R$7,'Monthly Metrics'!$C$6:$BJ$6,'Revenue Build'!R$6)</f>
        <v>1069.1108756310223</v>
      </c>
      <c r="S10" s="124">
        <f>+SUMIFS('Monthly Metrics'!$C17:$BJ17,'Monthly Metrics'!$C$7:$BJ$7,'Revenue Build'!S$7,'Monthly Metrics'!$C$6:$BJ$6,'Revenue Build'!S$6)</f>
        <v>1345.9308493574074</v>
      </c>
      <c r="T10" s="124">
        <f>+SUMIFS('Monthly Metrics'!$C17:$BJ17,'Monthly Metrics'!$C$7:$BJ$7,'Revenue Build'!T$7,'Monthly Metrics'!$C$6:$BJ$6,'Revenue Build'!T$6)</f>
        <v>1694.4265487737473</v>
      </c>
      <c r="U10" s="124">
        <f>+SUMIFS('Monthly Metrics'!$C17:$BJ17,'Monthly Metrics'!$C$7:$BJ$7,'Revenue Build'!U$7,'Monthly Metrics'!$C$6:$BJ$6,'Revenue Build'!U$6)</f>
        <v>2133.156640669959</v>
      </c>
      <c r="V10" s="124">
        <f>+SUMIFS('Monthly Metrics'!$C17:$BJ17,'Monthly Metrics'!$C$7:$BJ$7,'Revenue Build'!V$7,'Monthly Metrics'!$C$6:$BJ$6,'Revenue Build'!V$6)</f>
        <v>2685.4851022768903</v>
      </c>
    </row>
    <row r="11" spans="2:26" x14ac:dyDescent="0.45">
      <c r="B11" s="139" t="s">
        <v>322</v>
      </c>
      <c r="C11" s="124">
        <f>+SUMIFS('Monthly Metrics'!$C18:$BJ18,'Monthly Metrics'!$C$7:$BJ$7,'Revenue Build'!C$7,'Monthly Metrics'!$C$6:$BJ$6,'Revenue Build'!C$6)</f>
        <v>0</v>
      </c>
      <c r="D11" s="124">
        <f>+SUMIFS('Monthly Metrics'!$C18:$BJ18,'Monthly Metrics'!$C$7:$BJ$7,'Revenue Build'!D$7,'Monthly Metrics'!$C$6:$BJ$6,'Revenue Build'!D$6)</f>
        <v>0</v>
      </c>
      <c r="E11" s="124">
        <f>+SUMIFS('Monthly Metrics'!$C18:$BJ18,'Monthly Metrics'!$C$7:$BJ$7,'Revenue Build'!E$7,'Monthly Metrics'!$C$6:$BJ$6,'Revenue Build'!E$6)</f>
        <v>0</v>
      </c>
      <c r="F11" s="124">
        <f>+SUMIFS('Monthly Metrics'!$C18:$BJ18,'Monthly Metrics'!$C$7:$BJ$7,'Revenue Build'!F$7,'Monthly Metrics'!$C$6:$BJ$6,'Revenue Build'!F$6)</f>
        <v>9</v>
      </c>
      <c r="G11" s="124">
        <f>+SUMIFS('Monthly Metrics'!$C18:$BJ18,'Monthly Metrics'!$C$7:$BJ$7,'Revenue Build'!G$7,'Monthly Metrics'!$C$6:$BJ$6,'Revenue Build'!G$6)</f>
        <v>11.600000000000001</v>
      </c>
      <c r="H11" s="124">
        <f>+SUMIFS('Monthly Metrics'!$C18:$BJ18,'Monthly Metrics'!$C$7:$BJ$7,'Revenue Build'!H$7,'Monthly Metrics'!$C$6:$BJ$6,'Revenue Build'!H$6)</f>
        <v>8.8000000000000007</v>
      </c>
      <c r="I11" s="124">
        <f>+SUMIFS('Monthly Metrics'!$C18:$BJ18,'Monthly Metrics'!$C$7:$BJ$7,'Revenue Build'!I$7,'Monthly Metrics'!$C$6:$BJ$6,'Revenue Build'!I$6)</f>
        <v>7.2816797362466712</v>
      </c>
      <c r="J11" s="124">
        <f>+SUMIFS('Monthly Metrics'!$C18:$BJ18,'Monthly Metrics'!$C$7:$BJ$7,'Revenue Build'!J$7,'Monthly Metrics'!$C$6:$BJ$6,'Revenue Build'!J$6)</f>
        <v>8.0585033091523961</v>
      </c>
      <c r="K11" s="124">
        <f>+SUMIFS('Monthly Metrics'!$C18:$BJ18,'Monthly Metrics'!$C$7:$BJ$7,'Revenue Build'!K$7,'Monthly Metrics'!$C$6:$BJ$6,'Revenue Build'!K$6)</f>
        <v>9.7338008930486701</v>
      </c>
      <c r="L11" s="124">
        <f>+SUMIFS('Monthly Metrics'!$C18:$BJ18,'Monthly Metrics'!$C$7:$BJ$7,'Revenue Build'!L$7,'Monthly Metrics'!$C$6:$BJ$6,'Revenue Build'!L$6)</f>
        <v>12.254129297603729</v>
      </c>
      <c r="M11" s="124">
        <f>+SUMIFS('Monthly Metrics'!$C18:$BJ18,'Monthly Metrics'!$C$7:$BJ$7,'Revenue Build'!M$7,'Monthly Metrics'!$C$6:$BJ$6,'Revenue Build'!M$6)</f>
        <v>15.427034772164742</v>
      </c>
      <c r="N11" s="124">
        <f>+SUMIFS('Monthly Metrics'!$C18:$BJ18,'Monthly Metrics'!$C$7:$BJ$7,'Revenue Build'!N$7,'Monthly Metrics'!$C$6:$BJ$6,'Revenue Build'!N$6)</f>
        <v>19.421486103310436</v>
      </c>
      <c r="O11" s="124">
        <f>+SUMIFS('Monthly Metrics'!$C18:$BJ18,'Monthly Metrics'!$C$7:$BJ$7,'Revenue Build'!O$7,'Monthly Metrics'!$C$6:$BJ$6,'Revenue Build'!O$6)</f>
        <v>24.450202390264785</v>
      </c>
      <c r="P11" s="124">
        <f>+SUMIFS('Monthly Metrics'!$C18:$BJ18,'Monthly Metrics'!$C$7:$BJ$7,'Revenue Build'!P$7,'Monthly Metrics'!$C$6:$BJ$6,'Revenue Build'!P$6)</f>
        <v>30.780981112614825</v>
      </c>
      <c r="Q11" s="124">
        <f>+SUMIFS('Monthly Metrics'!$C18:$BJ18,'Monthly Metrics'!$C$7:$BJ$7,'Revenue Build'!Q$7,'Monthly Metrics'!$C$6:$BJ$6,'Revenue Build'!Q$6)</f>
        <v>38.750959322627104</v>
      </c>
      <c r="R11" s="124">
        <f>+SUMIFS('Monthly Metrics'!$C18:$BJ18,'Monthly Metrics'!$C$7:$BJ$7,'Revenue Build'!R$7,'Monthly Metrics'!$C$6:$BJ$6,'Revenue Build'!R$6)</f>
        <v>48.784567422657354</v>
      </c>
      <c r="S11" s="124">
        <f>+SUMIFS('Monthly Metrics'!$C18:$BJ18,'Monthly Metrics'!$C$7:$BJ$7,'Revenue Build'!S$7,'Monthly Metrics'!$C$6:$BJ$6,'Revenue Build'!S$6)</f>
        <v>61.416131631769218</v>
      </c>
      <c r="T11" s="124">
        <f>+SUMIFS('Monthly Metrics'!$C18:$BJ18,'Monthly Metrics'!$C$7:$BJ$7,'Revenue Build'!T$7,'Monthly Metrics'!$C$6:$BJ$6,'Revenue Build'!T$6)</f>
        <v>77.318328805329855</v>
      </c>
      <c r="U11" s="124">
        <f>+SUMIFS('Monthly Metrics'!$C18:$BJ18,'Monthly Metrics'!$C$7:$BJ$7,'Revenue Build'!U$7,'Monthly Metrics'!$C$6:$BJ$6,'Revenue Build'!U$6)</f>
        <v>97.338008930486694</v>
      </c>
      <c r="V11" s="124">
        <f>+SUMIFS('Monthly Metrics'!$C18:$BJ18,'Monthly Metrics'!$C$7:$BJ$7,'Revenue Build'!V$7,'Monthly Metrics'!$C$6:$BJ$6,'Revenue Build'!V$6)</f>
        <v>122.54129297603731</v>
      </c>
    </row>
    <row r="12" spans="2:26" x14ac:dyDescent="0.45">
      <c r="B12" s="139" t="s">
        <v>347</v>
      </c>
      <c r="C12" s="124">
        <f>+SUMIFS('Monthly Metrics'!$C19:$BJ19,'Monthly Metrics'!$C$7:$BJ$7,'Revenue Build'!C$7,'Monthly Metrics'!$C$6:$BJ$6,'Revenue Build'!C$6)</f>
        <v>22.4</v>
      </c>
      <c r="D12" s="124">
        <f>+SUMIFS('Monthly Metrics'!$C19:$BJ19,'Monthly Metrics'!$C$7:$BJ$7,'Revenue Build'!D$7,'Monthly Metrics'!$C$6:$BJ$6,'Revenue Build'!D$6)</f>
        <v>16.7</v>
      </c>
      <c r="E12" s="124">
        <f>+SUMIFS('Monthly Metrics'!$C19:$BJ19,'Monthly Metrics'!$C$7:$BJ$7,'Revenue Build'!E$7,'Monthly Metrics'!$C$6:$BJ$6,'Revenue Build'!E$6)</f>
        <v>11.8</v>
      </c>
      <c r="F12" s="124">
        <f>+SUMIFS('Monthly Metrics'!$C19:$BJ19,'Monthly Metrics'!$C$7:$BJ$7,'Revenue Build'!F$7,'Monthly Metrics'!$C$6:$BJ$6,'Revenue Build'!F$6)</f>
        <v>8.3000000000000007</v>
      </c>
      <c r="G12" s="124">
        <f>+SUMIFS('Monthly Metrics'!$C19:$BJ19,'Monthly Metrics'!$C$7:$BJ$7,'Revenue Build'!G$7,'Monthly Metrics'!$C$6:$BJ$6,'Revenue Build'!G$6)</f>
        <v>9.5</v>
      </c>
      <c r="H12" s="124">
        <f>+SUMIFS('Monthly Metrics'!$C19:$BJ19,'Monthly Metrics'!$C$7:$BJ$7,'Revenue Build'!H$7,'Monthly Metrics'!$C$6:$BJ$6,'Revenue Build'!H$6)</f>
        <v>8.5</v>
      </c>
      <c r="I12" s="124">
        <f>+SUMIFS('Monthly Metrics'!$C19:$BJ19,'Monthly Metrics'!$C$7:$BJ$7,'Revenue Build'!I$7,'Monthly Metrics'!$C$6:$BJ$6,'Revenue Build'!I$6)</f>
        <v>10.902192376900551</v>
      </c>
      <c r="J12" s="124">
        <f>+SUMIFS('Monthly Metrics'!$C19:$BJ19,'Monthly Metrics'!$C$7:$BJ$7,'Revenue Build'!J$7,'Monthly Metrics'!$C$6:$BJ$6,'Revenue Build'!J$6)</f>
        <v>12.065259188610515</v>
      </c>
      <c r="K12" s="124">
        <f>+SUMIFS('Monthly Metrics'!$C19:$BJ19,'Monthly Metrics'!$C$7:$BJ$7,'Revenue Build'!K$7,'Monthly Metrics'!$C$6:$BJ$6,'Revenue Build'!K$6)</f>
        <v>14.573528874968382</v>
      </c>
      <c r="L12" s="124">
        <f>+SUMIFS('Monthly Metrics'!$C19:$BJ19,'Monthly Metrics'!$C$7:$BJ$7,'Revenue Build'!L$7,'Monthly Metrics'!$C$6:$BJ$6,'Revenue Build'!L$6)</f>
        <v>18.346985840213755</v>
      </c>
      <c r="M12" s="124">
        <f>+SUMIFS('Monthly Metrics'!$C19:$BJ19,'Monthly Metrics'!$C$7:$BJ$7,'Revenue Build'!M$7,'Monthly Metrics'!$C$6:$BJ$6,'Revenue Build'!M$6)</f>
        <v>23.09748670407285</v>
      </c>
      <c r="N12" s="124">
        <f>+SUMIFS('Monthly Metrics'!$C19:$BJ19,'Monthly Metrics'!$C$7:$BJ$7,'Revenue Build'!N$7,'Monthly Metrics'!$C$6:$BJ$6,'Revenue Build'!N$6)</f>
        <v>29.078012960335215</v>
      </c>
      <c r="O12" s="124">
        <f>+SUMIFS('Monthly Metrics'!$C19:$BJ19,'Monthly Metrics'!$C$7:$BJ$7,'Revenue Build'!O$7,'Monthly Metrics'!$C$6:$BJ$6,'Revenue Build'!O$6)</f>
        <v>36.607049440246136</v>
      </c>
      <c r="P12" s="124">
        <f>+SUMIFS('Monthly Metrics'!$C19:$BJ19,'Monthly Metrics'!$C$7:$BJ$7,'Revenue Build'!P$7,'Monthly Metrics'!$C$6:$BJ$6,'Revenue Build'!P$6)</f>
        <v>46.085544791131305</v>
      </c>
      <c r="Q12" s="124">
        <f>+SUMIFS('Monthly Metrics'!$C19:$BJ19,'Monthly Metrics'!$C$7:$BJ$7,'Revenue Build'!Q$7,'Monthly Metrics'!$C$6:$BJ$6,'Revenue Build'!Q$6)</f>
        <v>58.018263453933514</v>
      </c>
      <c r="R12" s="124">
        <f>+SUMIFS('Monthly Metrics'!$C19:$BJ19,'Monthly Metrics'!$C$7:$BJ$7,'Revenue Build'!R$7,'Monthly Metrics'!$C$6:$BJ$6,'Revenue Build'!R$6)</f>
        <v>73.040666210325725</v>
      </c>
      <c r="S12" s="124">
        <f>+SUMIFS('Monthly Metrics'!$C19:$BJ19,'Monthly Metrics'!$C$7:$BJ$7,'Revenue Build'!S$7,'Monthly Metrics'!$C$6:$BJ$6,'Revenue Build'!S$6)</f>
        <v>91.952750786554617</v>
      </c>
      <c r="T12" s="124">
        <f>+SUMIFS('Monthly Metrics'!$C19:$BJ19,'Monthly Metrics'!$C$7:$BJ$7,'Revenue Build'!T$7,'Monthly Metrics'!$C$6:$BJ$6,'Revenue Build'!T$6)</f>
        <v>115.76165464956969</v>
      </c>
      <c r="U12" s="124">
        <f>+SUMIFS('Monthly Metrics'!$C19:$BJ19,'Monthly Metrics'!$C$7:$BJ$7,'Revenue Build'!U$7,'Monthly Metrics'!$C$6:$BJ$6,'Revenue Build'!U$6)</f>
        <v>145.73528874968369</v>
      </c>
      <c r="V12" s="124">
        <f>+SUMIFS('Monthly Metrics'!$C19:$BJ19,'Monthly Metrics'!$C$7:$BJ$7,'Revenue Build'!V$7,'Monthly Metrics'!$C$6:$BJ$6,'Revenue Build'!V$6)</f>
        <v>183.46985840213739</v>
      </c>
    </row>
    <row r="13" spans="2:26" s="142" customFormat="1" x14ac:dyDescent="0.45">
      <c r="B13" s="144" t="s">
        <v>399</v>
      </c>
      <c r="C13" s="143">
        <f>SUM(C10:C12)</f>
        <v>251.99999999999997</v>
      </c>
      <c r="D13" s="143">
        <f t="shared" ref="D13:V13" si="36">SUM(D10:D12)</f>
        <v>179.7</v>
      </c>
      <c r="E13" s="143">
        <f t="shared" si="36"/>
        <v>142.19999999999999</v>
      </c>
      <c r="F13" s="143">
        <f t="shared" si="36"/>
        <v>222.3</v>
      </c>
      <c r="G13" s="143">
        <f t="shared" si="36"/>
        <v>196.8</v>
      </c>
      <c r="H13" s="143">
        <f t="shared" si="36"/>
        <v>130.80000000000001</v>
      </c>
      <c r="I13" s="143">
        <f t="shared" si="36"/>
        <v>177.76144777220179</v>
      </c>
      <c r="J13" s="143">
        <f t="shared" si="36"/>
        <v>196.72538026924875</v>
      </c>
      <c r="K13" s="143">
        <f t="shared" si="36"/>
        <v>237.62299383501315</v>
      </c>
      <c r="L13" s="143">
        <f t="shared" si="36"/>
        <v>299.14962536550672</v>
      </c>
      <c r="M13" s="143">
        <f t="shared" si="36"/>
        <v>376.60706530134144</v>
      </c>
      <c r="N13" s="143">
        <f t="shared" si="36"/>
        <v>474.12020476908401</v>
      </c>
      <c r="O13" s="143">
        <f t="shared" si="36"/>
        <v>596.88197402885385</v>
      </c>
      <c r="P13" s="143">
        <f t="shared" si="36"/>
        <v>751.42988494679025</v>
      </c>
      <c r="Q13" s="143">
        <f t="shared" si="36"/>
        <v>945.99417734108147</v>
      </c>
      <c r="R13" s="143">
        <f t="shared" si="36"/>
        <v>1190.9361092640054</v>
      </c>
      <c r="S13" s="143">
        <f t="shared" si="36"/>
        <v>1499.2997317757313</v>
      </c>
      <c r="T13" s="143">
        <f t="shared" si="36"/>
        <v>1887.5065322286468</v>
      </c>
      <c r="U13" s="143">
        <f t="shared" si="36"/>
        <v>2376.2299383501295</v>
      </c>
      <c r="V13" s="143">
        <f t="shared" si="36"/>
        <v>2991.4962536550652</v>
      </c>
      <c r="W13"/>
      <c r="X13"/>
    </row>
    <row r="14" spans="2:26" x14ac:dyDescent="0.45">
      <c r="B14" s="140" t="s">
        <v>398</v>
      </c>
      <c r="C14" s="124"/>
      <c r="G14" s="123">
        <f>+G13/C13-1</f>
        <v>-0.21904761904761894</v>
      </c>
      <c r="H14" s="123">
        <f t="shared" ref="H14:V14" si="37">+H13/D13-1</f>
        <v>-0.27212020033388973</v>
      </c>
      <c r="I14" s="123">
        <f t="shared" si="37"/>
        <v>0.25008050472715748</v>
      </c>
      <c r="J14" s="123">
        <f t="shared" si="37"/>
        <v>-0.11504552285538128</v>
      </c>
      <c r="K14" s="123">
        <f t="shared" si="37"/>
        <v>0.20743391176327819</v>
      </c>
      <c r="L14" s="123">
        <f t="shared" si="37"/>
        <v>1.2870766465252808</v>
      </c>
      <c r="M14" s="123">
        <f t="shared" si="37"/>
        <v>1.1186093498965919</v>
      </c>
      <c r="N14" s="123">
        <f t="shared" si="37"/>
        <v>1.4100611935286542</v>
      </c>
      <c r="O14" s="123">
        <f t="shared" si="37"/>
        <v>1.5118864315095788</v>
      </c>
      <c r="P14" s="123">
        <f t="shared" si="37"/>
        <v>1.5118864315095792</v>
      </c>
      <c r="Q14" s="123">
        <f t="shared" si="37"/>
        <v>1.5118864315095788</v>
      </c>
      <c r="R14" s="123">
        <f t="shared" si="37"/>
        <v>1.5118864315095792</v>
      </c>
      <c r="S14" s="123">
        <f t="shared" si="37"/>
        <v>1.5118864315095797</v>
      </c>
      <c r="T14" s="123">
        <f t="shared" si="37"/>
        <v>1.5118864315095797</v>
      </c>
      <c r="U14" s="123">
        <f t="shared" si="37"/>
        <v>1.5118864315095797</v>
      </c>
      <c r="V14" s="123">
        <f t="shared" si="37"/>
        <v>1.5118864315095797</v>
      </c>
    </row>
    <row r="15" spans="2:26" x14ac:dyDescent="0.45">
      <c r="B15" t="s">
        <v>400</v>
      </c>
    </row>
    <row r="16" spans="2:26" x14ac:dyDescent="0.45">
      <c r="B16" s="139" t="s">
        <v>326</v>
      </c>
      <c r="C16" s="124">
        <f>+AVERAGEIFS('Monthly Metrics'!$C26:$T26,'Monthly Metrics'!$C$7:$T$7,'Revenue Build'!C$7,'Monthly Metrics'!$C$6:$T$6,'Revenue Build'!C$6)</f>
        <v>1.9933333333333334</v>
      </c>
      <c r="D16" s="124">
        <f>+AVERAGEIFS('Monthly Metrics'!$C26:$T26,'Monthly Metrics'!$C$7:$T$7,'Revenue Build'!D$7,'Monthly Metrics'!$C$6:$T$6,'Revenue Build'!D$6)</f>
        <v>1.5933333333333335</v>
      </c>
      <c r="E16" s="124">
        <f>+AVERAGEIFS('Monthly Metrics'!$C26:$T26,'Monthly Metrics'!$C$7:$T$7,'Revenue Build'!E$7,'Monthly Metrics'!$C$6:$T$6,'Revenue Build'!E$6)</f>
        <v>2.09</v>
      </c>
      <c r="F16" s="124">
        <f>+AVERAGEIFS('Monthly Metrics'!$C26:$T26,'Monthly Metrics'!$C$7:$T$7,'Revenue Build'!F$7,'Monthly Metrics'!$C$6:$T$6,'Revenue Build'!F$6)</f>
        <v>1.8366666666666667</v>
      </c>
      <c r="G16" s="124">
        <f>+AVERAGEIFS('Monthly Metrics'!$C26:$T26,'Monthly Metrics'!$C$7:$T$7,'Revenue Build'!G$7,'Monthly Metrics'!$C$6:$T$6,'Revenue Build'!G$6)</f>
        <v>1.99</v>
      </c>
      <c r="H16" s="124">
        <f>+AVERAGEIFS('Monthly Metrics'!$C26:$T26,'Monthly Metrics'!$C$7:$T$7,'Revenue Build'!H$7,'Monthly Metrics'!$C$6:$T$6,'Revenue Build'!H$6)</f>
        <v>2.4299999999999997</v>
      </c>
      <c r="I16" s="147">
        <f>+AVERAGE(C16:H16) * ( 1- $W$16)</f>
        <v>2.0883333333333334</v>
      </c>
      <c r="J16" s="147">
        <f>+I16 * (1+$W$16)</f>
        <v>1.9839166666666666</v>
      </c>
      <c r="K16" s="147">
        <f t="shared" ref="K16:V16" si="38">+J16 * (1+$W$16)</f>
        <v>1.8847208333333332</v>
      </c>
      <c r="L16" s="147">
        <f t="shared" si="38"/>
        <v>1.7904847916666664</v>
      </c>
      <c r="M16" s="147">
        <f t="shared" si="38"/>
        <v>1.7009605520833331</v>
      </c>
      <c r="N16" s="147">
        <f t="shared" si="38"/>
        <v>1.6159125244791663</v>
      </c>
      <c r="O16" s="147">
        <f t="shared" si="38"/>
        <v>1.5351168982552079</v>
      </c>
      <c r="P16" s="147">
        <f t="shared" si="38"/>
        <v>1.4583610533424474</v>
      </c>
      <c r="Q16" s="147">
        <f t="shared" si="38"/>
        <v>1.3854430006753249</v>
      </c>
      <c r="R16" s="147">
        <f t="shared" si="38"/>
        <v>1.3161708506415586</v>
      </c>
      <c r="S16" s="147">
        <f t="shared" si="38"/>
        <v>1.2503623081094806</v>
      </c>
      <c r="T16" s="147">
        <f t="shared" si="38"/>
        <v>1.1878441927040064</v>
      </c>
      <c r="U16" s="147">
        <f t="shared" si="38"/>
        <v>1.128451983068806</v>
      </c>
      <c r="V16" s="147">
        <f t="shared" si="38"/>
        <v>1.0720293839153656</v>
      </c>
      <c r="W16" s="245">
        <v>-0.05</v>
      </c>
      <c r="X16" t="s">
        <v>525</v>
      </c>
      <c r="Z16" t="s">
        <v>526</v>
      </c>
    </row>
    <row r="17" spans="2:26" x14ac:dyDescent="0.45">
      <c r="B17" s="139" t="s">
        <v>322</v>
      </c>
      <c r="E17" s="124">
        <f>+AVERAGEIFS('Monthly Metrics'!$C27:$T27,'Monthly Metrics'!$C$7:$T$7,'Revenue Build'!E$7,'Monthly Metrics'!$C$6:$T$6,'Revenue Build'!E$6)</f>
        <v>0.96500000000000008</v>
      </c>
      <c r="F17" s="124">
        <f>+AVERAGEIFS('Monthly Metrics'!$C27:$T27,'Monthly Metrics'!$C$7:$T$7,'Revenue Build'!F$7,'Monthly Metrics'!$C$6:$T$6,'Revenue Build'!F$6)</f>
        <v>1.43</v>
      </c>
      <c r="G17" s="124">
        <f>+AVERAGEIFS('Monthly Metrics'!$C27:$T27,'Monthly Metrics'!$C$7:$T$7,'Revenue Build'!G$7,'Monthly Metrics'!$C$6:$T$6,'Revenue Build'!G$6)</f>
        <v>2.0766666666666667</v>
      </c>
      <c r="H17" s="124">
        <f>+AVERAGEIFS('Monthly Metrics'!$C27:$T27,'Monthly Metrics'!$C$7:$T$7,'Revenue Build'!H$7,'Monthly Metrics'!$C$6:$T$6,'Revenue Build'!H$6)</f>
        <v>1.58</v>
      </c>
      <c r="I17" s="147">
        <f t="shared" ref="I17:I18" si="39">+AVERAGE(C17:H17) * ( 1- $W$16)</f>
        <v>1.5885625000000001</v>
      </c>
      <c r="J17" s="147">
        <f t="shared" ref="J17:V18" si="40">+I17 * (1+$W$16)</f>
        <v>1.5091343749999999</v>
      </c>
      <c r="K17" s="147">
        <f t="shared" si="40"/>
        <v>1.4336776562499998</v>
      </c>
      <c r="L17" s="147">
        <f t="shared" si="40"/>
        <v>1.3619937734374996</v>
      </c>
      <c r="M17" s="147">
        <f t="shared" si="40"/>
        <v>1.2938940847656246</v>
      </c>
      <c r="N17" s="147">
        <f t="shared" si="40"/>
        <v>1.2291993805273433</v>
      </c>
      <c r="O17" s="147">
        <f t="shared" si="40"/>
        <v>1.167739411500976</v>
      </c>
      <c r="P17" s="147">
        <f t="shared" si="40"/>
        <v>1.1093524409259272</v>
      </c>
      <c r="Q17" s="147">
        <f t="shared" si="40"/>
        <v>1.0538848188796308</v>
      </c>
      <c r="R17" s="147">
        <f t="shared" si="40"/>
        <v>1.0011905779356491</v>
      </c>
      <c r="S17" s="147">
        <f t="shared" si="40"/>
        <v>0.95113104903886658</v>
      </c>
      <c r="T17" s="147">
        <f t="shared" si="40"/>
        <v>0.90357449658692324</v>
      </c>
      <c r="U17" s="147">
        <f t="shared" si="40"/>
        <v>0.85839577175757709</v>
      </c>
      <c r="V17" s="147">
        <f t="shared" si="40"/>
        <v>0.81547598316969816</v>
      </c>
    </row>
    <row r="18" spans="2:26" x14ac:dyDescent="0.45">
      <c r="B18" s="139" t="s">
        <v>347</v>
      </c>
      <c r="C18" s="124">
        <f>+AVERAGEIFS('Monthly Metrics'!$C28:$T28,'Monthly Metrics'!$C$7:$T$7,'Revenue Build'!C$7,'Monthly Metrics'!$C$6:$T$6,'Revenue Build'!C$6)</f>
        <v>-1.6166666666666665</v>
      </c>
      <c r="D18" s="124">
        <f>+AVERAGEIFS('Monthly Metrics'!$C28:$T28,'Monthly Metrics'!$C$7:$T$7,'Revenue Build'!D$7,'Monthly Metrics'!$C$6:$T$6,'Revenue Build'!D$6)</f>
        <v>-1.1833333333333333</v>
      </c>
      <c r="E18" s="124">
        <f>+AVERAGEIFS('Monthly Metrics'!$C28:$T28,'Monthly Metrics'!$C$7:$T$7,'Revenue Build'!E$7,'Monthly Metrics'!$C$6:$T$6,'Revenue Build'!E$6)</f>
        <v>-0.41333333333333339</v>
      </c>
      <c r="F18" s="124">
        <f>+AVERAGEIFS('Monthly Metrics'!$C28:$T28,'Monthly Metrics'!$C$7:$T$7,'Revenue Build'!F$7,'Monthly Metrics'!$C$6:$T$6,'Revenue Build'!F$6)</f>
        <v>-1.0333333333333332</v>
      </c>
      <c r="G18" s="124">
        <f>+AVERAGEIFS('Monthly Metrics'!$C28:$T28,'Monthly Metrics'!$C$7:$T$7,'Revenue Build'!G$7,'Monthly Metrics'!$C$6:$T$6,'Revenue Build'!G$6)</f>
        <v>-4.9999999999999996E-2</v>
      </c>
      <c r="H18" s="124">
        <f>+AVERAGEIFS('Monthly Metrics'!$C28:$T28,'Monthly Metrics'!$C$7:$T$7,'Revenue Build'!H$7,'Monthly Metrics'!$C$6:$T$6,'Revenue Build'!H$6)</f>
        <v>-0.11333333333333334</v>
      </c>
      <c r="I18" s="147">
        <f t="shared" si="39"/>
        <v>-0.77174999999999994</v>
      </c>
      <c r="J18" s="147">
        <f t="shared" si="40"/>
        <v>-0.73316249999999994</v>
      </c>
      <c r="K18" s="147">
        <f t="shared" si="40"/>
        <v>-0.69650437499999995</v>
      </c>
      <c r="L18" s="147">
        <f t="shared" si="40"/>
        <v>-0.66167915624999996</v>
      </c>
      <c r="M18" s="147">
        <f t="shared" si="40"/>
        <v>-0.62859519843749989</v>
      </c>
      <c r="N18" s="147">
        <f t="shared" si="40"/>
        <v>-0.59716543851562487</v>
      </c>
      <c r="O18" s="147">
        <f t="shared" si="40"/>
        <v>-0.56730716658984359</v>
      </c>
      <c r="P18" s="147">
        <f t="shared" si="40"/>
        <v>-0.53894180826035143</v>
      </c>
      <c r="Q18" s="147">
        <f t="shared" si="40"/>
        <v>-0.51199471784733386</v>
      </c>
      <c r="R18" s="147">
        <f t="shared" si="40"/>
        <v>-0.48639498195496716</v>
      </c>
      <c r="S18" s="147">
        <f t="shared" si="40"/>
        <v>-0.4620752328572188</v>
      </c>
      <c r="T18" s="147">
        <f t="shared" si="40"/>
        <v>-0.43897147121435781</v>
      </c>
      <c r="U18" s="147">
        <f t="shared" si="40"/>
        <v>-0.41702289765363992</v>
      </c>
      <c r="V18" s="147">
        <f t="shared" si="40"/>
        <v>-0.3961717527709579</v>
      </c>
    </row>
    <row r="19" spans="2:26" x14ac:dyDescent="0.45">
      <c r="B19" s="145" t="s">
        <v>327</v>
      </c>
      <c r="C19" s="146">
        <f>+AVERAGE(C16:C18)</f>
        <v>0.18833333333333346</v>
      </c>
      <c r="D19" s="146">
        <f t="shared" ref="D19:J19" si="41">+AVERAGE(D16:D18)</f>
        <v>0.20500000000000007</v>
      </c>
      <c r="E19" s="146">
        <f t="shared" si="41"/>
        <v>0.88055555555555542</v>
      </c>
      <c r="F19" s="146">
        <f t="shared" si="41"/>
        <v>0.74444444444444446</v>
      </c>
      <c r="G19" s="146">
        <f t="shared" si="41"/>
        <v>1.3388888888888888</v>
      </c>
      <c r="H19" s="146">
        <f t="shared" si="41"/>
        <v>1.2988888888888888</v>
      </c>
      <c r="I19" s="146">
        <f t="shared" si="41"/>
        <v>0.96838194444444448</v>
      </c>
      <c r="J19" s="146">
        <f t="shared" si="41"/>
        <v>0.9199628472222221</v>
      </c>
      <c r="K19" s="146">
        <f t="shared" ref="K19" si="42">+AVERAGE(K16:K18)</f>
        <v>0.87396470486111111</v>
      </c>
      <c r="L19" s="146">
        <f t="shared" ref="L19" si="43">+AVERAGE(L16:L18)</f>
        <v>0.83026646961805539</v>
      </c>
      <c r="M19" s="146">
        <f t="shared" ref="M19" si="44">+AVERAGE(M16:M18)</f>
        <v>0.78875314613715253</v>
      </c>
      <c r="N19" s="146">
        <f t="shared" ref="N19" si="45">+AVERAGE(N16:N18)</f>
        <v>0.74931548883029497</v>
      </c>
      <c r="O19" s="146">
        <f t="shared" ref="O19" si="46">+AVERAGE(O16:O18)</f>
        <v>0.71184971438878009</v>
      </c>
      <c r="P19" s="146">
        <f t="shared" ref="P19" si="47">+AVERAGE(P16:P18)</f>
        <v>0.67625722866934102</v>
      </c>
      <c r="Q19" s="146">
        <f t="shared" ref="Q19" si="48">+AVERAGE(Q16:Q18)</f>
        <v>0.64244436723587406</v>
      </c>
      <c r="R19" s="146">
        <f t="shared" ref="R19" si="49">+AVERAGE(R16:R18)</f>
        <v>0.61032214887408009</v>
      </c>
      <c r="S19" s="146">
        <f t="shared" ref="S19" si="50">+AVERAGE(S16:S18)</f>
        <v>0.57980604143037606</v>
      </c>
      <c r="T19" s="146">
        <f t="shared" ref="T19" si="51">+AVERAGE(T16:T18)</f>
        <v>0.5508157393588573</v>
      </c>
      <c r="U19" s="146">
        <f t="shared" ref="U19" si="52">+AVERAGE(U16:U18)</f>
        <v>0.52327495239091448</v>
      </c>
      <c r="V19" s="146">
        <f t="shared" ref="V19" si="53">+AVERAGE(V16:V18)</f>
        <v>0.49711120477136861</v>
      </c>
    </row>
    <row r="20" spans="2:26" x14ac:dyDescent="0.45">
      <c r="B20" t="s">
        <v>402</v>
      </c>
    </row>
    <row r="21" spans="2:26" x14ac:dyDescent="0.45">
      <c r="B21" s="139" t="s">
        <v>326</v>
      </c>
      <c r="C21" s="141"/>
      <c r="D21" s="141"/>
      <c r="E21" s="141"/>
      <c r="F21" s="141"/>
      <c r="G21" s="141"/>
      <c r="H21" s="141">
        <f t="shared" ref="H21:V23" si="54">+(H10*(H16/10000)) * 1000</f>
        <v>27.580499999999997</v>
      </c>
      <c r="I21" s="141">
        <f t="shared" si="54"/>
        <v>33.325117050132562</v>
      </c>
      <c r="J21" s="141">
        <f t="shared" si="54"/>
        <v>35.036289285714695</v>
      </c>
      <c r="K21" s="141">
        <f t="shared" si="54"/>
        <v>40.204047614340219</v>
      </c>
      <c r="L21" s="141">
        <f t="shared" si="54"/>
        <v>48.083202338741785</v>
      </c>
      <c r="M21" s="141">
        <f t="shared" si="54"/>
        <v>57.506507039448621</v>
      </c>
      <c r="N21" s="141">
        <f t="shared" si="54"/>
        <v>68.776582902707915</v>
      </c>
      <c r="O21" s="141">
        <f t="shared" si="54"/>
        <v>82.255358554957866</v>
      </c>
      <c r="P21" s="141">
        <f t="shared" si="54"/>
        <v>98.375693084023325</v>
      </c>
      <c r="Q21" s="141">
        <f t="shared" si="54"/>
        <v>117.65527693002363</v>
      </c>
      <c r="R21" s="141">
        <f t="shared" si="54"/>
        <v>140.71325706094242</v>
      </c>
      <c r="S21" s="141">
        <f t="shared" si="54"/>
        <v>168.29012033582814</v>
      </c>
      <c r="T21" s="141">
        <f t="shared" si="54"/>
        <v>201.27147359243878</v>
      </c>
      <c r="U21" s="141">
        <f t="shared" si="54"/>
        <v>240.71648413604075</v>
      </c>
      <c r="V21" s="141">
        <f t="shared" si="54"/>
        <v>287.89189397077877</v>
      </c>
    </row>
    <row r="22" spans="2:26" x14ac:dyDescent="0.45">
      <c r="B22" s="139" t="s">
        <v>322</v>
      </c>
      <c r="C22" s="141"/>
      <c r="D22" s="141"/>
      <c r="E22" s="141"/>
      <c r="F22" s="141"/>
      <c r="G22" s="141"/>
      <c r="H22" s="141">
        <f t="shared" ref="H22:R22" si="55">+(H11*(H17/10000)) * 1000</f>
        <v>1.3904000000000001</v>
      </c>
      <c r="I22" s="141">
        <f t="shared" si="55"/>
        <v>1.1567403366011353</v>
      </c>
      <c r="J22" s="141">
        <f t="shared" si="55"/>
        <v>1.2161364354893132</v>
      </c>
      <c r="K22" s="141">
        <f t="shared" si="55"/>
        <v>1.3955132850750174</v>
      </c>
      <c r="L22" s="141">
        <f t="shared" si="55"/>
        <v>1.6690047802234318</v>
      </c>
      <c r="M22" s="141">
        <f t="shared" si="55"/>
        <v>1.9960949037177564</v>
      </c>
      <c r="N22" s="141">
        <f t="shared" si="55"/>
        <v>2.3872878687109598</v>
      </c>
      <c r="O22" s="141">
        <f t="shared" si="55"/>
        <v>2.8551464950287562</v>
      </c>
      <c r="P22" s="141">
        <f t="shared" si="55"/>
        <v>3.4146956531374117</v>
      </c>
      <c r="Q22" s="141">
        <f t="shared" si="55"/>
        <v>4.083904774713881</v>
      </c>
      <c r="R22" s="141">
        <f t="shared" si="55"/>
        <v>4.8842649252230963</v>
      </c>
      <c r="S22" s="141">
        <f t="shared" si="54"/>
        <v>5.8414789706833776</v>
      </c>
      <c r="T22" s="141">
        <f t="shared" si="54"/>
        <v>6.9862870027218129</v>
      </c>
      <c r="U22" s="141">
        <f t="shared" si="54"/>
        <v>8.355453529723107</v>
      </c>
      <c r="V22" s="141">
        <f t="shared" si="54"/>
        <v>9.9929481368520054</v>
      </c>
    </row>
    <row r="23" spans="2:26" x14ac:dyDescent="0.45">
      <c r="B23" s="139" t="s">
        <v>347</v>
      </c>
      <c r="C23" s="141"/>
      <c r="D23" s="141"/>
      <c r="E23" s="141"/>
      <c r="F23" s="141"/>
      <c r="G23" s="141"/>
      <c r="H23" s="141">
        <f t="shared" si="54"/>
        <v>-9.633333333333334E-2</v>
      </c>
      <c r="I23" s="141">
        <f t="shared" si="54"/>
        <v>-0.84137669668729997</v>
      </c>
      <c r="J23" s="141">
        <f t="shared" si="54"/>
        <v>-0.88457955898696561</v>
      </c>
      <c r="K23" s="141">
        <f t="shared" si="54"/>
        <v>-1.0150526620604305</v>
      </c>
      <c r="L23" s="141">
        <f t="shared" si="54"/>
        <v>-1.2139818110483334</v>
      </c>
      <c r="M23" s="141">
        <f t="shared" si="54"/>
        <v>-1.4518969238154187</v>
      </c>
      <c r="N23" s="141">
        <f t="shared" si="54"/>
        <v>-1.7364384360621603</v>
      </c>
      <c r="O23" s="141">
        <f t="shared" si="54"/>
        <v>-2.0767441495160357</v>
      </c>
      <c r="P23" s="141">
        <f t="shared" si="54"/>
        <v>-2.4837426844395725</v>
      </c>
      <c r="Q23" s="141">
        <f t="shared" si="54"/>
        <v>-2.9705044427088971</v>
      </c>
      <c r="R23" s="141">
        <f t="shared" si="54"/>
        <v>-3.5526613523350163</v>
      </c>
      <c r="S23" s="141">
        <f t="shared" si="54"/>
        <v>-4.2489088731559033</v>
      </c>
      <c r="T23" s="141">
        <f t="shared" si="54"/>
        <v>-5.0816063851730009</v>
      </c>
      <c r="U23" s="141">
        <f t="shared" si="54"/>
        <v>-6.0774952404783011</v>
      </c>
      <c r="V23" s="141">
        <f t="shared" si="54"/>
        <v>-7.2685575383814225</v>
      </c>
    </row>
    <row r="24" spans="2:26" x14ac:dyDescent="0.45">
      <c r="B24" s="98" t="s">
        <v>403</v>
      </c>
      <c r="C24" s="148"/>
      <c r="D24" s="148"/>
      <c r="E24" s="148"/>
      <c r="F24" s="148"/>
      <c r="G24" s="148"/>
      <c r="H24" s="148">
        <f t="shared" ref="H24:V24" si="56">SUM(H21:H23)</f>
        <v>28.874566666666663</v>
      </c>
      <c r="I24" s="148">
        <f t="shared" si="56"/>
        <v>33.640480690046395</v>
      </c>
      <c r="J24" s="148">
        <f t="shared" si="56"/>
        <v>35.367846162217042</v>
      </c>
      <c r="K24" s="148">
        <f t="shared" si="56"/>
        <v>40.584508237354804</v>
      </c>
      <c r="L24" s="148">
        <f t="shared" si="56"/>
        <v>48.538225307916882</v>
      </c>
      <c r="M24" s="148">
        <f t="shared" si="56"/>
        <v>58.050705019350957</v>
      </c>
      <c r="N24" s="148">
        <f t="shared" si="56"/>
        <v>69.427432335356713</v>
      </c>
      <c r="O24" s="148">
        <f t="shared" si="56"/>
        <v>83.033760900470597</v>
      </c>
      <c r="P24" s="148">
        <f t="shared" si="56"/>
        <v>99.306646052721163</v>
      </c>
      <c r="Q24" s="148">
        <f t="shared" si="56"/>
        <v>118.76867726202862</v>
      </c>
      <c r="R24" s="148">
        <f t="shared" si="56"/>
        <v>142.04486063383052</v>
      </c>
      <c r="S24" s="148">
        <f t="shared" si="56"/>
        <v>169.88269043335561</v>
      </c>
      <c r="T24" s="148">
        <f t="shared" si="56"/>
        <v>203.1761542099876</v>
      </c>
      <c r="U24" s="148">
        <f t="shared" si="56"/>
        <v>242.99444242528557</v>
      </c>
      <c r="V24" s="148">
        <f t="shared" si="56"/>
        <v>290.61628456924939</v>
      </c>
    </row>
    <row r="26" spans="2:26" x14ac:dyDescent="0.45">
      <c r="B26" s="139" t="s">
        <v>404</v>
      </c>
      <c r="C26" s="153">
        <f>'Income Statement'!N35</f>
        <v>0.56299999999999994</v>
      </c>
      <c r="D26" s="153">
        <f>'Income Statement'!O35</f>
        <v>0.4</v>
      </c>
      <c r="E26" s="153">
        <f>'Income Statement'!P35</f>
        <v>0.8</v>
      </c>
      <c r="F26" s="153">
        <f>'Income Statement'!Q35</f>
        <v>1.6419999999999999</v>
      </c>
      <c r="G26" s="153">
        <f>'Income Statement'!R35</f>
        <v>2.7120000000000002</v>
      </c>
      <c r="H26" s="124">
        <f>(H13*1000)*(H27/10000)</f>
        <v>0.81757431262075597</v>
      </c>
      <c r="I26" s="124">
        <f t="shared" ref="I26:V26" si="57">(I13*1000)*(I27/10000)</f>
        <v>1.2539037207683625</v>
      </c>
      <c r="J26" s="124">
        <f t="shared" si="57"/>
        <v>1.5776276240610774</v>
      </c>
      <c r="K26" s="124">
        <f t="shared" si="57"/>
        <v>2.0193567143763467</v>
      </c>
      <c r="L26" s="124">
        <f t="shared" si="57"/>
        <v>2.6087347385059934</v>
      </c>
      <c r="M26" s="124">
        <f t="shared" si="57"/>
        <v>2.9030771317992796</v>
      </c>
      <c r="N26" s="124">
        <f t="shared" si="57"/>
        <v>3.7930049591189303</v>
      </c>
      <c r="O26" s="124">
        <f t="shared" si="57"/>
        <v>4.8880684531467278</v>
      </c>
      <c r="P26" s="124">
        <f t="shared" si="57"/>
        <v>6.1792467492611864</v>
      </c>
      <c r="Q26" s="124">
        <f t="shared" si="57"/>
        <v>7.7272121342725422</v>
      </c>
      <c r="R26" s="124">
        <f t="shared" si="57"/>
        <v>9.5964684508494589</v>
      </c>
      <c r="S26" s="124">
        <f t="shared" si="57"/>
        <v>12.186013949828121</v>
      </c>
      <c r="T26" s="124">
        <f t="shared" si="57"/>
        <v>15.389494211559757</v>
      </c>
      <c r="U26" s="124">
        <f t="shared" si="57"/>
        <v>19.357120202402072</v>
      </c>
      <c r="V26" s="124">
        <f t="shared" si="57"/>
        <v>24.322999747349339</v>
      </c>
    </row>
    <row r="27" spans="2:26" x14ac:dyDescent="0.45">
      <c r="B27" s="154" t="s">
        <v>405</v>
      </c>
      <c r="C27" s="155">
        <f>(C26/(C13*1000)) * 10000</f>
        <v>2.2341269841269842E-2</v>
      </c>
      <c r="D27" s="155">
        <f t="shared" ref="D27:F27" si="58">(D26/(D13*1000)) * 10000</f>
        <v>2.2259321090706736E-2</v>
      </c>
      <c r="E27" s="155">
        <f t="shared" si="58"/>
        <v>5.6258790436005623E-2</v>
      </c>
      <c r="F27" s="155">
        <f t="shared" si="58"/>
        <v>7.3864147548358072E-2</v>
      </c>
      <c r="G27" s="155">
        <f>(G26/(G13*1000)) * 10000</f>
        <v>0.1378048780487805</v>
      </c>
      <c r="H27" s="147">
        <f>AVERAGE(C27:G27)</f>
        <v>6.2505681393024148E-2</v>
      </c>
      <c r="I27" s="147">
        <f t="shared" ref="I27:V27" si="59">AVERAGE(D27:H27)</f>
        <v>7.053856370337501E-2</v>
      </c>
      <c r="J27" s="147">
        <f t="shared" si="59"/>
        <v>8.0194412225908673E-2</v>
      </c>
      <c r="K27" s="147">
        <f t="shared" si="59"/>
        <v>8.4981536583889281E-2</v>
      </c>
      <c r="L27" s="147">
        <f t="shared" si="59"/>
        <v>8.7205014390995525E-2</v>
      </c>
      <c r="M27" s="147">
        <f t="shared" si="59"/>
        <v>7.7085041659438538E-2</v>
      </c>
      <c r="N27" s="147">
        <f t="shared" si="59"/>
        <v>8.0000913712721416E-2</v>
      </c>
      <c r="O27" s="147">
        <f t="shared" si="59"/>
        <v>8.1893383714590692E-2</v>
      </c>
      <c r="P27" s="147">
        <f t="shared" si="59"/>
        <v>8.2233178012327088E-2</v>
      </c>
      <c r="Q27" s="147">
        <f t="shared" si="59"/>
        <v>8.1683506298014658E-2</v>
      </c>
      <c r="R27" s="147">
        <f t="shared" si="59"/>
        <v>8.0579204679418481E-2</v>
      </c>
      <c r="S27" s="147">
        <f t="shared" si="59"/>
        <v>8.127803728341447E-2</v>
      </c>
      <c r="T27" s="147">
        <f t="shared" si="59"/>
        <v>8.1533461997553083E-2</v>
      </c>
      <c r="U27" s="147">
        <f t="shared" si="59"/>
        <v>8.1461477654145548E-2</v>
      </c>
      <c r="V27" s="147">
        <f t="shared" si="59"/>
        <v>8.1307137582509251E-2</v>
      </c>
    </row>
    <row r="29" spans="2:26" x14ac:dyDescent="0.45">
      <c r="B29" s="156" t="s">
        <v>406</v>
      </c>
      <c r="H29" s="157">
        <f>H24+H26</f>
        <v>29.692140979287419</v>
      </c>
      <c r="I29" s="157">
        <f t="shared" ref="I29:V29" si="60">I24+I26</f>
        <v>34.894384410814759</v>
      </c>
      <c r="J29" s="157">
        <f t="shared" si="60"/>
        <v>36.945473786278122</v>
      </c>
      <c r="K29" s="157">
        <f t="shared" si="60"/>
        <v>42.603864951731154</v>
      </c>
      <c r="L29" s="157">
        <f t="shared" si="60"/>
        <v>51.146960046422876</v>
      </c>
      <c r="M29" s="157">
        <f t="shared" si="60"/>
        <v>60.953782151150236</v>
      </c>
      <c r="N29" s="157">
        <f t="shared" si="60"/>
        <v>73.220437294475644</v>
      </c>
      <c r="O29" s="157">
        <f t="shared" si="60"/>
        <v>87.921829353617326</v>
      </c>
      <c r="P29" s="157">
        <f t="shared" si="60"/>
        <v>105.48589280198235</v>
      </c>
      <c r="Q29" s="157">
        <f t="shared" si="60"/>
        <v>126.49588939630117</v>
      </c>
      <c r="R29" s="157">
        <f t="shared" si="60"/>
        <v>151.64132908468</v>
      </c>
      <c r="S29" s="157">
        <f t="shared" si="60"/>
        <v>182.06870438318373</v>
      </c>
      <c r="T29" s="157">
        <f t="shared" si="60"/>
        <v>218.56564842154737</v>
      </c>
      <c r="U29" s="157">
        <f t="shared" si="60"/>
        <v>262.35156262768766</v>
      </c>
      <c r="V29" s="157">
        <f t="shared" si="60"/>
        <v>314.93928431659873</v>
      </c>
    </row>
    <row r="31" spans="2:26" x14ac:dyDescent="0.45">
      <c r="B31" t="s">
        <v>414</v>
      </c>
      <c r="G31" s="168">
        <f>34/4</f>
        <v>8.5</v>
      </c>
      <c r="H31" s="124">
        <f>G31*(1+((1+$C$33)^(1/4)-1))</f>
        <v>8.8022436489037883</v>
      </c>
      <c r="I31" s="124">
        <f>H31*(1+((1+$C$33)^(1/4)-1))</f>
        <v>9.115234500549068</v>
      </c>
      <c r="J31" s="124">
        <f>I31*(1+((1+$C$33)^(1/4)-1))</f>
        <v>9.4393547047913788</v>
      </c>
      <c r="K31" s="124">
        <f t="shared" ref="K31:V31" si="61">J31*(1+((1+$C$33)^(1/4)-1))</f>
        <v>9.7750000000000004</v>
      </c>
      <c r="L31" s="124">
        <f t="shared" si="61"/>
        <v>10.122580196239356</v>
      </c>
      <c r="M31" s="124">
        <f t="shared" si="61"/>
        <v>10.482519675631428</v>
      </c>
      <c r="N31" s="124">
        <f t="shared" si="61"/>
        <v>10.855257910510087</v>
      </c>
      <c r="O31" s="124">
        <f t="shared" si="61"/>
        <v>11.241250000000003</v>
      </c>
      <c r="P31" s="124">
        <f t="shared" si="61"/>
        <v>11.640967225675261</v>
      </c>
      <c r="Q31" s="124">
        <f t="shared" si="61"/>
        <v>12.054897626976143</v>
      </c>
      <c r="R31" s="124">
        <f t="shared" si="61"/>
        <v>12.483546597086599</v>
      </c>
      <c r="S31" s="124">
        <f t="shared" si="61"/>
        <v>12.927437500000002</v>
      </c>
      <c r="T31" s="124">
        <f t="shared" si="61"/>
        <v>13.38711230952655</v>
      </c>
      <c r="U31" s="124">
        <f t="shared" si="61"/>
        <v>13.863132271022565</v>
      </c>
      <c r="V31" s="124">
        <f t="shared" si="61"/>
        <v>14.356078586649589</v>
      </c>
      <c r="Z31" t="s">
        <v>418</v>
      </c>
    </row>
    <row r="32" spans="2:26" x14ac:dyDescent="0.45">
      <c r="B32" t="s">
        <v>415</v>
      </c>
      <c r="H32">
        <f>18/4</f>
        <v>4.5</v>
      </c>
      <c r="I32">
        <f t="shared" ref="I32:V32" si="62">18/4</f>
        <v>4.5</v>
      </c>
      <c r="J32">
        <f t="shared" si="62"/>
        <v>4.5</v>
      </c>
      <c r="K32">
        <f t="shared" si="62"/>
        <v>4.5</v>
      </c>
      <c r="L32">
        <f t="shared" si="62"/>
        <v>4.5</v>
      </c>
      <c r="M32">
        <f t="shared" si="62"/>
        <v>4.5</v>
      </c>
      <c r="N32">
        <f t="shared" si="62"/>
        <v>4.5</v>
      </c>
      <c r="O32">
        <f t="shared" si="62"/>
        <v>4.5</v>
      </c>
      <c r="P32">
        <f t="shared" si="62"/>
        <v>4.5</v>
      </c>
      <c r="Q32">
        <f t="shared" si="62"/>
        <v>4.5</v>
      </c>
      <c r="R32">
        <f t="shared" si="62"/>
        <v>4.5</v>
      </c>
      <c r="S32">
        <f t="shared" si="62"/>
        <v>4.5</v>
      </c>
      <c r="T32">
        <f t="shared" si="62"/>
        <v>4.5</v>
      </c>
      <c r="U32">
        <f t="shared" si="62"/>
        <v>4.5</v>
      </c>
      <c r="V32">
        <f t="shared" si="62"/>
        <v>4.5</v>
      </c>
      <c r="Z32" t="s">
        <v>416</v>
      </c>
    </row>
    <row r="33" spans="2:24" x14ac:dyDescent="0.45">
      <c r="B33" s="172" t="s">
        <v>417</v>
      </c>
      <c r="C33" s="173">
        <v>0.15</v>
      </c>
    </row>
    <row r="35" spans="2:24" x14ac:dyDescent="0.45">
      <c r="B35" t="s">
        <v>411</v>
      </c>
      <c r="G35" s="169">
        <f>'Income Statement'!R41-G31</f>
        <v>46.27</v>
      </c>
      <c r="H35" s="124">
        <f>G35*(1+((1+H36)^(1/4)-1))</f>
        <v>51.206172424533889</v>
      </c>
      <c r="I35" s="124">
        <f>H35*(1+((1+I36)^(1/4)-1))</f>
        <v>56.668945199288842</v>
      </c>
      <c r="J35" s="124">
        <f>I35*(1+((1+J36)^(1/4)-1))</f>
        <v>62.714497060541305</v>
      </c>
      <c r="K35" s="124">
        <f>J35*(1+((1+K36)^(1/4)-1))</f>
        <v>72.193078334156027</v>
      </c>
      <c r="L35" s="124">
        <f t="shared" ref="L35:V35" si="63">K35*(1+((1+L36)^(1/4)-1))</f>
        <v>83.10423910966469</v>
      </c>
      <c r="M35" s="124">
        <f t="shared" si="63"/>
        <v>95.664497447102264</v>
      </c>
      <c r="N35" s="124">
        <f t="shared" si="63"/>
        <v>110.12309564293129</v>
      </c>
      <c r="O35" s="124">
        <f t="shared" si="63"/>
        <v>126.76694612531547</v>
      </c>
      <c r="P35" s="124">
        <f t="shared" si="63"/>
        <v>145.92632486507969</v>
      </c>
      <c r="Q35" s="124">
        <f t="shared" si="63"/>
        <v>167.98142528083073</v>
      </c>
      <c r="R35" s="124">
        <f t="shared" si="63"/>
        <v>193.36990269212117</v>
      </c>
      <c r="S35" s="124">
        <f t="shared" si="63"/>
        <v>222.59555903070077</v>
      </c>
      <c r="T35" s="124">
        <f t="shared" si="63"/>
        <v>256.23834014686634</v>
      </c>
      <c r="U35" s="124">
        <f t="shared" si="63"/>
        <v>294.96584409469506</v>
      </c>
      <c r="V35" s="124">
        <f t="shared" si="63"/>
        <v>339.54656876339425</v>
      </c>
    </row>
    <row r="36" spans="2:24" s="170" customFormat="1" x14ac:dyDescent="0.45">
      <c r="B36" s="172" t="s">
        <v>422</v>
      </c>
      <c r="H36" s="171">
        <f>INDEX('Scenario &amp; Sensitivity'!$C$16:$F$18,MATCH(Summary!$C$17,'Scenario &amp; Sensitivity'!$B$16:$B$18,0),MATCH(_xlfn.NUMBERVALUE(RIGHT('Revenue Build'!H$8,4)),'Scenario &amp; Sensitivity'!$C$15:$F$15,0))</f>
        <v>0.5</v>
      </c>
      <c r="I36" s="171">
        <f>INDEX('Scenario &amp; Sensitivity'!$C$16:$F$18,MATCH(Summary!$C$17,'Scenario &amp; Sensitivity'!$B$16:$B$18,0),MATCH(_xlfn.NUMBERVALUE(RIGHT('Revenue Build'!I$8,4)),'Scenario &amp; Sensitivity'!$C$15:$F$15,0))</f>
        <v>0.5</v>
      </c>
      <c r="J36" s="171">
        <f>INDEX('Scenario &amp; Sensitivity'!$C$16:$F$18,MATCH(Summary!$C$17,'Scenario &amp; Sensitivity'!$B$16:$B$18,0),MATCH(_xlfn.NUMBERVALUE(RIGHT('Revenue Build'!J$8,4)),'Scenario &amp; Sensitivity'!$C$15:$F$15,0))</f>
        <v>0.5</v>
      </c>
      <c r="K36" s="171">
        <f>INDEX('Scenario &amp; Sensitivity'!$C$16:$F$18,MATCH(Summary!$C$17,'Scenario &amp; Sensitivity'!$B$16:$B$18,0),MATCH(_xlfn.NUMBERVALUE(RIGHT('Revenue Build'!K$8,4)),'Scenario &amp; Sensitivity'!$C$15:$F$15,0))</f>
        <v>0.75594321575479029</v>
      </c>
      <c r="L36" s="171">
        <f>INDEX('Scenario &amp; Sensitivity'!$C$16:$F$18,MATCH(Summary!$C$17,'Scenario &amp; Sensitivity'!$B$16:$B$18,0),MATCH(_xlfn.NUMBERVALUE(RIGHT('Revenue Build'!L$8,4)),'Scenario &amp; Sensitivity'!$C$15:$F$15,0))</f>
        <v>0.75594321575479029</v>
      </c>
      <c r="M36" s="171">
        <f>INDEX('Scenario &amp; Sensitivity'!$C$16:$F$18,MATCH(Summary!$C$17,'Scenario &amp; Sensitivity'!$B$16:$B$18,0),MATCH(_xlfn.NUMBERVALUE(RIGHT('Revenue Build'!M$8,4)),'Scenario &amp; Sensitivity'!$C$15:$F$15,0))</f>
        <v>0.75594321575479029</v>
      </c>
      <c r="N36" s="171">
        <f>INDEX('Scenario &amp; Sensitivity'!$C$16:$F$18,MATCH(Summary!$C$17,'Scenario &amp; Sensitivity'!$B$16:$B$18,0),MATCH(_xlfn.NUMBERVALUE(RIGHT('Revenue Build'!N$8,4)),'Scenario &amp; Sensitivity'!$C$15:$F$15,0))</f>
        <v>0.75594321575479029</v>
      </c>
      <c r="O36" s="171">
        <f>INDEX('Scenario &amp; Sensitivity'!$C$16:$F$18,MATCH(Summary!$C$17,'Scenario &amp; Sensitivity'!$B$16:$B$18,0),MATCH(_xlfn.NUMBERVALUE(RIGHT('Revenue Build'!O$8,4)),'Scenario &amp; Sensitivity'!$C$15:$F$15,0))</f>
        <v>0.75594321575479029</v>
      </c>
      <c r="P36" s="171">
        <f>INDEX('Scenario &amp; Sensitivity'!$C$16:$F$18,MATCH(Summary!$C$17,'Scenario &amp; Sensitivity'!$B$16:$B$18,0),MATCH(_xlfn.NUMBERVALUE(RIGHT('Revenue Build'!P$8,4)),'Scenario &amp; Sensitivity'!$C$15:$F$15,0))</f>
        <v>0.75594321575479029</v>
      </c>
      <c r="Q36" s="171">
        <f>INDEX('Scenario &amp; Sensitivity'!$C$16:$F$18,MATCH(Summary!$C$17,'Scenario &amp; Sensitivity'!$B$16:$B$18,0),MATCH(_xlfn.NUMBERVALUE(RIGHT('Revenue Build'!Q$8,4)),'Scenario &amp; Sensitivity'!$C$15:$F$15,0))</f>
        <v>0.75594321575479029</v>
      </c>
      <c r="R36" s="171">
        <f>INDEX('Scenario &amp; Sensitivity'!$C$16:$F$18,MATCH(Summary!$C$17,'Scenario &amp; Sensitivity'!$B$16:$B$18,0),MATCH(_xlfn.NUMBERVALUE(RIGHT('Revenue Build'!R$8,4)),'Scenario &amp; Sensitivity'!$C$15:$F$15,0))</f>
        <v>0.75594321575479029</v>
      </c>
      <c r="S36" s="171">
        <f>INDEX('Scenario &amp; Sensitivity'!$C$16:$F$18,MATCH(Summary!$C$17,'Scenario &amp; Sensitivity'!$B$16:$B$18,0),MATCH(_xlfn.NUMBERVALUE(RIGHT('Revenue Build'!S$8,4)),'Scenario &amp; Sensitivity'!$C$15:$F$15,0))</f>
        <v>0.75594321575479029</v>
      </c>
      <c r="T36" s="171">
        <f>INDEX('Scenario &amp; Sensitivity'!$C$16:$F$18,MATCH(Summary!$C$17,'Scenario &amp; Sensitivity'!$B$16:$B$18,0),MATCH(_xlfn.NUMBERVALUE(RIGHT('Revenue Build'!T$8,4)),'Scenario &amp; Sensitivity'!$C$15:$F$15,0))</f>
        <v>0.75594321575479029</v>
      </c>
      <c r="U36" s="171">
        <f>INDEX('Scenario &amp; Sensitivity'!$C$16:$F$18,MATCH(Summary!$C$17,'Scenario &amp; Sensitivity'!$B$16:$B$18,0),MATCH(_xlfn.NUMBERVALUE(RIGHT('Revenue Build'!U$8,4)),'Scenario &amp; Sensitivity'!$C$15:$F$15,0))</f>
        <v>0.75594321575479029</v>
      </c>
      <c r="V36" s="171">
        <f>INDEX('Scenario &amp; Sensitivity'!$C$16:$F$18,MATCH(Summary!$C$17,'Scenario &amp; Sensitivity'!$B$16:$B$18,0),MATCH(_xlfn.NUMBERVALUE(RIGHT('Revenue Build'!V$8,4)),'Scenario &amp; Sensitivity'!$C$15:$F$15,0))</f>
        <v>0.75594321575479029</v>
      </c>
      <c r="W36"/>
      <c r="X36"/>
    </row>
    <row r="38" spans="2:24" x14ac:dyDescent="0.45">
      <c r="B38" s="156" t="s">
        <v>419</v>
      </c>
      <c r="H38" s="141">
        <f>H31+H32+H35</f>
        <v>64.508416073437672</v>
      </c>
      <c r="I38" s="141">
        <f t="shared" ref="I38:V38" si="64">I31+I32+I35</f>
        <v>70.284179699837907</v>
      </c>
      <c r="J38" s="141">
        <f t="shared" si="64"/>
        <v>76.653851765332689</v>
      </c>
      <c r="K38" s="141">
        <f t="shared" si="64"/>
        <v>86.468078334156033</v>
      </c>
      <c r="L38" s="141">
        <f t="shared" si="64"/>
        <v>97.726819305904044</v>
      </c>
      <c r="M38" s="141">
        <f t="shared" si="64"/>
        <v>110.64701712273369</v>
      </c>
      <c r="N38" s="141">
        <f t="shared" si="64"/>
        <v>125.47835355344138</v>
      </c>
      <c r="O38" s="141">
        <f t="shared" si="64"/>
        <v>142.50819612531546</v>
      </c>
      <c r="P38" s="141">
        <f t="shared" si="64"/>
        <v>162.06729209075496</v>
      </c>
      <c r="Q38" s="141">
        <f t="shared" si="64"/>
        <v>184.53632290780689</v>
      </c>
      <c r="R38" s="141">
        <f t="shared" si="64"/>
        <v>210.35344928920779</v>
      </c>
      <c r="S38" s="141">
        <f t="shared" si="64"/>
        <v>240.02299653070077</v>
      </c>
      <c r="T38" s="141">
        <f t="shared" si="64"/>
        <v>274.12545245639291</v>
      </c>
      <c r="U38" s="141">
        <f t="shared" si="64"/>
        <v>313.32897636571761</v>
      </c>
      <c r="V38" s="141">
        <f t="shared" si="64"/>
        <v>358.40264735004382</v>
      </c>
    </row>
  </sheetData>
  <printOptions gridLines="1"/>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H26"/>
  <sheetViews>
    <sheetView showGridLines="0" zoomScaleNormal="100" workbookViewId="0"/>
  </sheetViews>
  <sheetFormatPr defaultColWidth="8.6640625" defaultRowHeight="18" customHeight="1" outlineLevelRow="1" x14ac:dyDescent="0.45"/>
  <cols>
    <col min="1" max="1" width="3" customWidth="1"/>
    <col min="2" max="2" width="34" customWidth="1"/>
    <col min="3" max="6" width="15" customWidth="1"/>
    <col min="7" max="7" width="5.59765625" customWidth="1"/>
    <col min="8" max="8" width="100.59765625" customWidth="1"/>
  </cols>
  <sheetData>
    <row r="2" spans="2:8" ht="18" customHeight="1" x14ac:dyDescent="0.6">
      <c r="B2" s="5" t="s">
        <v>270</v>
      </c>
    </row>
    <row r="4" spans="2:8" ht="18" customHeight="1" x14ac:dyDescent="0.45">
      <c r="B4" s="66" t="s">
        <v>271</v>
      </c>
      <c r="C4" s="66"/>
      <c r="D4" s="66"/>
      <c r="E4" s="66"/>
      <c r="F4" s="66"/>
      <c r="H4" s="66"/>
    </row>
    <row r="6" spans="2:8" ht="18" customHeight="1" x14ac:dyDescent="0.45">
      <c r="B6" s="166" t="s">
        <v>520</v>
      </c>
      <c r="C6" s="60">
        <v>2026</v>
      </c>
      <c r="D6" s="60">
        <f>C6+1</f>
        <v>2027</v>
      </c>
      <c r="E6" s="60">
        <f t="shared" ref="E6" si="0">D6+1</f>
        <v>2028</v>
      </c>
      <c r="F6" s="60">
        <f t="shared" ref="F6" si="1">E6+1</f>
        <v>2029</v>
      </c>
      <c r="H6" s="60" t="s">
        <v>413</v>
      </c>
    </row>
    <row r="7" spans="2:8" ht="18" customHeight="1" x14ac:dyDescent="0.45">
      <c r="B7" s="159" t="s">
        <v>273</v>
      </c>
      <c r="C7" s="123">
        <v>0.5</v>
      </c>
      <c r="D7" s="123">
        <f>$C$12</f>
        <v>1.5118864315095806</v>
      </c>
      <c r="E7" s="123">
        <f>$C$12</f>
        <v>1.5118864315095806</v>
      </c>
      <c r="F7" s="123">
        <f t="shared" ref="F7" si="2">$C$12</f>
        <v>1.5118864315095806</v>
      </c>
      <c r="H7" t="s">
        <v>518</v>
      </c>
    </row>
    <row r="8" spans="2:8" ht="18" customHeight="1" x14ac:dyDescent="0.45">
      <c r="B8" s="159" t="s">
        <v>259</v>
      </c>
      <c r="C8" s="123">
        <v>0.25</v>
      </c>
      <c r="D8" s="123">
        <f>D7/2</f>
        <v>0.75594321575479029</v>
      </c>
      <c r="E8" s="123">
        <f t="shared" ref="E8:F8" si="3">E7/2</f>
        <v>0.75594321575479029</v>
      </c>
      <c r="F8" s="123">
        <f t="shared" si="3"/>
        <v>0.75594321575479029</v>
      </c>
      <c r="H8" t="s">
        <v>519</v>
      </c>
    </row>
    <row r="9" spans="2:8" ht="18" customHeight="1" x14ac:dyDescent="0.45">
      <c r="B9" s="159" t="s">
        <v>272</v>
      </c>
      <c r="C9" s="123">
        <v>0.15</v>
      </c>
      <c r="D9" s="123">
        <f>C9-0.025</f>
        <v>0.125</v>
      </c>
      <c r="E9" s="123">
        <f t="shared" ref="E9" si="4">D9-0.025</f>
        <v>0.1</v>
      </c>
      <c r="F9" s="123">
        <f t="shared" ref="F9" si="5">E9-0.025</f>
        <v>7.5000000000000011E-2</v>
      </c>
      <c r="H9" t="s">
        <v>421</v>
      </c>
    </row>
    <row r="11" spans="2:8" ht="18" hidden="1" customHeight="1" outlineLevel="1" x14ac:dyDescent="0.45">
      <c r="B11" s="159" t="s">
        <v>516</v>
      </c>
      <c r="C11" s="222">
        <v>100</v>
      </c>
    </row>
    <row r="12" spans="2:8" ht="18" hidden="1" customHeight="1" outlineLevel="1" x14ac:dyDescent="0.45">
      <c r="B12" s="159" t="s">
        <v>517</v>
      </c>
      <c r="C12" s="165">
        <f>(C11^(1/5)) -1</f>
        <v>1.5118864315095806</v>
      </c>
    </row>
    <row r="13" spans="2:8" ht="18" hidden="1" customHeight="1" outlineLevel="1" x14ac:dyDescent="0.45"/>
    <row r="14" spans="2:8" ht="18" customHeight="1" collapsed="1" x14ac:dyDescent="0.45"/>
    <row r="15" spans="2:8" ht="18" customHeight="1" x14ac:dyDescent="0.45">
      <c r="B15" s="166" t="s">
        <v>407</v>
      </c>
      <c r="C15" s="60">
        <v>2026</v>
      </c>
      <c r="D15" s="60">
        <f>C15+1</f>
        <v>2027</v>
      </c>
      <c r="E15" s="60">
        <f t="shared" ref="E15:F15" si="6">D15+1</f>
        <v>2028</v>
      </c>
      <c r="F15" s="60">
        <f t="shared" si="6"/>
        <v>2029</v>
      </c>
      <c r="H15" s="60" t="s">
        <v>413</v>
      </c>
    </row>
    <row r="16" spans="2:8" ht="18" customHeight="1" x14ac:dyDescent="0.45">
      <c r="B16" s="159" t="s">
        <v>273</v>
      </c>
      <c r="C16" s="123">
        <v>0.5</v>
      </c>
      <c r="D16" s="123">
        <f t="shared" ref="D16:F16" si="7">+D7*0.5</f>
        <v>0.75594321575479029</v>
      </c>
      <c r="E16" s="123">
        <f t="shared" si="7"/>
        <v>0.75594321575479029</v>
      </c>
      <c r="F16" s="123">
        <f t="shared" si="7"/>
        <v>0.75594321575479029</v>
      </c>
      <c r="H16" t="s">
        <v>521</v>
      </c>
    </row>
    <row r="17" spans="1:8" ht="18" customHeight="1" x14ac:dyDescent="0.45">
      <c r="B17" s="159" t="s">
        <v>259</v>
      </c>
      <c r="C17" s="123">
        <v>0.25</v>
      </c>
      <c r="D17" s="123">
        <v>0.2</v>
      </c>
      <c r="E17" s="123">
        <v>0.2</v>
      </c>
      <c r="F17" s="123">
        <v>0.2</v>
      </c>
      <c r="H17" t="s">
        <v>420</v>
      </c>
    </row>
    <row r="18" spans="1:8" ht="18" customHeight="1" x14ac:dyDescent="0.45">
      <c r="B18" s="159" t="s">
        <v>272</v>
      </c>
      <c r="C18" s="123">
        <v>0.15</v>
      </c>
      <c r="D18" s="123">
        <f>C18-0.025</f>
        <v>0.125</v>
      </c>
      <c r="E18" s="123">
        <f t="shared" ref="E18:F18" si="8">D18-0.025</f>
        <v>0.1</v>
      </c>
      <c r="F18" s="123">
        <f t="shared" si="8"/>
        <v>7.5000000000000011E-2</v>
      </c>
      <c r="H18" t="s">
        <v>421</v>
      </c>
    </row>
    <row r="19" spans="1:8" ht="18" hidden="1" customHeight="1" outlineLevel="1" x14ac:dyDescent="0.45">
      <c r="B19" s="159"/>
      <c r="C19" s="100"/>
      <c r="D19" s="100"/>
      <c r="E19" s="100"/>
      <c r="F19" s="100"/>
      <c r="H19" s="100"/>
    </row>
    <row r="20" spans="1:8" ht="18" hidden="1" customHeight="1" outlineLevel="1" x14ac:dyDescent="0.45">
      <c r="B20" s="159"/>
      <c r="C20" s="100" t="str">
        <f>LEFT(C21,2)</f>
        <v>Q1</v>
      </c>
      <c r="D20" s="100" t="str">
        <f t="shared" ref="D20:H20" si="9">LEFT(D21,2)</f>
        <v>Q2</v>
      </c>
      <c r="E20" s="100" t="str">
        <f t="shared" si="9"/>
        <v>Q3</v>
      </c>
      <c r="F20" s="100" t="str">
        <f t="shared" si="9"/>
        <v>Q4</v>
      </c>
      <c r="H20" s="100" t="str">
        <f t="shared" si="9"/>
        <v>Q1</v>
      </c>
    </row>
    <row r="21" spans="1:8" ht="18" hidden="1" customHeight="1" outlineLevel="1" x14ac:dyDescent="0.45">
      <c r="B21" s="159"/>
      <c r="C21" s="60" t="str">
        <f>'Income Statement'!J6</f>
        <v>Q1 2024</v>
      </c>
      <c r="D21" s="60" t="str">
        <f>'Income Statement'!K6</f>
        <v>Q2 2024</v>
      </c>
      <c r="E21" s="60" t="str">
        <f>'Income Statement'!L6</f>
        <v>Q3 2024</v>
      </c>
      <c r="F21" s="60" t="str">
        <f>'Income Statement'!M6</f>
        <v>Q4 2024</v>
      </c>
      <c r="H21" s="60" t="str">
        <f>'Income Statement'!N6</f>
        <v>Q1 2025</v>
      </c>
    </row>
    <row r="22" spans="1:8" ht="18" hidden="1" customHeight="1" outlineLevel="1" x14ac:dyDescent="0.45">
      <c r="B22" s="162" t="s">
        <v>412</v>
      </c>
      <c r="C22" s="160">
        <f>'Income Statement'!J41</f>
        <v>8.8000000000000007</v>
      </c>
      <c r="D22" s="160">
        <f>'Income Statement'!K41</f>
        <v>25.8</v>
      </c>
      <c r="E22" s="160">
        <f>'Income Statement'!L41</f>
        <v>11.5</v>
      </c>
      <c r="F22" s="160">
        <f>'Income Statement'!M41</f>
        <v>13.683999999999999</v>
      </c>
      <c r="H22" s="160">
        <f>'Income Statement'!N41</f>
        <v>19.741</v>
      </c>
    </row>
    <row r="23" spans="1:8" ht="18" hidden="1" customHeight="1" outlineLevel="1" x14ac:dyDescent="0.45">
      <c r="B23" s="3" t="s">
        <v>408</v>
      </c>
      <c r="C23" s="163">
        <f>C22-C24-C25</f>
        <v>5.3000000000000007</v>
      </c>
      <c r="D23" s="163">
        <f t="shared" ref="D23:F23" si="10">D22-D24-D25</f>
        <v>13.3</v>
      </c>
      <c r="E23" s="163">
        <f t="shared" si="10"/>
        <v>8</v>
      </c>
      <c r="F23" s="163">
        <f t="shared" si="10"/>
        <v>10.183999999999999</v>
      </c>
      <c r="H23" s="160">
        <f>AVERAGE(C23:F23)</f>
        <v>9.1959999999999997</v>
      </c>
    </row>
    <row r="24" spans="1:8" ht="18" hidden="1" customHeight="1" outlineLevel="1" x14ac:dyDescent="0.45">
      <c r="A24" t="s">
        <v>409</v>
      </c>
      <c r="B24" s="3" t="s">
        <v>410</v>
      </c>
      <c r="C24" s="163"/>
      <c r="D24" s="164">
        <f>9</f>
        <v>9</v>
      </c>
      <c r="E24" s="163"/>
      <c r="F24" s="163"/>
      <c r="H24" s="164">
        <f>9</f>
        <v>9</v>
      </c>
    </row>
    <row r="25" spans="1:8" ht="18" hidden="1" customHeight="1" outlineLevel="1" x14ac:dyDescent="0.45">
      <c r="B25" s="3" t="s">
        <v>411</v>
      </c>
      <c r="C25" s="164">
        <f t="shared" ref="C25:F25" si="11">14/4</f>
        <v>3.5</v>
      </c>
      <c r="D25" s="164">
        <f t="shared" si="11"/>
        <v>3.5</v>
      </c>
      <c r="E25" s="164">
        <f t="shared" si="11"/>
        <v>3.5</v>
      </c>
      <c r="F25" s="164">
        <f t="shared" si="11"/>
        <v>3.5</v>
      </c>
      <c r="H25" s="161"/>
    </row>
    <row r="26" spans="1:8" ht="18" customHeight="1" collapsed="1" x14ac:dyDescent="0.45"/>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5406-AACB-4860-ABD1-1AA94F98766D}">
  <sheetPr>
    <tabColor theme="8" tint="-0.249977111117893"/>
  </sheetPr>
  <dimension ref="A1"/>
  <sheetViews>
    <sheetView workbookViewId="0"/>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B2:AG95"/>
  <sheetViews>
    <sheetView topLeftCell="B20" zoomScale="89" zoomScaleNormal="75" workbookViewId="0">
      <selection activeCell="E20" sqref="E20"/>
    </sheetView>
  </sheetViews>
  <sheetFormatPr defaultColWidth="8.6640625" defaultRowHeight="14.25" outlineLevelRow="1" x14ac:dyDescent="0.45"/>
  <cols>
    <col min="1" max="1" width="3" customWidth="1"/>
    <col min="2" max="2" width="34" customWidth="1"/>
    <col min="3" max="8" width="12" customWidth="1"/>
    <col min="9" max="9" width="4.19921875" customWidth="1"/>
    <col min="10" max="12" width="10.06640625" bestFit="1" customWidth="1"/>
    <col min="13" max="13" width="10.19921875" bestFit="1" customWidth="1"/>
    <col min="14" max="14" width="11.46484375" bestFit="1" customWidth="1"/>
    <col min="15" max="16" width="10.06640625" bestFit="1" customWidth="1"/>
    <col min="17" max="17" width="10.19921875" bestFit="1" customWidth="1"/>
    <col min="18" max="19" width="10.06640625" bestFit="1" customWidth="1"/>
    <col min="20" max="20" width="9.19921875" customWidth="1"/>
    <col min="21" max="21" width="10.19921875" customWidth="1"/>
    <col min="22" max="33" width="9.19921875" customWidth="1"/>
  </cols>
  <sheetData>
    <row r="2" spans="2:33" ht="20.25" customHeight="1" x14ac:dyDescent="0.6">
      <c r="B2" s="7" t="s">
        <v>10</v>
      </c>
      <c r="C2" s="5"/>
    </row>
    <row r="3" spans="2:33" x14ac:dyDescent="0.45">
      <c r="J3">
        <f>YEAR(J4)</f>
        <v>2024</v>
      </c>
      <c r="K3">
        <f>YEAR(K4)</f>
        <v>2024</v>
      </c>
      <c r="L3">
        <f t="shared" ref="L3:V3" si="0">YEAR(L4)</f>
        <v>2024</v>
      </c>
      <c r="M3">
        <f t="shared" si="0"/>
        <v>2024</v>
      </c>
      <c r="N3">
        <f t="shared" si="0"/>
        <v>2025</v>
      </c>
      <c r="O3">
        <f t="shared" si="0"/>
        <v>2025</v>
      </c>
      <c r="P3">
        <f t="shared" si="0"/>
        <v>2025</v>
      </c>
      <c r="Q3">
        <f t="shared" si="0"/>
        <v>2025</v>
      </c>
      <c r="R3">
        <f t="shared" si="0"/>
        <v>2026</v>
      </c>
      <c r="S3">
        <f t="shared" si="0"/>
        <v>2026</v>
      </c>
      <c r="T3">
        <f t="shared" si="0"/>
        <v>2026</v>
      </c>
      <c r="U3">
        <f t="shared" si="0"/>
        <v>2026</v>
      </c>
      <c r="V3">
        <f t="shared" si="0"/>
        <v>2027</v>
      </c>
      <c r="W3">
        <f t="shared" ref="W3" si="1">YEAR(W4)</f>
        <v>2027</v>
      </c>
      <c r="X3">
        <f t="shared" ref="X3" si="2">YEAR(X4)</f>
        <v>2027</v>
      </c>
      <c r="Y3">
        <f t="shared" ref="Y3" si="3">YEAR(Y4)</f>
        <v>2027</v>
      </c>
      <c r="Z3">
        <f t="shared" ref="Z3" si="4">YEAR(Z4)</f>
        <v>2028</v>
      </c>
      <c r="AA3">
        <f t="shared" ref="AA3" si="5">YEAR(AA4)</f>
        <v>2028</v>
      </c>
      <c r="AB3">
        <f t="shared" ref="AB3" si="6">YEAR(AB4)</f>
        <v>2028</v>
      </c>
      <c r="AC3">
        <f t="shared" ref="AC3" si="7">YEAR(AC4)</f>
        <v>2028</v>
      </c>
      <c r="AD3">
        <f t="shared" ref="AD3" si="8">YEAR(AD4)</f>
        <v>2029</v>
      </c>
      <c r="AE3">
        <f t="shared" ref="AE3" si="9">YEAR(AE4)</f>
        <v>2029</v>
      </c>
      <c r="AF3">
        <f t="shared" ref="AF3" si="10">YEAR(AF4)</f>
        <v>2029</v>
      </c>
      <c r="AG3">
        <f t="shared" ref="AG3" si="11">YEAR(AG4)</f>
        <v>2029</v>
      </c>
    </row>
    <row r="4" spans="2:33" ht="14.25" customHeight="1" outlineLevel="1" x14ac:dyDescent="0.45">
      <c r="J4" s="9">
        <v>45354</v>
      </c>
      <c r="K4" s="9">
        <f t="shared" ref="K4" si="12">EOMONTH(J4,3)</f>
        <v>45473</v>
      </c>
      <c r="L4" s="9">
        <f t="shared" ref="L4" si="13">EOMONTH(K4,3)</f>
        <v>45565</v>
      </c>
      <c r="M4" s="9">
        <f t="shared" ref="M4" si="14">EOMONTH(L4,3)</f>
        <v>45657</v>
      </c>
      <c r="N4" s="9">
        <f t="shared" ref="N4" si="15">EOMONTH(M4,3)</f>
        <v>45747</v>
      </c>
      <c r="O4" s="9">
        <f t="shared" ref="O4" si="16">EOMONTH(N4,3)</f>
        <v>45838</v>
      </c>
      <c r="P4" s="9">
        <f t="shared" ref="P4" si="17">EOMONTH(O4,3)</f>
        <v>45930</v>
      </c>
      <c r="Q4" s="9">
        <f t="shared" ref="Q4" si="18">EOMONTH(P4,3)</f>
        <v>46022</v>
      </c>
      <c r="R4" s="9">
        <f t="shared" ref="R4" si="19">EOMONTH(Q4,3)</f>
        <v>46112</v>
      </c>
      <c r="S4" s="9">
        <f t="shared" ref="S4" si="20">EOMONTH(R4,3)</f>
        <v>46203</v>
      </c>
      <c r="T4" s="9">
        <f t="shared" ref="T4" si="21">EOMONTH(S4,3)</f>
        <v>46295</v>
      </c>
      <c r="U4" s="9">
        <f t="shared" ref="U4" si="22">EOMONTH(T4,3)</f>
        <v>46387</v>
      </c>
      <c r="V4" s="9">
        <f t="shared" ref="V4" si="23">EOMONTH(U4,3)</f>
        <v>46477</v>
      </c>
      <c r="W4" s="9">
        <f t="shared" ref="W4" si="24">EOMONTH(V4,3)</f>
        <v>46568</v>
      </c>
      <c r="X4" s="9">
        <f t="shared" ref="X4" si="25">EOMONTH(W4,3)</f>
        <v>46660</v>
      </c>
      <c r="Y4" s="9">
        <f t="shared" ref="Y4" si="26">EOMONTH(X4,3)</f>
        <v>46752</v>
      </c>
      <c r="Z4" s="9">
        <f t="shared" ref="Z4" si="27">EOMONTH(Y4,3)</f>
        <v>46843</v>
      </c>
      <c r="AA4" s="9">
        <f t="shared" ref="AA4" si="28">EOMONTH(Z4,3)</f>
        <v>46934</v>
      </c>
      <c r="AB4" s="9">
        <f t="shared" ref="AB4" si="29">EOMONTH(AA4,3)</f>
        <v>47026</v>
      </c>
      <c r="AC4" s="9">
        <f t="shared" ref="AC4" si="30">EOMONTH(AB4,3)</f>
        <v>47118</v>
      </c>
      <c r="AD4" s="9">
        <f t="shared" ref="AD4" si="31">EOMONTH(AC4,3)</f>
        <v>47208</v>
      </c>
      <c r="AE4" s="9">
        <f t="shared" ref="AE4" si="32">EOMONTH(AD4,3)</f>
        <v>47299</v>
      </c>
      <c r="AF4" s="9">
        <f t="shared" ref="AF4" si="33">EOMONTH(AE4,3)</f>
        <v>47391</v>
      </c>
      <c r="AG4" s="9">
        <f t="shared" ref="AG4" si="34">EOMONTH(AF4,3)</f>
        <v>47483</v>
      </c>
    </row>
    <row r="5" spans="2:33" ht="18" customHeight="1" x14ac:dyDescent="0.45">
      <c r="B5" s="10" t="s">
        <v>300</v>
      </c>
      <c r="C5" s="11"/>
      <c r="D5" s="11"/>
      <c r="E5" s="11"/>
      <c r="F5" s="11"/>
      <c r="G5" s="11"/>
      <c r="H5" s="11"/>
      <c r="J5" s="59"/>
      <c r="K5" s="11"/>
      <c r="L5" s="11"/>
      <c r="M5" s="11"/>
      <c r="N5" s="11"/>
      <c r="O5" s="11"/>
      <c r="P5" s="11"/>
      <c r="Q5" s="11"/>
      <c r="R5" s="11"/>
      <c r="S5" s="11"/>
      <c r="T5" s="11"/>
      <c r="U5" s="11"/>
      <c r="V5" s="11"/>
      <c r="W5" s="11"/>
      <c r="X5" s="11"/>
      <c r="Y5" s="11"/>
      <c r="Z5" s="11"/>
      <c r="AA5" s="11"/>
      <c r="AB5" s="11"/>
      <c r="AC5" s="11"/>
      <c r="AD5" s="11"/>
      <c r="AE5" s="11"/>
      <c r="AF5" s="11"/>
      <c r="AG5" s="11"/>
    </row>
    <row r="6" spans="2:33" ht="14.25" customHeight="1" x14ac:dyDescent="0.45">
      <c r="B6" s="12" t="s">
        <v>11</v>
      </c>
      <c r="C6" s="13">
        <v>2024</v>
      </c>
      <c r="D6" s="13">
        <v>2025</v>
      </c>
      <c r="E6" s="14">
        <v>2026</v>
      </c>
      <c r="F6" s="14">
        <v>2027</v>
      </c>
      <c r="G6" s="14">
        <v>2028</v>
      </c>
      <c r="H6" s="14">
        <v>2029</v>
      </c>
      <c r="J6" s="15" t="str">
        <f>"Q" &amp; INT((MONTH(J4)-1)/3)+1 &amp; " " &amp; YEAR(J4)</f>
        <v>Q1 2024</v>
      </c>
      <c r="K6" s="15" t="str">
        <f>"Q" &amp; INT((MONTH(K4)-1)/3)+1 &amp; " " &amp; YEAR(K4)</f>
        <v>Q2 2024</v>
      </c>
      <c r="L6" s="15" t="str">
        <f t="shared" ref="L6:V6" si="35">"Q" &amp; INT((MONTH(L4)-1)/3)+1 &amp; " " &amp; YEAR(L4)</f>
        <v>Q3 2024</v>
      </c>
      <c r="M6" s="15" t="str">
        <f t="shared" si="35"/>
        <v>Q4 2024</v>
      </c>
      <c r="N6" s="15" t="str">
        <f t="shared" si="35"/>
        <v>Q1 2025</v>
      </c>
      <c r="O6" s="15" t="str">
        <f t="shared" si="35"/>
        <v>Q2 2025</v>
      </c>
      <c r="P6" s="15" t="str">
        <f t="shared" si="35"/>
        <v>Q3 2025</v>
      </c>
      <c r="Q6" s="15" t="str">
        <f t="shared" si="35"/>
        <v>Q4 2025</v>
      </c>
      <c r="R6" s="15" t="str">
        <f t="shared" si="35"/>
        <v>Q1 2026</v>
      </c>
      <c r="S6" s="15" t="str">
        <f t="shared" si="35"/>
        <v>Q2 2026</v>
      </c>
      <c r="T6" s="15" t="str">
        <f t="shared" si="35"/>
        <v>Q3 2026</v>
      </c>
      <c r="U6" s="15" t="str">
        <f t="shared" si="35"/>
        <v>Q4 2026</v>
      </c>
      <c r="V6" s="15" t="str">
        <f t="shared" si="35"/>
        <v>Q1 2027</v>
      </c>
      <c r="W6" s="15" t="str">
        <f t="shared" ref="W6:AG6" si="36">"Q" &amp; INT((MONTH(W4)-1)/3)+1 &amp; " " &amp; YEAR(W4)</f>
        <v>Q2 2027</v>
      </c>
      <c r="X6" s="15" t="str">
        <f t="shared" si="36"/>
        <v>Q3 2027</v>
      </c>
      <c r="Y6" s="15" t="str">
        <f t="shared" si="36"/>
        <v>Q4 2027</v>
      </c>
      <c r="Z6" s="15" t="str">
        <f t="shared" si="36"/>
        <v>Q1 2028</v>
      </c>
      <c r="AA6" s="15" t="str">
        <f t="shared" si="36"/>
        <v>Q2 2028</v>
      </c>
      <c r="AB6" s="15" t="str">
        <f t="shared" si="36"/>
        <v>Q3 2028</v>
      </c>
      <c r="AC6" s="15" t="str">
        <f t="shared" si="36"/>
        <v>Q4 2028</v>
      </c>
      <c r="AD6" s="15" t="str">
        <f t="shared" si="36"/>
        <v>Q1 2029</v>
      </c>
      <c r="AE6" s="15" t="str">
        <f t="shared" si="36"/>
        <v>Q2 2029</v>
      </c>
      <c r="AF6" s="15" t="str">
        <f t="shared" si="36"/>
        <v>Q3 2029</v>
      </c>
      <c r="AG6" s="15" t="str">
        <f t="shared" si="36"/>
        <v>Q4 2029</v>
      </c>
    </row>
    <row r="7" spans="2:33" ht="14.25" customHeight="1" outlineLevel="1" x14ac:dyDescent="0.45">
      <c r="B7" s="16" t="s">
        <v>25</v>
      </c>
      <c r="C7" s="17">
        <f t="shared" ref="C7:H20" si="37">SUMIFS($J7:$V7,$J$3:$V$3,C$6)</f>
        <v>250201.28200000001</v>
      </c>
      <c r="D7" s="17">
        <f t="shared" si="37"/>
        <v>244811.38700000002</v>
      </c>
      <c r="E7" s="17">
        <f t="shared" si="37"/>
        <v>84397.834000000003</v>
      </c>
      <c r="F7" s="17">
        <f t="shared" si="37"/>
        <v>0</v>
      </c>
      <c r="G7" s="17">
        <f t="shared" si="37"/>
        <v>0</v>
      </c>
      <c r="H7" s="17">
        <f t="shared" si="37"/>
        <v>0</v>
      </c>
      <c r="J7" s="150">
        <v>80404.577000000005</v>
      </c>
      <c r="K7" s="18">
        <v>49578.205999999998</v>
      </c>
      <c r="L7" s="18">
        <v>54192.368000000002</v>
      </c>
      <c r="M7" s="18">
        <v>66026.130999999994</v>
      </c>
      <c r="N7" s="18">
        <v>80236.157000000007</v>
      </c>
      <c r="O7" s="18">
        <v>58630.644999999997</v>
      </c>
      <c r="P7" s="18">
        <v>41599.506999999998</v>
      </c>
      <c r="Q7" s="18">
        <v>64345.078000000001</v>
      </c>
      <c r="R7" s="18">
        <v>51812.747000000003</v>
      </c>
      <c r="S7" s="18">
        <v>32585.087</v>
      </c>
      <c r="T7" s="19"/>
      <c r="U7" s="19"/>
      <c r="V7" s="19"/>
      <c r="W7" s="19"/>
      <c r="X7" s="19"/>
      <c r="Y7" s="19"/>
      <c r="Z7" s="19"/>
      <c r="AA7" s="19"/>
      <c r="AB7" s="19"/>
      <c r="AC7" s="19"/>
      <c r="AD7" s="19"/>
      <c r="AE7" s="19"/>
      <c r="AF7" s="19"/>
      <c r="AG7" s="19"/>
    </row>
    <row r="8" spans="2:33" ht="14.25" customHeight="1" outlineLevel="1" x14ac:dyDescent="0.45">
      <c r="B8" s="16" t="s">
        <v>26</v>
      </c>
      <c r="C8" s="17">
        <f t="shared" si="37"/>
        <v>-250104.769</v>
      </c>
      <c r="D8" s="17">
        <f t="shared" si="37"/>
        <v>-244733.087</v>
      </c>
      <c r="E8" s="17">
        <f t="shared" si="37"/>
        <v>-84362.303</v>
      </c>
      <c r="F8" s="17">
        <f t="shared" si="37"/>
        <v>0</v>
      </c>
      <c r="G8" s="17">
        <f t="shared" si="37"/>
        <v>0</v>
      </c>
      <c r="H8" s="17">
        <f t="shared" si="37"/>
        <v>0</v>
      </c>
      <c r="J8" s="150">
        <v>-80375.573000000004</v>
      </c>
      <c r="K8" s="18">
        <v>-49556.478000000003</v>
      </c>
      <c r="L8" s="18">
        <v>-54171.381000000001</v>
      </c>
      <c r="M8" s="18">
        <v>-66001.337</v>
      </c>
      <c r="N8" s="18">
        <v>-80209.641000000003</v>
      </c>
      <c r="O8" s="18">
        <v>-58615.273000000001</v>
      </c>
      <c r="P8" s="18">
        <v>-41584.605000000003</v>
      </c>
      <c r="Q8" s="18">
        <v>-64323.567999999999</v>
      </c>
      <c r="R8" s="18">
        <v>-51792.741999999998</v>
      </c>
      <c r="S8" s="18">
        <v>-32569.561000000002</v>
      </c>
      <c r="T8" s="19"/>
      <c r="U8" s="19"/>
      <c r="V8" s="19"/>
      <c r="W8" s="19"/>
      <c r="X8" s="19"/>
      <c r="Y8" s="19"/>
      <c r="Z8" s="19"/>
      <c r="AA8" s="19"/>
      <c r="AB8" s="19"/>
      <c r="AC8" s="19"/>
      <c r="AD8" s="19"/>
      <c r="AE8" s="19"/>
      <c r="AF8" s="19"/>
      <c r="AG8" s="19"/>
    </row>
    <row r="9" spans="2:33" ht="14.25" customHeight="1" outlineLevel="1" x14ac:dyDescent="0.45">
      <c r="B9" s="16" t="s">
        <v>27</v>
      </c>
      <c r="C9" s="17">
        <f t="shared" si="37"/>
        <v>61.968000000000004</v>
      </c>
      <c r="D9" s="17">
        <f t="shared" si="37"/>
        <v>158.941</v>
      </c>
      <c r="E9" s="17">
        <f t="shared" si="37"/>
        <v>122.43299999999999</v>
      </c>
      <c r="F9" s="17">
        <f t="shared" si="37"/>
        <v>0</v>
      </c>
      <c r="G9" s="17">
        <f t="shared" si="37"/>
        <v>0</v>
      </c>
      <c r="H9" s="17">
        <f t="shared" si="37"/>
        <v>0</v>
      </c>
      <c r="J9" s="150">
        <v>9.3659999999999997</v>
      </c>
      <c r="K9" s="18">
        <v>26.257000000000001</v>
      </c>
      <c r="L9" s="18">
        <v>11.872</v>
      </c>
      <c r="M9" s="18">
        <v>14.473000000000001</v>
      </c>
      <c r="N9" s="18">
        <v>20.303999999999998</v>
      </c>
      <c r="O9" s="18">
        <v>32.292000000000002</v>
      </c>
      <c r="P9" s="18">
        <v>50.15</v>
      </c>
      <c r="Q9" s="18">
        <v>56.195</v>
      </c>
      <c r="R9" s="18">
        <v>57.481999999999999</v>
      </c>
      <c r="S9" s="18">
        <v>64.950999999999993</v>
      </c>
      <c r="T9" s="19"/>
      <c r="U9" s="19"/>
      <c r="V9" s="19"/>
      <c r="W9" s="19"/>
      <c r="X9" s="19"/>
      <c r="Y9" s="19"/>
      <c r="Z9" s="19"/>
      <c r="AA9" s="19"/>
      <c r="AB9" s="19"/>
      <c r="AC9" s="19"/>
      <c r="AD9" s="19"/>
      <c r="AE9" s="19"/>
      <c r="AF9" s="19"/>
      <c r="AG9" s="19"/>
    </row>
    <row r="10" spans="2:33" ht="14.25" customHeight="1" outlineLevel="1" x14ac:dyDescent="0.45">
      <c r="B10" s="16" t="s">
        <v>28</v>
      </c>
      <c r="C10" s="17">
        <f t="shared" si="37"/>
        <v>207.04300000000001</v>
      </c>
      <c r="D10" s="17">
        <f t="shared" si="37"/>
        <v>-674.96800000000007</v>
      </c>
      <c r="E10" s="17">
        <f t="shared" si="37"/>
        <v>-804.19799999999998</v>
      </c>
      <c r="F10" s="17">
        <f t="shared" si="37"/>
        <v>0</v>
      </c>
      <c r="G10" s="17">
        <f t="shared" si="37"/>
        <v>0</v>
      </c>
      <c r="H10" s="17">
        <f t="shared" si="37"/>
        <v>0</v>
      </c>
      <c r="J10" s="150">
        <v>162.17400000000001</v>
      </c>
      <c r="K10" s="18">
        <v>-99.372</v>
      </c>
      <c r="L10" s="18">
        <v>-41.787999999999997</v>
      </c>
      <c r="M10" s="18">
        <v>186.029</v>
      </c>
      <c r="N10" s="18">
        <v>-246.762</v>
      </c>
      <c r="O10" s="18">
        <v>68.409000000000006</v>
      </c>
      <c r="P10" s="18">
        <v>-11.44</v>
      </c>
      <c r="Q10" s="18">
        <v>-485.17500000000001</v>
      </c>
      <c r="R10" s="18">
        <v>-559.58399999999995</v>
      </c>
      <c r="S10" s="18">
        <v>-244.614</v>
      </c>
      <c r="T10" s="19"/>
      <c r="U10" s="19"/>
      <c r="V10" s="19"/>
      <c r="W10" s="19"/>
      <c r="X10" s="19"/>
      <c r="Y10" s="19"/>
      <c r="Z10" s="19"/>
      <c r="AA10" s="19"/>
      <c r="AB10" s="19"/>
      <c r="AC10" s="19"/>
      <c r="AD10" s="19"/>
      <c r="AE10" s="19"/>
      <c r="AF10" s="19"/>
      <c r="AG10" s="19"/>
    </row>
    <row r="11" spans="2:33" ht="14.25" customHeight="1" outlineLevel="1" x14ac:dyDescent="0.45">
      <c r="B11" s="16" t="s">
        <v>29</v>
      </c>
      <c r="C11" s="17">
        <f t="shared" si="37"/>
        <v>-17.138000000000002</v>
      </c>
      <c r="D11" s="17">
        <f t="shared" si="37"/>
        <v>-7.1790000000000003</v>
      </c>
      <c r="E11" s="17">
        <f t="shared" si="37"/>
        <v>-0.94499999999999995</v>
      </c>
      <c r="F11" s="17">
        <f t="shared" si="37"/>
        <v>0</v>
      </c>
      <c r="G11" s="17">
        <f t="shared" si="37"/>
        <v>0</v>
      </c>
      <c r="H11" s="17">
        <f t="shared" si="37"/>
        <v>0</v>
      </c>
      <c r="J11" s="150">
        <v>-4.22</v>
      </c>
      <c r="K11" s="18">
        <v>-4.7969999999999997</v>
      </c>
      <c r="L11" s="18">
        <v>-4.8929999999999998</v>
      </c>
      <c r="M11" s="18">
        <v>-3.2280000000000002</v>
      </c>
      <c r="N11" s="18">
        <v>-3.702</v>
      </c>
      <c r="O11" s="18">
        <v>-1.9890000000000001</v>
      </c>
      <c r="P11" s="18">
        <v>-0.60199999999999998</v>
      </c>
      <c r="Q11" s="18">
        <v>-0.88600000000000001</v>
      </c>
      <c r="R11" s="18">
        <v>3.5000000000000003E-2</v>
      </c>
      <c r="S11" s="18">
        <v>-0.98</v>
      </c>
      <c r="T11" s="19"/>
      <c r="U11" s="19"/>
      <c r="V11" s="19"/>
      <c r="W11" s="19"/>
      <c r="X11" s="19"/>
      <c r="Y11" s="19"/>
      <c r="Z11" s="19"/>
      <c r="AA11" s="19"/>
      <c r="AB11" s="19"/>
      <c r="AC11" s="19"/>
      <c r="AD11" s="19"/>
      <c r="AE11" s="19"/>
      <c r="AF11" s="19"/>
      <c r="AG11" s="19"/>
    </row>
    <row r="12" spans="2:33" ht="14.25" customHeight="1" outlineLevel="1" x14ac:dyDescent="0.45">
      <c r="B12" s="16" t="s">
        <v>30</v>
      </c>
      <c r="C12" s="17">
        <f t="shared" si="37"/>
        <v>29.452999999999999</v>
      </c>
      <c r="D12" s="17">
        <f t="shared" si="37"/>
        <v>-36.035000000000025</v>
      </c>
      <c r="E12" s="17">
        <f t="shared" si="37"/>
        <v>-122.95100000000001</v>
      </c>
      <c r="F12" s="17">
        <f t="shared" si="37"/>
        <v>0</v>
      </c>
      <c r="G12" s="17">
        <f t="shared" si="37"/>
        <v>0</v>
      </c>
      <c r="H12" s="17">
        <f t="shared" si="37"/>
        <v>0</v>
      </c>
      <c r="J12" s="150">
        <v>0.34899999999999998</v>
      </c>
      <c r="K12" s="18">
        <v>-0.73799999999999999</v>
      </c>
      <c r="L12" s="18">
        <v>2.4729999999999999</v>
      </c>
      <c r="M12" s="18">
        <v>27.369</v>
      </c>
      <c r="N12" s="18">
        <v>-71.81</v>
      </c>
      <c r="O12" s="18">
        <v>86.358999999999995</v>
      </c>
      <c r="P12" s="18">
        <v>54.970999999999997</v>
      </c>
      <c r="Q12" s="18">
        <v>-105.55500000000001</v>
      </c>
      <c r="R12" s="18">
        <v>-92.373000000000005</v>
      </c>
      <c r="S12" s="18">
        <v>-30.577999999999999</v>
      </c>
      <c r="T12" s="19"/>
      <c r="U12" s="19"/>
      <c r="V12" s="19"/>
      <c r="W12" s="19"/>
      <c r="X12" s="19"/>
      <c r="Y12" s="19"/>
      <c r="Z12" s="19"/>
      <c r="AA12" s="19"/>
      <c r="AB12" s="19"/>
      <c r="AC12" s="19"/>
      <c r="AD12" s="19"/>
      <c r="AE12" s="19"/>
      <c r="AF12" s="19"/>
      <c r="AG12" s="19"/>
    </row>
    <row r="13" spans="2:33" ht="14.25" customHeight="1" outlineLevel="1" x14ac:dyDescent="0.45">
      <c r="B13" s="152" t="s">
        <v>31</v>
      </c>
      <c r="C13" s="190">
        <f t="shared" si="37"/>
        <v>-153.119</v>
      </c>
      <c r="D13" s="190">
        <f t="shared" si="37"/>
        <v>-182.18800000000002</v>
      </c>
      <c r="E13" s="190">
        <f>SUMIFS($J13:$V13,$J$3:$V$3,E$6)</f>
        <v>-104.548</v>
      </c>
      <c r="F13" s="17">
        <f t="shared" si="37"/>
        <v>0</v>
      </c>
      <c r="G13" s="17">
        <f t="shared" si="37"/>
        <v>0</v>
      </c>
      <c r="H13" s="17">
        <f t="shared" si="37"/>
        <v>0</v>
      </c>
      <c r="J13" s="150">
        <v>-36.756999999999998</v>
      </c>
      <c r="K13" s="18">
        <v>-39.661999999999999</v>
      </c>
      <c r="L13" s="18">
        <v>-39.618000000000002</v>
      </c>
      <c r="M13" s="18">
        <v>-37.082000000000001</v>
      </c>
      <c r="N13" s="18">
        <v>-47.186</v>
      </c>
      <c r="O13" s="18">
        <v>-43.017000000000003</v>
      </c>
      <c r="P13" s="18">
        <v>-45.709000000000003</v>
      </c>
      <c r="Q13" s="18">
        <v>-46.276000000000003</v>
      </c>
      <c r="R13" s="18">
        <v>-48.28</v>
      </c>
      <c r="S13" s="18">
        <v>-56.268000000000001</v>
      </c>
      <c r="T13" s="19"/>
      <c r="U13" s="19"/>
      <c r="V13" s="19"/>
      <c r="W13" s="19"/>
      <c r="X13" s="19"/>
      <c r="Y13" s="19"/>
      <c r="Z13" s="19"/>
      <c r="AA13" s="19"/>
      <c r="AB13" s="19"/>
      <c r="AC13" s="19"/>
      <c r="AD13" s="19"/>
      <c r="AE13" s="19"/>
      <c r="AF13" s="19"/>
      <c r="AG13" s="19"/>
    </row>
    <row r="14" spans="2:33" ht="14.25" customHeight="1" outlineLevel="1" x14ac:dyDescent="0.45">
      <c r="B14" s="152" t="s">
        <v>32</v>
      </c>
      <c r="C14" s="190">
        <f t="shared" si="37"/>
        <v>-46.080999999999996</v>
      </c>
      <c r="D14" s="190">
        <f t="shared" si="37"/>
        <v>-60.424999999999997</v>
      </c>
      <c r="E14" s="190">
        <f t="shared" si="37"/>
        <v>-78.043000000000006</v>
      </c>
      <c r="F14" s="17">
        <f t="shared" si="37"/>
        <v>0</v>
      </c>
      <c r="G14" s="17">
        <f t="shared" si="37"/>
        <v>0</v>
      </c>
      <c r="H14" s="17">
        <f t="shared" si="37"/>
        <v>0</v>
      </c>
      <c r="J14" s="150">
        <v>-9.9160000000000004</v>
      </c>
      <c r="K14" s="18">
        <v>-16.72</v>
      </c>
      <c r="L14" s="18">
        <v>-6.81</v>
      </c>
      <c r="M14" s="18">
        <v>-12.635</v>
      </c>
      <c r="N14" s="18">
        <v>-15.063000000000001</v>
      </c>
      <c r="O14" s="18">
        <v>-17.361999999999998</v>
      </c>
      <c r="P14" s="18">
        <v>-13.608000000000001</v>
      </c>
      <c r="Q14" s="18">
        <v>-14.391999999999999</v>
      </c>
      <c r="R14" s="18">
        <v>-45.53</v>
      </c>
      <c r="S14" s="18">
        <v>-32.512999999999998</v>
      </c>
      <c r="T14" s="19"/>
      <c r="U14" s="19"/>
      <c r="V14" s="19"/>
      <c r="W14" s="19"/>
      <c r="X14" s="19"/>
      <c r="Y14" s="19"/>
      <c r="Z14" s="19"/>
      <c r="AA14" s="19"/>
      <c r="AB14" s="19"/>
      <c r="AC14" s="19"/>
      <c r="AD14" s="19"/>
      <c r="AE14" s="19"/>
      <c r="AF14" s="19"/>
      <c r="AG14" s="19"/>
    </row>
    <row r="15" spans="2:33" ht="14.25" customHeight="1" outlineLevel="1" x14ac:dyDescent="0.45">
      <c r="B15" s="152" t="s">
        <v>33</v>
      </c>
      <c r="C15" s="190">
        <f t="shared" si="37"/>
        <v>-38.529000000000003</v>
      </c>
      <c r="D15" s="190">
        <f t="shared" si="37"/>
        <v>-52.369</v>
      </c>
      <c r="E15" s="190">
        <f t="shared" si="37"/>
        <v>-28.546999999999997</v>
      </c>
      <c r="F15" s="17">
        <f t="shared" si="37"/>
        <v>0</v>
      </c>
      <c r="G15" s="17">
        <f t="shared" si="37"/>
        <v>0</v>
      </c>
      <c r="H15" s="17">
        <f t="shared" si="37"/>
        <v>0</v>
      </c>
      <c r="J15" s="150">
        <v>-8.9290000000000003</v>
      </c>
      <c r="K15" s="18">
        <v>-9.0630000000000006</v>
      </c>
      <c r="L15" s="18">
        <v>-9.8780000000000001</v>
      </c>
      <c r="M15" s="18">
        <v>-10.659000000000001</v>
      </c>
      <c r="N15" s="18">
        <v>-10.24</v>
      </c>
      <c r="O15" s="18">
        <v>-13.291</v>
      </c>
      <c r="P15" s="18">
        <v>-13.906000000000001</v>
      </c>
      <c r="Q15" s="18">
        <v>-14.932</v>
      </c>
      <c r="R15" s="18">
        <v>-14.087999999999999</v>
      </c>
      <c r="S15" s="18">
        <v>-14.459</v>
      </c>
      <c r="T15" s="19"/>
      <c r="U15" s="19"/>
      <c r="V15" s="19"/>
      <c r="W15" s="19"/>
      <c r="X15" s="19"/>
      <c r="Y15" s="19"/>
      <c r="Z15" s="19"/>
      <c r="AA15" s="19"/>
      <c r="AB15" s="19"/>
      <c r="AC15" s="19"/>
      <c r="AD15" s="19"/>
      <c r="AE15" s="19"/>
      <c r="AF15" s="19"/>
      <c r="AG15" s="19"/>
    </row>
    <row r="16" spans="2:33" ht="14.25" customHeight="1" outlineLevel="1" x14ac:dyDescent="0.45">
      <c r="B16" s="16" t="s">
        <v>34</v>
      </c>
      <c r="C16" s="17">
        <f t="shared" si="37"/>
        <v>-12.190000000000001</v>
      </c>
      <c r="D16" s="17">
        <f t="shared" si="37"/>
        <v>9.609</v>
      </c>
      <c r="E16" s="17">
        <f t="shared" si="37"/>
        <v>91.58</v>
      </c>
      <c r="F16" s="17">
        <f t="shared" si="37"/>
        <v>0</v>
      </c>
      <c r="G16" s="17">
        <f t="shared" si="37"/>
        <v>0</v>
      </c>
      <c r="H16" s="17">
        <f t="shared" si="37"/>
        <v>0</v>
      </c>
      <c r="J16" s="150">
        <v>-0.52600000000000002</v>
      </c>
      <c r="K16" s="18">
        <v>0.17499999999999999</v>
      </c>
      <c r="L16" s="18">
        <v>1.028</v>
      </c>
      <c r="M16" s="18">
        <v>-12.867000000000001</v>
      </c>
      <c r="N16" s="18">
        <v>0</v>
      </c>
      <c r="O16" s="18">
        <v>-2.379</v>
      </c>
      <c r="P16" s="18">
        <v>-5.5330000000000004</v>
      </c>
      <c r="Q16" s="18">
        <v>17.521000000000001</v>
      </c>
      <c r="R16" s="18">
        <v>69.197000000000003</v>
      </c>
      <c r="S16" s="18">
        <v>22.382999999999999</v>
      </c>
      <c r="T16" s="19"/>
      <c r="U16" s="19"/>
      <c r="V16" s="19"/>
      <c r="W16" s="19"/>
      <c r="X16" s="19"/>
      <c r="Y16" s="19"/>
      <c r="Z16" s="19"/>
      <c r="AA16" s="19"/>
      <c r="AB16" s="19"/>
      <c r="AC16" s="19"/>
      <c r="AD16" s="19"/>
      <c r="AE16" s="19"/>
      <c r="AF16" s="19"/>
      <c r="AG16" s="19"/>
    </row>
    <row r="17" spans="2:33" ht="14.25" customHeight="1" outlineLevel="1" x14ac:dyDescent="0.45">
      <c r="B17" s="16" t="s">
        <v>35</v>
      </c>
      <c r="C17" s="17">
        <f t="shared" si="37"/>
        <v>-43.349999999999994</v>
      </c>
      <c r="D17" s="17">
        <f t="shared" si="37"/>
        <v>-20.100000000000001</v>
      </c>
      <c r="E17" s="17">
        <f t="shared" si="37"/>
        <v>4.2</v>
      </c>
      <c r="F17" s="17">
        <f t="shared" si="37"/>
        <v>0</v>
      </c>
      <c r="G17" s="17">
        <f t="shared" si="37"/>
        <v>0</v>
      </c>
      <c r="H17" s="17">
        <f t="shared" si="37"/>
        <v>0</v>
      </c>
      <c r="J17" s="150">
        <v>-35.6</v>
      </c>
      <c r="K17" s="18">
        <v>6.1</v>
      </c>
      <c r="L17" s="18">
        <v>0.1</v>
      </c>
      <c r="M17" s="18">
        <v>-13.95</v>
      </c>
      <c r="N17" s="18">
        <v>-0.9</v>
      </c>
      <c r="O17" s="18">
        <v>-15.25</v>
      </c>
      <c r="P17" s="18">
        <v>-10.85</v>
      </c>
      <c r="Q17" s="18">
        <v>6.9</v>
      </c>
      <c r="R17" s="18">
        <v>8.5</v>
      </c>
      <c r="S17" s="18">
        <v>-4.3</v>
      </c>
      <c r="T17" s="19"/>
      <c r="U17" s="19"/>
      <c r="V17" s="19"/>
      <c r="W17" s="19"/>
      <c r="X17" s="19"/>
      <c r="Y17" s="19"/>
      <c r="Z17" s="19"/>
      <c r="AA17" s="19"/>
      <c r="AB17" s="19"/>
      <c r="AC17" s="19"/>
      <c r="AD17" s="19"/>
      <c r="AE17" s="19"/>
      <c r="AF17" s="19"/>
      <c r="AG17" s="19"/>
    </row>
    <row r="18" spans="2:33" ht="14.25" customHeight="1" x14ac:dyDescent="0.45">
      <c r="B18" s="12" t="s">
        <v>36</v>
      </c>
      <c r="C18" s="20">
        <f t="shared" si="37"/>
        <v>84.569999999991794</v>
      </c>
      <c r="D18" s="20">
        <f t="shared" si="37"/>
        <v>-786.41400000000453</v>
      </c>
      <c r="E18" s="20">
        <f t="shared" si="37"/>
        <v>-885.48799999999721</v>
      </c>
      <c r="F18" s="20">
        <f t="shared" si="37"/>
        <v>0</v>
      </c>
      <c r="G18" s="20">
        <f t="shared" si="37"/>
        <v>0</v>
      </c>
      <c r="H18" s="20">
        <f t="shared" si="37"/>
        <v>0</v>
      </c>
      <c r="I18" s="149"/>
      <c r="J18" s="20">
        <f t="shared" ref="J18:AG18" si="38">J7+J8+J9+J10+J11+J12+J13+J14+J15+J16+J17</f>
        <v>104.94500000000082</v>
      </c>
      <c r="K18" s="20">
        <f t="shared" si="38"/>
        <v>-116.09200000000448</v>
      </c>
      <c r="L18" s="20">
        <f t="shared" si="38"/>
        <v>-66.526999999999006</v>
      </c>
      <c r="M18" s="20">
        <f t="shared" si="38"/>
        <v>162.24399999999446</v>
      </c>
      <c r="N18" s="20">
        <f t="shared" si="38"/>
        <v>-348.84299999999672</v>
      </c>
      <c r="O18" s="20">
        <f t="shared" si="38"/>
        <v>109.14399999999576</v>
      </c>
      <c r="P18" s="20">
        <f t="shared" si="38"/>
        <v>18.374999999994586</v>
      </c>
      <c r="Q18" s="20">
        <f t="shared" si="38"/>
        <v>-565.0899999999981</v>
      </c>
      <c r="R18" s="20">
        <f t="shared" si="38"/>
        <v>-604.63599999999519</v>
      </c>
      <c r="S18" s="20">
        <f t="shared" si="38"/>
        <v>-280.85200000000202</v>
      </c>
      <c r="T18" s="20">
        <f t="shared" si="38"/>
        <v>0</v>
      </c>
      <c r="U18" s="20">
        <f t="shared" si="38"/>
        <v>0</v>
      </c>
      <c r="V18" s="20">
        <f t="shared" si="38"/>
        <v>0</v>
      </c>
      <c r="W18" s="20">
        <f t="shared" si="38"/>
        <v>0</v>
      </c>
      <c r="X18" s="20">
        <f t="shared" si="38"/>
        <v>0</v>
      </c>
      <c r="Y18" s="20">
        <f t="shared" si="38"/>
        <v>0</v>
      </c>
      <c r="Z18" s="20">
        <f t="shared" si="38"/>
        <v>0</v>
      </c>
      <c r="AA18" s="20">
        <f t="shared" si="38"/>
        <v>0</v>
      </c>
      <c r="AB18" s="20">
        <f t="shared" si="38"/>
        <v>0</v>
      </c>
      <c r="AC18" s="20">
        <f t="shared" si="38"/>
        <v>0</v>
      </c>
      <c r="AD18" s="20">
        <f t="shared" si="38"/>
        <v>0</v>
      </c>
      <c r="AE18" s="20">
        <f t="shared" si="38"/>
        <v>0</v>
      </c>
      <c r="AF18" s="20">
        <f t="shared" si="38"/>
        <v>0</v>
      </c>
      <c r="AG18" s="20">
        <f t="shared" si="38"/>
        <v>0</v>
      </c>
    </row>
    <row r="19" spans="2:33" outlineLevel="1" x14ac:dyDescent="0.45">
      <c r="B19" s="16" t="s">
        <v>37</v>
      </c>
      <c r="C19" s="17">
        <f t="shared" si="37"/>
        <v>-5.0049999999999999</v>
      </c>
      <c r="D19" s="17">
        <f t="shared" si="37"/>
        <v>0.502</v>
      </c>
      <c r="E19" s="17">
        <f t="shared" si="37"/>
        <v>-0.23</v>
      </c>
      <c r="F19" s="17">
        <f t="shared" si="37"/>
        <v>0</v>
      </c>
      <c r="G19" s="17">
        <f t="shared" si="37"/>
        <v>0</v>
      </c>
      <c r="H19" s="17">
        <f t="shared" si="37"/>
        <v>0</v>
      </c>
      <c r="J19" s="150">
        <v>-0.17599999999999999</v>
      </c>
      <c r="K19" s="18">
        <v>-0.30199999999999999</v>
      </c>
      <c r="L19" s="18">
        <v>-0.745</v>
      </c>
      <c r="M19" s="18">
        <v>-3.782</v>
      </c>
      <c r="N19" s="18">
        <v>-0.221</v>
      </c>
      <c r="O19" s="18">
        <v>-0.876</v>
      </c>
      <c r="P19" s="18">
        <v>7.5999999999999998E-2</v>
      </c>
      <c r="Q19" s="18">
        <v>1.5229999999999999</v>
      </c>
      <c r="R19" s="18">
        <v>-0.22600000000000001</v>
      </c>
      <c r="S19" s="18">
        <v>-4.0000000000000001E-3</v>
      </c>
      <c r="T19" s="19"/>
      <c r="U19" s="19"/>
      <c r="V19" s="19"/>
      <c r="W19" s="19"/>
      <c r="X19" s="19"/>
      <c r="Y19" s="19"/>
      <c r="Z19" s="19"/>
      <c r="AA19" s="19"/>
      <c r="AB19" s="19"/>
      <c r="AC19" s="19"/>
      <c r="AD19" s="19"/>
      <c r="AE19" s="19"/>
      <c r="AF19" s="19"/>
      <c r="AG19" s="19"/>
    </row>
    <row r="20" spans="2:33" ht="14.25" customHeight="1" x14ac:dyDescent="0.45">
      <c r="B20" s="21" t="s">
        <v>38</v>
      </c>
      <c r="C20" s="22">
        <f t="shared" si="37"/>
        <v>79.56499999999177</v>
      </c>
      <c r="D20" s="22">
        <f t="shared" si="37"/>
        <v>-785.91200000000447</v>
      </c>
      <c r="E20" s="22">
        <f t="shared" si="37"/>
        <v>-885.71799999999723</v>
      </c>
      <c r="F20" s="22">
        <f t="shared" si="37"/>
        <v>0</v>
      </c>
      <c r="G20" s="22">
        <f t="shared" si="37"/>
        <v>0</v>
      </c>
      <c r="H20" s="22">
        <f t="shared" si="37"/>
        <v>0</v>
      </c>
      <c r="J20" s="20">
        <f t="shared" ref="J20:N20" si="39">J18+J19</f>
        <v>104.76900000000082</v>
      </c>
      <c r="K20" s="20">
        <f t="shared" si="39"/>
        <v>-116.39400000000448</v>
      </c>
      <c r="L20" s="20">
        <f t="shared" si="39"/>
        <v>-67.271999999999011</v>
      </c>
      <c r="M20" s="22">
        <f t="shared" si="39"/>
        <v>158.46199999999445</v>
      </c>
      <c r="N20" s="22">
        <f t="shared" si="39"/>
        <v>-349.06399999999672</v>
      </c>
      <c r="O20" s="22">
        <f>SUM(O18:O19)</f>
        <v>108.26799999999575</v>
      </c>
      <c r="P20" s="22">
        <f t="shared" ref="P20:V20" si="40">P18+P19</f>
        <v>18.450999999994586</v>
      </c>
      <c r="Q20" s="22">
        <f t="shared" si="40"/>
        <v>-563.56699999999807</v>
      </c>
      <c r="R20" s="22">
        <f t="shared" si="40"/>
        <v>-604.86199999999519</v>
      </c>
      <c r="S20" s="22">
        <f t="shared" si="40"/>
        <v>-280.85600000000204</v>
      </c>
      <c r="T20" s="22">
        <f t="shared" si="40"/>
        <v>0</v>
      </c>
      <c r="U20" s="22">
        <f t="shared" si="40"/>
        <v>0</v>
      </c>
      <c r="V20" s="22">
        <f t="shared" si="40"/>
        <v>0</v>
      </c>
      <c r="W20" s="22">
        <f t="shared" ref="W20:AG20" si="41">W18+W19</f>
        <v>0</v>
      </c>
      <c r="X20" s="22">
        <f t="shared" si="41"/>
        <v>0</v>
      </c>
      <c r="Y20" s="22">
        <f t="shared" si="41"/>
        <v>0</v>
      </c>
      <c r="Z20" s="22">
        <f t="shared" si="41"/>
        <v>0</v>
      </c>
      <c r="AA20" s="22">
        <f t="shared" si="41"/>
        <v>0</v>
      </c>
      <c r="AB20" s="22">
        <f t="shared" si="41"/>
        <v>0</v>
      </c>
      <c r="AC20" s="22">
        <f t="shared" si="41"/>
        <v>0</v>
      </c>
      <c r="AD20" s="22">
        <f t="shared" si="41"/>
        <v>0</v>
      </c>
      <c r="AE20" s="22">
        <f t="shared" si="41"/>
        <v>0</v>
      </c>
      <c r="AF20" s="22">
        <f t="shared" si="41"/>
        <v>0</v>
      </c>
      <c r="AG20" s="22">
        <f t="shared" si="41"/>
        <v>0</v>
      </c>
    </row>
    <row r="21" spans="2:33" ht="14.25" customHeight="1" x14ac:dyDescent="0.45">
      <c r="B21" s="16"/>
      <c r="C21" s="16"/>
      <c r="D21" s="16"/>
      <c r="E21" s="16"/>
      <c r="F21" s="16"/>
      <c r="G21" s="16"/>
      <c r="H21" s="16"/>
      <c r="J21" s="16"/>
      <c r="K21" s="16"/>
      <c r="L21" s="16"/>
      <c r="M21" s="16"/>
      <c r="N21" s="16"/>
      <c r="O21" s="16"/>
      <c r="P21" s="16"/>
      <c r="Q21" s="16"/>
      <c r="R21" s="16"/>
      <c r="S21" s="16"/>
      <c r="T21" s="16"/>
      <c r="U21" s="16"/>
      <c r="V21" s="16"/>
      <c r="W21" s="16"/>
      <c r="X21" s="16"/>
      <c r="Y21" s="16"/>
      <c r="Z21" s="16"/>
      <c r="AA21" s="16"/>
      <c r="AB21" s="16"/>
      <c r="AC21" s="16"/>
      <c r="AD21" s="16"/>
      <c r="AE21" s="16"/>
      <c r="AF21" s="16"/>
      <c r="AG21" s="16"/>
    </row>
    <row r="22" spans="2:33" ht="14.25" hidden="1" customHeight="1" outlineLevel="1" x14ac:dyDescent="0.45">
      <c r="B22" s="16" t="s">
        <v>39</v>
      </c>
      <c r="C22" s="16"/>
      <c r="D22" s="16"/>
      <c r="E22" s="16"/>
      <c r="F22" s="16"/>
      <c r="G22" s="16"/>
      <c r="H22" s="16"/>
      <c r="J22" s="19"/>
      <c r="K22" s="18">
        <v>-115.346</v>
      </c>
      <c r="L22" s="18">
        <v>-66.731999999999999</v>
      </c>
      <c r="M22" s="18">
        <v>157.03299999999999</v>
      </c>
      <c r="N22" s="18">
        <v>-343.99400000000003</v>
      </c>
      <c r="O22" s="18">
        <v>107.51300000000001</v>
      </c>
      <c r="P22" s="18">
        <v>18.396999999999998</v>
      </c>
      <c r="Q22" s="18">
        <v>-546.59799999999996</v>
      </c>
      <c r="R22" s="18">
        <v>-581.71299999999997</v>
      </c>
      <c r="S22" s="19"/>
      <c r="T22" s="19"/>
      <c r="U22" s="19"/>
      <c r="V22" s="19"/>
      <c r="W22" s="19"/>
      <c r="X22" s="19"/>
      <c r="Y22" s="19"/>
      <c r="Z22" s="19"/>
      <c r="AA22" s="19"/>
      <c r="AB22" s="19"/>
      <c r="AC22" s="19"/>
      <c r="AD22" s="19"/>
      <c r="AE22" s="19"/>
      <c r="AF22" s="19"/>
      <c r="AG22" s="19"/>
    </row>
    <row r="23" spans="2:33" ht="14.25" hidden="1" customHeight="1" outlineLevel="1" x14ac:dyDescent="0.45">
      <c r="B23" s="16" t="s">
        <v>40</v>
      </c>
      <c r="C23" s="16"/>
      <c r="D23" s="16"/>
      <c r="E23" s="16"/>
      <c r="F23" s="16"/>
      <c r="G23" s="16"/>
      <c r="H23" s="16"/>
      <c r="J23" s="19"/>
      <c r="K23" s="18">
        <v>-1.048</v>
      </c>
      <c r="L23" s="18">
        <v>-0.54</v>
      </c>
      <c r="M23" s="18">
        <v>1.429</v>
      </c>
      <c r="N23" s="18">
        <v>-4.6280000000000001</v>
      </c>
      <c r="O23" s="18">
        <v>0.755</v>
      </c>
      <c r="P23" s="18">
        <v>5.3999999999999999E-2</v>
      </c>
      <c r="Q23" s="18">
        <v>-16.969000000000001</v>
      </c>
      <c r="R23" s="18">
        <v>-23.149000000000001</v>
      </c>
      <c r="S23" s="19"/>
      <c r="T23" s="19"/>
      <c r="U23" s="19"/>
      <c r="V23" s="19"/>
      <c r="W23" s="19"/>
      <c r="X23" s="19"/>
      <c r="Y23" s="19"/>
      <c r="Z23" s="19"/>
      <c r="AA23" s="19"/>
      <c r="AB23" s="19"/>
      <c r="AC23" s="19"/>
      <c r="AD23" s="19"/>
      <c r="AE23" s="19"/>
      <c r="AF23" s="19"/>
      <c r="AG23" s="19"/>
    </row>
    <row r="24" spans="2:33" ht="14.25" hidden="1" customHeight="1" outlineLevel="1" x14ac:dyDescent="0.45">
      <c r="B24" s="16" t="s">
        <v>41</v>
      </c>
      <c r="C24" s="16"/>
      <c r="D24" s="16"/>
      <c r="E24" s="16"/>
      <c r="F24" s="16"/>
      <c r="G24" s="16"/>
      <c r="H24" s="16"/>
      <c r="J24" s="23"/>
      <c r="K24" s="24">
        <v>112.5</v>
      </c>
      <c r="L24" s="24">
        <v>112.5</v>
      </c>
      <c r="M24" s="24">
        <v>113.15300000000001</v>
      </c>
      <c r="N24" s="24">
        <v>113.215</v>
      </c>
      <c r="O24" s="24">
        <v>113.215</v>
      </c>
      <c r="P24" s="24">
        <v>133.066</v>
      </c>
      <c r="Q24" s="24">
        <v>150.92400000000001</v>
      </c>
      <c r="R24" s="24">
        <v>151.14599999999999</v>
      </c>
      <c r="S24" s="23"/>
      <c r="T24" s="23"/>
      <c r="U24" s="23"/>
      <c r="V24" s="23"/>
      <c r="W24" s="23"/>
      <c r="X24" s="23"/>
      <c r="Y24" s="23"/>
      <c r="Z24" s="23"/>
      <c r="AA24" s="23"/>
      <c r="AB24" s="23"/>
      <c r="AC24" s="23"/>
      <c r="AD24" s="23"/>
      <c r="AE24" s="23"/>
      <c r="AF24" s="23"/>
      <c r="AG24" s="23"/>
    </row>
    <row r="25" spans="2:33" ht="14.25" hidden="1" customHeight="1" outlineLevel="1" x14ac:dyDescent="0.45">
      <c r="B25" s="16" t="s">
        <v>42</v>
      </c>
      <c r="C25" s="16"/>
      <c r="D25" s="16"/>
      <c r="E25" s="16"/>
      <c r="F25" s="16"/>
      <c r="G25" s="16"/>
      <c r="H25" s="16"/>
      <c r="J25" s="23"/>
      <c r="K25" s="24">
        <v>112.5</v>
      </c>
      <c r="L25" s="24">
        <v>112.5</v>
      </c>
      <c r="M25" s="24">
        <v>115.889</v>
      </c>
      <c r="N25" s="24">
        <v>113.215</v>
      </c>
      <c r="O25" s="24">
        <v>115.95099999999999</v>
      </c>
      <c r="P25" s="24">
        <v>140.15700000000001</v>
      </c>
      <c r="Q25" s="24">
        <v>150.92400000000001</v>
      </c>
      <c r="R25" s="24">
        <v>151.14599999999999</v>
      </c>
      <c r="S25" s="23"/>
      <c r="T25" s="23"/>
      <c r="U25" s="23"/>
      <c r="V25" s="23"/>
      <c r="W25" s="23"/>
      <c r="X25" s="23"/>
      <c r="Y25" s="23"/>
      <c r="Z25" s="23"/>
      <c r="AA25" s="23"/>
      <c r="AB25" s="23"/>
      <c r="AC25" s="23"/>
      <c r="AD25" s="23"/>
      <c r="AE25" s="23"/>
      <c r="AF25" s="23"/>
      <c r="AG25" s="23"/>
    </row>
    <row r="26" spans="2:33" ht="14.25" hidden="1" customHeight="1" outlineLevel="1" x14ac:dyDescent="0.45">
      <c r="B26" s="16" t="s">
        <v>43</v>
      </c>
      <c r="C26" s="16"/>
      <c r="D26" s="16"/>
      <c r="E26" s="16"/>
      <c r="F26" s="16"/>
      <c r="G26" s="16"/>
      <c r="H26" s="16"/>
      <c r="J26" s="25"/>
      <c r="K26" s="26">
        <v>-1.03</v>
      </c>
      <c r="L26" s="26">
        <v>-0.59</v>
      </c>
      <c r="M26" s="26">
        <v>1.4</v>
      </c>
      <c r="N26" s="26">
        <v>-3.04</v>
      </c>
      <c r="O26" s="26">
        <v>0.95</v>
      </c>
      <c r="P26" s="26">
        <v>0.14000000000000001</v>
      </c>
      <c r="Q26" s="26">
        <v>-3.73</v>
      </c>
      <c r="R26" s="26">
        <v>-3.85</v>
      </c>
      <c r="S26" s="25"/>
      <c r="T26" s="25"/>
      <c r="U26" s="25"/>
      <c r="V26" s="25"/>
      <c r="W26" s="25"/>
      <c r="X26" s="25"/>
      <c r="Y26" s="25"/>
      <c r="Z26" s="25"/>
      <c r="AA26" s="25"/>
      <c r="AB26" s="25"/>
      <c r="AC26" s="25"/>
      <c r="AD26" s="25"/>
      <c r="AE26" s="25"/>
      <c r="AF26" s="25"/>
      <c r="AG26" s="25"/>
    </row>
    <row r="27" spans="2:33" hidden="1" outlineLevel="1" x14ac:dyDescent="0.45">
      <c r="B27" s="16" t="s">
        <v>44</v>
      </c>
      <c r="C27" s="16"/>
      <c r="D27" s="16"/>
      <c r="E27" s="16"/>
      <c r="F27" s="16"/>
      <c r="G27" s="16"/>
      <c r="H27" s="16"/>
      <c r="J27" s="25"/>
      <c r="K27" s="26">
        <v>-1.03</v>
      </c>
      <c r="L27" s="26">
        <v>-0.59</v>
      </c>
      <c r="M27" s="26">
        <v>1.37</v>
      </c>
      <c r="N27" s="26">
        <v>-3.04</v>
      </c>
      <c r="O27" s="26">
        <v>0.93</v>
      </c>
      <c r="P27" s="26">
        <v>0.1</v>
      </c>
      <c r="Q27" s="26">
        <v>-3.73</v>
      </c>
      <c r="R27" s="26">
        <v>-3.85</v>
      </c>
      <c r="S27" s="25"/>
      <c r="T27" s="25"/>
      <c r="U27" s="25"/>
      <c r="V27" s="25"/>
      <c r="W27" s="25"/>
      <c r="X27" s="25"/>
      <c r="Y27" s="25"/>
      <c r="Z27" s="25"/>
      <c r="AA27" s="25"/>
      <c r="AB27" s="25"/>
      <c r="AC27" s="25"/>
      <c r="AD27" s="25"/>
      <c r="AE27" s="25"/>
      <c r="AF27" s="25"/>
      <c r="AG27" s="25"/>
    </row>
    <row r="28" spans="2:33" ht="14.25" customHeight="1" collapsed="1" x14ac:dyDescent="0.45">
      <c r="B28" s="27"/>
      <c r="C28" s="27"/>
      <c r="D28" s="27"/>
      <c r="E28" s="27"/>
      <c r="F28" s="27"/>
      <c r="G28" s="27"/>
      <c r="H28" s="27"/>
      <c r="J28" s="16"/>
      <c r="K28" s="16"/>
      <c r="O28" s="27"/>
      <c r="S28" s="27"/>
      <c r="T28" s="27"/>
      <c r="U28" s="27"/>
      <c r="V28" s="27"/>
      <c r="W28" s="27"/>
      <c r="X28" s="27"/>
      <c r="Y28" s="27"/>
      <c r="Z28" s="27"/>
      <c r="AA28" s="27"/>
      <c r="AB28" s="27"/>
      <c r="AC28" s="27"/>
      <c r="AD28" s="27"/>
      <c r="AE28" s="27"/>
      <c r="AF28" s="27"/>
      <c r="AG28" s="27"/>
    </row>
    <row r="29" spans="2:33" ht="14.25" customHeight="1" x14ac:dyDescent="0.45">
      <c r="B29" s="28" t="s">
        <v>45</v>
      </c>
      <c r="C29" s="29"/>
      <c r="D29" s="29"/>
      <c r="E29" s="29"/>
      <c r="F29" s="29"/>
      <c r="G29" s="29"/>
      <c r="H29" s="29"/>
      <c r="J29" s="29"/>
      <c r="K29" s="29"/>
      <c r="L29" s="29"/>
      <c r="M29" s="29"/>
      <c r="N29" s="29"/>
      <c r="O29" s="29"/>
      <c r="P29" s="29"/>
      <c r="Q29" s="29"/>
      <c r="R29" s="29"/>
      <c r="S29" s="29"/>
      <c r="T29" s="29"/>
      <c r="U29" s="29"/>
      <c r="V29" s="29"/>
      <c r="W29" s="29"/>
      <c r="X29" s="29"/>
      <c r="Y29" s="29"/>
      <c r="Z29" s="29"/>
      <c r="AA29" s="29"/>
      <c r="AB29" s="29"/>
      <c r="AC29" s="29"/>
      <c r="AD29" s="29"/>
      <c r="AE29" s="29"/>
      <c r="AF29" s="29"/>
      <c r="AG29" s="29"/>
    </row>
    <row r="30" spans="2:33" ht="14.25" customHeight="1" outlineLevel="1" x14ac:dyDescent="0.45">
      <c r="B30" s="16" t="s">
        <v>25</v>
      </c>
      <c r="C30" s="16"/>
      <c r="D30" s="16"/>
      <c r="E30" s="16"/>
      <c r="F30" s="16"/>
      <c r="G30" s="16"/>
      <c r="H30" s="16"/>
      <c r="J30" s="30">
        <f t="shared" ref="J30:AG30" si="42">J7</f>
        <v>80404.577000000005</v>
      </c>
      <c r="K30" s="30">
        <f t="shared" si="42"/>
        <v>49578.205999999998</v>
      </c>
      <c r="L30" s="30">
        <f t="shared" si="42"/>
        <v>54192.368000000002</v>
      </c>
      <c r="M30" s="30">
        <f t="shared" si="42"/>
        <v>66026.130999999994</v>
      </c>
      <c r="N30" s="30">
        <f t="shared" si="42"/>
        <v>80236.157000000007</v>
      </c>
      <c r="O30" s="30">
        <f t="shared" si="42"/>
        <v>58630.644999999997</v>
      </c>
      <c r="P30" s="30">
        <f t="shared" si="42"/>
        <v>41599.506999999998</v>
      </c>
      <c r="Q30" s="30">
        <f t="shared" si="42"/>
        <v>64345.078000000001</v>
      </c>
      <c r="R30" s="30">
        <f t="shared" si="42"/>
        <v>51812.747000000003</v>
      </c>
      <c r="S30" s="30">
        <f t="shared" si="42"/>
        <v>32585.087</v>
      </c>
      <c r="T30" s="30">
        <f t="shared" si="42"/>
        <v>0</v>
      </c>
      <c r="U30" s="30">
        <f t="shared" si="42"/>
        <v>0</v>
      </c>
      <c r="V30" s="30">
        <f t="shared" si="42"/>
        <v>0</v>
      </c>
      <c r="W30" s="30">
        <f t="shared" si="42"/>
        <v>0</v>
      </c>
      <c r="X30" s="30">
        <f t="shared" si="42"/>
        <v>0</v>
      </c>
      <c r="Y30" s="30">
        <f t="shared" si="42"/>
        <v>0</v>
      </c>
      <c r="Z30" s="30">
        <f t="shared" si="42"/>
        <v>0</v>
      </c>
      <c r="AA30" s="30">
        <f t="shared" si="42"/>
        <v>0</v>
      </c>
      <c r="AB30" s="30">
        <f t="shared" si="42"/>
        <v>0</v>
      </c>
      <c r="AC30" s="30">
        <f t="shared" si="42"/>
        <v>0</v>
      </c>
      <c r="AD30" s="30">
        <f t="shared" si="42"/>
        <v>0</v>
      </c>
      <c r="AE30" s="30">
        <f t="shared" si="42"/>
        <v>0</v>
      </c>
      <c r="AF30" s="30">
        <f t="shared" si="42"/>
        <v>0</v>
      </c>
      <c r="AG30" s="30">
        <f t="shared" si="42"/>
        <v>0</v>
      </c>
    </row>
    <row r="31" spans="2:33" ht="14.25" customHeight="1" outlineLevel="1" x14ac:dyDescent="0.45">
      <c r="B31" s="16" t="s">
        <v>46</v>
      </c>
      <c r="C31" s="17">
        <f t="shared" ref="C31:H36" si="43">SUMIFS($J31:$V31,$J$3:$V$3,C$6)</f>
        <v>-21.823999999999998</v>
      </c>
      <c r="D31" s="17">
        <f t="shared" si="43"/>
        <v>-396.44600000000003</v>
      </c>
      <c r="E31" s="17">
        <f t="shared" si="43"/>
        <v>0</v>
      </c>
      <c r="F31" s="17">
        <f t="shared" si="43"/>
        <v>0</v>
      </c>
      <c r="G31" s="17">
        <f t="shared" si="43"/>
        <v>0</v>
      </c>
      <c r="H31" s="17">
        <f t="shared" si="43"/>
        <v>0</v>
      </c>
      <c r="J31" s="19">
        <f>-14.5-K31</f>
        <v>-5.6999999999999993</v>
      </c>
      <c r="K31" s="18">
        <v>-8.8000000000000007</v>
      </c>
      <c r="L31" s="18">
        <v>-5.2</v>
      </c>
      <c r="M31" s="18">
        <v>-2.1240000000000001</v>
      </c>
      <c r="N31" s="18">
        <v>-303.863</v>
      </c>
      <c r="O31" s="18">
        <v>-30.1</v>
      </c>
      <c r="P31" s="18">
        <v>-25.9</v>
      </c>
      <c r="Q31" s="18">
        <v>-36.582999999999998</v>
      </c>
      <c r="R31" s="18">
        <v>0</v>
      </c>
      <c r="S31" s="19">
        <v>0</v>
      </c>
      <c r="T31" s="19"/>
      <c r="U31" s="19"/>
      <c r="V31" s="19"/>
      <c r="W31" s="19"/>
      <c r="X31" s="19"/>
      <c r="Y31" s="19"/>
      <c r="Z31" s="19"/>
      <c r="AA31" s="19"/>
      <c r="AB31" s="19"/>
      <c r="AC31" s="19"/>
      <c r="AD31" s="19"/>
      <c r="AE31" s="19"/>
      <c r="AF31" s="19"/>
      <c r="AG31" s="19"/>
    </row>
    <row r="32" spans="2:33" ht="14.25" customHeight="1" x14ac:dyDescent="0.45">
      <c r="B32" s="12" t="s">
        <v>47</v>
      </c>
      <c r="C32" s="17">
        <f t="shared" si="43"/>
        <v>250179.45799999998</v>
      </c>
      <c r="D32" s="17">
        <f t="shared" si="43"/>
        <v>244414.94099999999</v>
      </c>
      <c r="E32" s="17">
        <f t="shared" si="43"/>
        <v>84397.834000000003</v>
      </c>
      <c r="F32" s="17">
        <f t="shared" si="43"/>
        <v>0</v>
      </c>
      <c r="G32" s="17">
        <f t="shared" si="43"/>
        <v>0</v>
      </c>
      <c r="H32" s="17">
        <f t="shared" si="43"/>
        <v>0</v>
      </c>
      <c r="J32" s="20">
        <f t="shared" ref="J32:V32" si="44">J30+J31</f>
        <v>80398.877000000008</v>
      </c>
      <c r="K32" s="20">
        <f>K30+K31</f>
        <v>49569.405999999995</v>
      </c>
      <c r="L32" s="20">
        <f t="shared" si="44"/>
        <v>54187.168000000005</v>
      </c>
      <c r="M32" s="20">
        <f t="shared" si="44"/>
        <v>66024.006999999998</v>
      </c>
      <c r="N32" s="20">
        <f t="shared" si="44"/>
        <v>79932.294000000009</v>
      </c>
      <c r="O32" s="20">
        <f t="shared" si="44"/>
        <v>58600.544999999998</v>
      </c>
      <c r="P32" s="20">
        <f t="shared" si="44"/>
        <v>41573.606999999996</v>
      </c>
      <c r="Q32" s="20">
        <f t="shared" si="44"/>
        <v>64308.495000000003</v>
      </c>
      <c r="R32" s="20">
        <f t="shared" si="44"/>
        <v>51812.747000000003</v>
      </c>
      <c r="S32" s="20">
        <f t="shared" si="44"/>
        <v>32585.087</v>
      </c>
      <c r="T32" s="20">
        <f t="shared" si="44"/>
        <v>0</v>
      </c>
      <c r="U32" s="20">
        <f t="shared" si="44"/>
        <v>0</v>
      </c>
      <c r="V32" s="20">
        <f t="shared" si="44"/>
        <v>0</v>
      </c>
      <c r="W32" s="20">
        <f t="shared" ref="W32:AG32" si="45">W30+W31</f>
        <v>0</v>
      </c>
      <c r="X32" s="20">
        <f t="shared" si="45"/>
        <v>0</v>
      </c>
      <c r="Y32" s="20">
        <f t="shared" si="45"/>
        <v>0</v>
      </c>
      <c r="Z32" s="20">
        <f t="shared" si="45"/>
        <v>0</v>
      </c>
      <c r="AA32" s="20">
        <f t="shared" si="45"/>
        <v>0</v>
      </c>
      <c r="AB32" s="20">
        <f t="shared" si="45"/>
        <v>0</v>
      </c>
      <c r="AC32" s="20">
        <f t="shared" si="45"/>
        <v>0</v>
      </c>
      <c r="AD32" s="20">
        <f t="shared" si="45"/>
        <v>0</v>
      </c>
      <c r="AE32" s="20">
        <f t="shared" si="45"/>
        <v>0</v>
      </c>
      <c r="AF32" s="20">
        <f t="shared" si="45"/>
        <v>0</v>
      </c>
      <c r="AG32" s="20">
        <f t="shared" si="45"/>
        <v>0</v>
      </c>
    </row>
    <row r="33" spans="2:33" outlineLevel="1" x14ac:dyDescent="0.45">
      <c r="B33" s="175" t="s">
        <v>423</v>
      </c>
      <c r="C33" s="17">
        <f t="shared" si="43"/>
        <v>-250082.93400000001</v>
      </c>
      <c r="D33" s="17">
        <f t="shared" si="43"/>
        <v>-244336.492</v>
      </c>
      <c r="E33" s="17">
        <f t="shared" si="43"/>
        <v>-84362.303</v>
      </c>
      <c r="F33" s="17">
        <f t="shared" si="43"/>
        <v>0</v>
      </c>
      <c r="G33" s="17">
        <f t="shared" si="43"/>
        <v>0</v>
      </c>
      <c r="H33" s="17">
        <f t="shared" si="43"/>
        <v>0</v>
      </c>
      <c r="J33" s="19">
        <f>-129917.5-K33</f>
        <v>-80369.899999999994</v>
      </c>
      <c r="K33" s="19">
        <f>-49547.6</f>
        <v>-49547.6</v>
      </c>
      <c r="L33" s="19">
        <f>-54166.2</f>
        <v>-54166.2</v>
      </c>
      <c r="M33" s="19">
        <f>-65999.234</f>
        <v>-65999.233999999997</v>
      </c>
      <c r="N33" s="19">
        <f>-138490.9-O33</f>
        <v>-79905.799999999988</v>
      </c>
      <c r="O33" s="19">
        <f>-58585.1</f>
        <v>-58585.1</v>
      </c>
      <c r="P33" s="19">
        <f>-41558.6</f>
        <v>-41558.6</v>
      </c>
      <c r="Q33" s="19">
        <f>-64286.992</f>
        <v>-64286.991999999998</v>
      </c>
      <c r="R33" s="19">
        <f>R8</f>
        <v>-51792.741999999998</v>
      </c>
      <c r="S33" s="19">
        <f>S8</f>
        <v>-32569.561000000002</v>
      </c>
      <c r="T33" s="19"/>
      <c r="U33" s="19"/>
      <c r="V33" s="19"/>
      <c r="W33" s="19"/>
      <c r="X33" s="19"/>
      <c r="Y33" s="19"/>
      <c r="Z33" s="19"/>
      <c r="AA33" s="19"/>
      <c r="AB33" s="19"/>
      <c r="AC33" s="19"/>
      <c r="AD33" s="19"/>
      <c r="AE33" s="19"/>
      <c r="AF33" s="19"/>
      <c r="AG33" s="19"/>
    </row>
    <row r="34" spans="2:33" ht="14.25" customHeight="1" outlineLevel="1" x14ac:dyDescent="0.45">
      <c r="B34" s="16" t="s">
        <v>48</v>
      </c>
      <c r="C34" s="17">
        <f t="shared" si="43"/>
        <v>71.662000000000006</v>
      </c>
      <c r="D34" s="17">
        <f t="shared" si="43"/>
        <v>56.058</v>
      </c>
      <c r="E34" s="17">
        <f t="shared" si="43"/>
        <v>27.472000000000001</v>
      </c>
      <c r="F34" s="17">
        <f t="shared" si="43"/>
        <v>0</v>
      </c>
      <c r="G34" s="17">
        <f t="shared" si="43"/>
        <v>0</v>
      </c>
      <c r="H34" s="17">
        <f t="shared" si="43"/>
        <v>0</v>
      </c>
      <c r="J34" s="19">
        <f>36.6 -K34</f>
        <v>19.100000000000001</v>
      </c>
      <c r="K34" s="18">
        <v>17.5</v>
      </c>
      <c r="L34" s="18">
        <v>16.399999999999999</v>
      </c>
      <c r="M34" s="18">
        <v>18.661999999999999</v>
      </c>
      <c r="N34" s="18">
        <v>18.687999999999999</v>
      </c>
      <c r="O34" s="18">
        <v>10.199999999999999</v>
      </c>
      <c r="P34" s="18">
        <v>11.5</v>
      </c>
      <c r="Q34" s="18">
        <v>15.67</v>
      </c>
      <c r="R34" s="18">
        <v>15.265000000000001</v>
      </c>
      <c r="S34" s="19">
        <f>27.472-R34</f>
        <v>12.207000000000001</v>
      </c>
      <c r="T34" s="19"/>
      <c r="U34" s="19"/>
      <c r="V34" s="19"/>
      <c r="W34" s="19"/>
      <c r="X34" s="19"/>
      <c r="Y34" s="19"/>
      <c r="Z34" s="19"/>
      <c r="AA34" s="19"/>
      <c r="AB34" s="19"/>
      <c r="AC34" s="19"/>
      <c r="AD34" s="19"/>
      <c r="AE34" s="19"/>
      <c r="AF34" s="19"/>
      <c r="AG34" s="19"/>
    </row>
    <row r="35" spans="2:33" outlineLevel="1" x14ac:dyDescent="0.45">
      <c r="B35" s="16" t="s">
        <v>49</v>
      </c>
      <c r="C35" s="17">
        <f t="shared" si="43"/>
        <v>2.1890000000000001</v>
      </c>
      <c r="D35" s="17">
        <f t="shared" si="43"/>
        <v>3.4049999999999998</v>
      </c>
      <c r="E35" s="17">
        <f t="shared" si="43"/>
        <v>4.9740000000000002</v>
      </c>
      <c r="F35" s="17">
        <f t="shared" si="43"/>
        <v>0</v>
      </c>
      <c r="G35" s="17">
        <f t="shared" si="43"/>
        <v>0</v>
      </c>
      <c r="H35" s="17">
        <f t="shared" si="43"/>
        <v>0</v>
      </c>
      <c r="J35" s="19">
        <f>1-K35</f>
        <v>0.6</v>
      </c>
      <c r="K35" s="18">
        <v>0.4</v>
      </c>
      <c r="L35" s="18">
        <v>0.4</v>
      </c>
      <c r="M35" s="18">
        <v>0.78900000000000003</v>
      </c>
      <c r="N35" s="18">
        <v>0.56299999999999994</v>
      </c>
      <c r="O35" s="18">
        <v>0.4</v>
      </c>
      <c r="P35" s="18">
        <v>0.8</v>
      </c>
      <c r="Q35" s="18">
        <v>1.6419999999999999</v>
      </c>
      <c r="R35" s="18">
        <v>2.7120000000000002</v>
      </c>
      <c r="S35" s="19">
        <f>4.974-R35</f>
        <v>2.262</v>
      </c>
      <c r="T35" s="19"/>
      <c r="U35" s="19"/>
      <c r="V35" s="19"/>
      <c r="W35" s="19"/>
      <c r="X35" s="19"/>
      <c r="Y35" s="19"/>
      <c r="Z35" s="19"/>
      <c r="AA35" s="19"/>
      <c r="AB35" s="19"/>
      <c r="AC35" s="19"/>
      <c r="AD35" s="19"/>
      <c r="AE35" s="19"/>
      <c r="AF35" s="19"/>
      <c r="AG35" s="19"/>
    </row>
    <row r="36" spans="2:33" outlineLevel="1" x14ac:dyDescent="0.45">
      <c r="B36" s="16" t="s">
        <v>50</v>
      </c>
      <c r="C36" s="17">
        <f t="shared" si="43"/>
        <v>-17.121000000000002</v>
      </c>
      <c r="D36" s="17">
        <f t="shared" si="43"/>
        <v>-7.1790000000000003</v>
      </c>
      <c r="E36" s="17">
        <f t="shared" si="43"/>
        <v>-0.94499999999999995</v>
      </c>
      <c r="F36" s="17">
        <f t="shared" si="43"/>
        <v>0</v>
      </c>
      <c r="G36" s="17">
        <f t="shared" si="43"/>
        <v>0</v>
      </c>
      <c r="H36" s="17">
        <f t="shared" si="43"/>
        <v>0</v>
      </c>
      <c r="J36" s="30">
        <f>-9-K36</f>
        <v>-4.2030000000000003</v>
      </c>
      <c r="K36" s="30">
        <f t="shared" ref="K36:AG36" si="46">K11</f>
        <v>-4.7969999999999997</v>
      </c>
      <c r="L36" s="30">
        <f t="shared" si="46"/>
        <v>-4.8929999999999998</v>
      </c>
      <c r="M36" s="30">
        <f t="shared" si="46"/>
        <v>-3.2280000000000002</v>
      </c>
      <c r="N36" s="30">
        <f t="shared" si="46"/>
        <v>-3.702</v>
      </c>
      <c r="O36" s="30">
        <f t="shared" si="46"/>
        <v>-1.9890000000000001</v>
      </c>
      <c r="P36" s="30">
        <f t="shared" si="46"/>
        <v>-0.60199999999999998</v>
      </c>
      <c r="Q36" s="30">
        <f t="shared" si="46"/>
        <v>-0.88600000000000001</v>
      </c>
      <c r="R36" s="30">
        <f t="shared" si="46"/>
        <v>3.5000000000000003E-2</v>
      </c>
      <c r="S36" s="30">
        <f t="shared" si="46"/>
        <v>-0.98</v>
      </c>
      <c r="T36" s="30">
        <f t="shared" si="46"/>
        <v>0</v>
      </c>
      <c r="U36" s="30">
        <f t="shared" si="46"/>
        <v>0</v>
      </c>
      <c r="V36" s="30">
        <f t="shared" si="46"/>
        <v>0</v>
      </c>
      <c r="W36" s="30">
        <f t="shared" si="46"/>
        <v>0</v>
      </c>
      <c r="X36" s="30">
        <f t="shared" si="46"/>
        <v>0</v>
      </c>
      <c r="Y36" s="30">
        <f t="shared" si="46"/>
        <v>0</v>
      </c>
      <c r="Z36" s="30">
        <f t="shared" si="46"/>
        <v>0</v>
      </c>
      <c r="AA36" s="30">
        <f t="shared" si="46"/>
        <v>0</v>
      </c>
      <c r="AB36" s="30">
        <f t="shared" si="46"/>
        <v>0</v>
      </c>
      <c r="AC36" s="30">
        <f t="shared" si="46"/>
        <v>0</v>
      </c>
      <c r="AD36" s="30">
        <f t="shared" si="46"/>
        <v>0</v>
      </c>
      <c r="AE36" s="30">
        <f t="shared" si="46"/>
        <v>0</v>
      </c>
      <c r="AF36" s="30">
        <f t="shared" si="46"/>
        <v>0</v>
      </c>
      <c r="AG36" s="30">
        <f t="shared" si="46"/>
        <v>0</v>
      </c>
    </row>
    <row r="37" spans="2:33" x14ac:dyDescent="0.45">
      <c r="B37" s="12" t="s">
        <v>51</v>
      </c>
      <c r="C37" s="20">
        <f>SUMIFS($J37:$AG37,$J$3:$AG$3,C$6)</f>
        <v>153.25400000001943</v>
      </c>
      <c r="D37" s="20">
        <f t="shared" ref="D37:H37" si="47">SUMIFS($J37:$AG37,$J$3:$AG$3,D$6)</f>
        <v>130.73300000002234</v>
      </c>
      <c r="E37" s="20">
        <f t="shared" si="47"/>
        <v>139.54899917638494</v>
      </c>
      <c r="F37" s="20">
        <f t="shared" si="47"/>
        <v>227.92504444377988</v>
      </c>
      <c r="G37" s="20">
        <f t="shared" si="47"/>
        <v>471.5449406365808</v>
      </c>
      <c r="H37" s="20">
        <f t="shared" si="47"/>
        <v>977.92519974901757</v>
      </c>
      <c r="J37" s="151">
        <f>SUM(J32:J36)</f>
        <v>44.474000000013504</v>
      </c>
      <c r="K37" s="151">
        <f t="shared" ref="K37:Q37" si="48">SUM(K32:K36)</f>
        <v>34.908999999996858</v>
      </c>
      <c r="L37" s="151">
        <f t="shared" si="48"/>
        <v>32.875000000008029</v>
      </c>
      <c r="M37" s="151">
        <f t="shared" si="48"/>
        <v>40.996000000001047</v>
      </c>
      <c r="N37" s="151">
        <f t="shared" si="48"/>
        <v>42.043000000020612</v>
      </c>
      <c r="O37" s="151">
        <f t="shared" si="48"/>
        <v>24.055999999999706</v>
      </c>
      <c r="P37" s="151">
        <f t="shared" si="48"/>
        <v>26.704999999997789</v>
      </c>
      <c r="Q37" s="151">
        <f t="shared" si="48"/>
        <v>37.929000000004251</v>
      </c>
      <c r="R37" s="151">
        <f>SUM(R32:R36)</f>
        <v>38.017000000004657</v>
      </c>
      <c r="S37" s="174">
        <f>'Revenue Build'!H29</f>
        <v>29.692140979287419</v>
      </c>
      <c r="T37" s="174">
        <f>'Revenue Build'!I29</f>
        <v>34.894384410814759</v>
      </c>
      <c r="U37" s="174">
        <f>'Revenue Build'!J29</f>
        <v>36.945473786278122</v>
      </c>
      <c r="V37" s="174">
        <f>'Revenue Build'!K29</f>
        <v>42.603864951731154</v>
      </c>
      <c r="W37" s="174">
        <f>'Revenue Build'!L29</f>
        <v>51.146960046422876</v>
      </c>
      <c r="X37" s="174">
        <f>'Revenue Build'!M29</f>
        <v>60.953782151150236</v>
      </c>
      <c r="Y37" s="174">
        <f>'Revenue Build'!N29</f>
        <v>73.220437294475644</v>
      </c>
      <c r="Z37" s="174">
        <f>'Revenue Build'!O29</f>
        <v>87.921829353617326</v>
      </c>
      <c r="AA37" s="174">
        <f>'Revenue Build'!P29</f>
        <v>105.48589280198235</v>
      </c>
      <c r="AB37" s="174">
        <f>'Revenue Build'!Q29</f>
        <v>126.49588939630117</v>
      </c>
      <c r="AC37" s="174">
        <f>'Revenue Build'!R29</f>
        <v>151.64132908468</v>
      </c>
      <c r="AD37" s="174">
        <f>'Revenue Build'!S29</f>
        <v>182.06870438318373</v>
      </c>
      <c r="AE37" s="174">
        <f>'Revenue Build'!T29</f>
        <v>218.56564842154737</v>
      </c>
      <c r="AF37" s="174">
        <f>'Revenue Build'!U29</f>
        <v>262.35156262768766</v>
      </c>
      <c r="AG37" s="174">
        <f>'Revenue Build'!V29</f>
        <v>314.93928431659873</v>
      </c>
    </row>
    <row r="38" spans="2:33" x14ac:dyDescent="0.45">
      <c r="B38" s="16"/>
      <c r="C38" s="16"/>
      <c r="D38" s="16"/>
      <c r="E38" s="16"/>
      <c r="F38" s="16"/>
      <c r="G38" s="16"/>
      <c r="H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2:33" ht="15.4" x14ac:dyDescent="0.45">
      <c r="B39" s="28" t="s">
        <v>52</v>
      </c>
      <c r="C39" s="32"/>
      <c r="D39" s="32"/>
      <c r="E39" s="32"/>
      <c r="F39" s="32"/>
      <c r="G39" s="32"/>
      <c r="H39" s="32"/>
      <c r="J39" s="32"/>
      <c r="K39" s="32"/>
      <c r="L39" s="32"/>
      <c r="M39" s="32"/>
      <c r="N39" s="32"/>
      <c r="O39" s="32"/>
      <c r="P39" s="32"/>
      <c r="Q39" s="32"/>
      <c r="R39" s="32"/>
      <c r="S39" s="32"/>
      <c r="T39" s="32"/>
      <c r="U39" s="32"/>
      <c r="V39" s="32"/>
      <c r="W39" s="32"/>
      <c r="X39" s="32"/>
      <c r="Y39" s="32"/>
      <c r="Z39" s="32"/>
      <c r="AA39" s="32"/>
      <c r="AB39" s="32"/>
      <c r="AC39" s="32"/>
      <c r="AD39" s="32"/>
      <c r="AE39" s="32"/>
      <c r="AF39" s="32"/>
      <c r="AG39" s="32"/>
    </row>
    <row r="40" spans="2:33" outlineLevel="1" x14ac:dyDescent="0.45">
      <c r="B40" s="16" t="s">
        <v>53</v>
      </c>
      <c r="C40" s="17">
        <f>C37</f>
        <v>153.25400000001943</v>
      </c>
      <c r="D40" s="17">
        <f>D37</f>
        <v>130.73300000002234</v>
      </c>
      <c r="E40" s="17">
        <f t="shared" ref="E40:H40" si="49">E37</f>
        <v>139.54899917638494</v>
      </c>
      <c r="F40" s="17">
        <f t="shared" si="49"/>
        <v>227.92504444377988</v>
      </c>
      <c r="G40" s="17">
        <f t="shared" si="49"/>
        <v>471.5449406365808</v>
      </c>
      <c r="H40" s="17">
        <f t="shared" si="49"/>
        <v>977.92519974901757</v>
      </c>
      <c r="J40" s="33">
        <f t="shared" ref="J40:V40" si="50">J37</f>
        <v>44.474000000013504</v>
      </c>
      <c r="K40" s="33">
        <f t="shared" si="50"/>
        <v>34.908999999996858</v>
      </c>
      <c r="L40" s="33">
        <f t="shared" si="50"/>
        <v>32.875000000008029</v>
      </c>
      <c r="M40" s="33">
        <f t="shared" si="50"/>
        <v>40.996000000001047</v>
      </c>
      <c r="N40" s="33">
        <f t="shared" si="50"/>
        <v>42.043000000020612</v>
      </c>
      <c r="O40" s="33">
        <f t="shared" si="50"/>
        <v>24.055999999999706</v>
      </c>
      <c r="P40" s="33">
        <f t="shared" si="50"/>
        <v>26.704999999997789</v>
      </c>
      <c r="Q40" s="33">
        <f t="shared" si="50"/>
        <v>37.929000000004251</v>
      </c>
      <c r="R40" s="33">
        <f>R37</f>
        <v>38.017000000004657</v>
      </c>
      <c r="S40" s="33">
        <f>S37</f>
        <v>29.692140979287419</v>
      </c>
      <c r="T40" s="30">
        <f t="shared" si="50"/>
        <v>34.894384410814759</v>
      </c>
      <c r="U40" s="30">
        <f>U37</f>
        <v>36.945473786278122</v>
      </c>
      <c r="V40" s="30">
        <f t="shared" si="50"/>
        <v>42.603864951731154</v>
      </c>
      <c r="W40" s="30">
        <f t="shared" ref="W40:AG40" si="51">W37</f>
        <v>51.146960046422876</v>
      </c>
      <c r="X40" s="30">
        <f t="shared" si="51"/>
        <v>60.953782151150236</v>
      </c>
      <c r="Y40" s="30">
        <f t="shared" si="51"/>
        <v>73.220437294475644</v>
      </c>
      <c r="Z40" s="30">
        <f t="shared" si="51"/>
        <v>87.921829353617326</v>
      </c>
      <c r="AA40" s="30">
        <f t="shared" si="51"/>
        <v>105.48589280198235</v>
      </c>
      <c r="AB40" s="30">
        <f t="shared" si="51"/>
        <v>126.49588939630117</v>
      </c>
      <c r="AC40" s="30">
        <f t="shared" si="51"/>
        <v>151.64132908468</v>
      </c>
      <c r="AD40" s="30">
        <f t="shared" si="51"/>
        <v>182.06870438318373</v>
      </c>
      <c r="AE40" s="30">
        <f t="shared" si="51"/>
        <v>218.56564842154737</v>
      </c>
      <c r="AF40" s="30">
        <f t="shared" si="51"/>
        <v>262.35156262768766</v>
      </c>
      <c r="AG40" s="30">
        <f t="shared" si="51"/>
        <v>314.93928431659873</v>
      </c>
    </row>
    <row r="41" spans="2:33" outlineLevel="1" x14ac:dyDescent="0.45">
      <c r="B41" s="16" t="s">
        <v>54</v>
      </c>
      <c r="C41" s="17">
        <f t="shared" ref="C41:H43" si="52">SUMIFS($J41:$AG41,$J$3:$AG$3,C$6)</f>
        <v>59.783999999999999</v>
      </c>
      <c r="D41" s="17">
        <f t="shared" si="52"/>
        <v>155.495</v>
      </c>
      <c r="E41" s="17">
        <f t="shared" si="52"/>
        <v>264.39703146517058</v>
      </c>
      <c r="F41" s="17">
        <f t="shared" si="52"/>
        <v>420.32026831623511</v>
      </c>
      <c r="G41" s="17">
        <f t="shared" si="52"/>
        <v>699.46526041308516</v>
      </c>
      <c r="H41" s="17">
        <f t="shared" si="52"/>
        <v>1185.8800727028552</v>
      </c>
      <c r="J41" s="33">
        <f>34.6-K41</f>
        <v>8.8000000000000007</v>
      </c>
      <c r="K41" s="18">
        <v>25.8</v>
      </c>
      <c r="L41" s="18">
        <v>11.5</v>
      </c>
      <c r="M41" s="18">
        <v>13.683999999999999</v>
      </c>
      <c r="N41" s="18">
        <v>19.741</v>
      </c>
      <c r="O41" s="18">
        <v>31.9</v>
      </c>
      <c r="P41" s="18">
        <v>49.3</v>
      </c>
      <c r="Q41" s="18">
        <v>54.554000000000002</v>
      </c>
      <c r="R41" s="18">
        <v>54.77</v>
      </c>
      <c r="S41" s="18">
        <f>117.459-R41</f>
        <v>62.689</v>
      </c>
      <c r="T41" s="30">
        <f>'Revenue Build'!I38</f>
        <v>70.284179699837907</v>
      </c>
      <c r="U41" s="30">
        <f>'Revenue Build'!J38</f>
        <v>76.653851765332689</v>
      </c>
      <c r="V41" s="30">
        <f>'Revenue Build'!K38</f>
        <v>86.468078334156033</v>
      </c>
      <c r="W41" s="30">
        <f>'Revenue Build'!L38</f>
        <v>97.726819305904044</v>
      </c>
      <c r="X41" s="30">
        <f>'Revenue Build'!M38</f>
        <v>110.64701712273369</v>
      </c>
      <c r="Y41" s="30">
        <f>'Revenue Build'!N38</f>
        <v>125.47835355344138</v>
      </c>
      <c r="Z41" s="30">
        <f>'Revenue Build'!O38</f>
        <v>142.50819612531546</v>
      </c>
      <c r="AA41" s="30">
        <f>'Revenue Build'!P38</f>
        <v>162.06729209075496</v>
      </c>
      <c r="AB41" s="30">
        <f>'Revenue Build'!Q38</f>
        <v>184.53632290780689</v>
      </c>
      <c r="AC41" s="30">
        <f>'Revenue Build'!R38</f>
        <v>210.35344928920779</v>
      </c>
      <c r="AD41" s="30">
        <f>'Revenue Build'!S38</f>
        <v>240.02299653070077</v>
      </c>
      <c r="AE41" s="30">
        <f>'Revenue Build'!T38</f>
        <v>274.12545245639291</v>
      </c>
      <c r="AF41" s="30">
        <f>'Revenue Build'!U38</f>
        <v>313.32897636571761</v>
      </c>
      <c r="AG41" s="30">
        <f>'Revenue Build'!V38</f>
        <v>358.40264735004382</v>
      </c>
    </row>
    <row r="42" spans="2:33" outlineLevel="1" x14ac:dyDescent="0.45">
      <c r="B42" s="16" t="s">
        <v>55</v>
      </c>
      <c r="C42" s="17">
        <f t="shared" si="52"/>
        <v>0.2</v>
      </c>
      <c r="D42" s="17">
        <f t="shared" si="52"/>
        <v>0</v>
      </c>
      <c r="E42" s="17">
        <f t="shared" si="52"/>
        <v>0</v>
      </c>
      <c r="F42" s="17">
        <f t="shared" si="52"/>
        <v>0</v>
      </c>
      <c r="G42" s="17">
        <f t="shared" si="52"/>
        <v>0</v>
      </c>
      <c r="H42" s="17">
        <f t="shared" si="52"/>
        <v>0</v>
      </c>
      <c r="J42" s="33">
        <f>0.2 -K42</f>
        <v>0.2</v>
      </c>
      <c r="K42" s="18">
        <v>0</v>
      </c>
      <c r="L42" s="18">
        <v>0</v>
      </c>
      <c r="M42" s="18">
        <v>0</v>
      </c>
      <c r="N42" s="18">
        <v>0</v>
      </c>
      <c r="O42" s="18">
        <v>0</v>
      </c>
      <c r="P42" s="18">
        <v>0</v>
      </c>
      <c r="Q42" s="18">
        <v>0</v>
      </c>
      <c r="R42" s="18">
        <v>0</v>
      </c>
      <c r="S42" s="18">
        <v>0</v>
      </c>
      <c r="T42" s="33"/>
      <c r="U42" s="33"/>
      <c r="V42" s="33"/>
      <c r="W42" s="33"/>
      <c r="X42" s="33"/>
      <c r="Y42" s="33"/>
      <c r="Z42" s="33"/>
      <c r="AA42" s="33"/>
      <c r="AB42" s="33"/>
      <c r="AC42" s="33"/>
      <c r="AD42" s="33"/>
      <c r="AE42" s="33"/>
      <c r="AF42" s="33"/>
      <c r="AG42" s="33"/>
    </row>
    <row r="43" spans="2:33" outlineLevel="1" x14ac:dyDescent="0.45">
      <c r="B43" s="16" t="s">
        <v>56</v>
      </c>
      <c r="C43" s="17">
        <f t="shared" si="52"/>
        <v>0.70300000000000007</v>
      </c>
      <c r="D43" s="17">
        <f t="shared" si="52"/>
        <v>2.1679999999999997</v>
      </c>
      <c r="E43" s="17">
        <f t="shared" si="52"/>
        <v>8.8999999999999996E-2</v>
      </c>
      <c r="F43" s="17">
        <f t="shared" si="52"/>
        <v>0</v>
      </c>
      <c r="G43" s="17">
        <f t="shared" si="52"/>
        <v>0</v>
      </c>
      <c r="H43" s="17">
        <f t="shared" si="52"/>
        <v>0</v>
      </c>
      <c r="J43" s="33"/>
      <c r="K43" s="18">
        <v>0</v>
      </c>
      <c r="L43" s="18">
        <v>0.2</v>
      </c>
      <c r="M43" s="18">
        <v>0.503</v>
      </c>
      <c r="N43" s="18">
        <v>0.64300000000000002</v>
      </c>
      <c r="O43" s="18">
        <v>1</v>
      </c>
      <c r="P43" s="18">
        <v>0.5</v>
      </c>
      <c r="Q43" s="18">
        <v>2.5000000000000001E-2</v>
      </c>
      <c r="R43" s="18">
        <v>3.9E-2</v>
      </c>
      <c r="S43" s="18">
        <v>0.05</v>
      </c>
      <c r="T43" s="33"/>
      <c r="U43" s="33"/>
      <c r="V43" s="33"/>
      <c r="W43" s="33"/>
      <c r="X43" s="33"/>
      <c r="Y43" s="33"/>
      <c r="Z43" s="33"/>
      <c r="AA43" s="33"/>
      <c r="AB43" s="33"/>
      <c r="AC43" s="33"/>
      <c r="AD43" s="33"/>
      <c r="AE43" s="33"/>
      <c r="AF43" s="33"/>
      <c r="AG43" s="33"/>
    </row>
    <row r="44" spans="2:33" x14ac:dyDescent="0.45">
      <c r="B44" s="12" t="s">
        <v>57</v>
      </c>
      <c r="C44" s="20">
        <f>SUM(C40:C43)</f>
        <v>213.94100000001941</v>
      </c>
      <c r="D44" s="20">
        <f t="shared" ref="D44:H44" si="53">SUM(D40:D43)</f>
        <v>288.39600000002235</v>
      </c>
      <c r="E44" s="20">
        <f t="shared" si="53"/>
        <v>404.03503064155552</v>
      </c>
      <c r="F44" s="20">
        <f t="shared" si="53"/>
        <v>648.24531276001494</v>
      </c>
      <c r="G44" s="20">
        <f t="shared" si="53"/>
        <v>1171.010201049666</v>
      </c>
      <c r="H44" s="20">
        <f t="shared" si="53"/>
        <v>2163.805272451873</v>
      </c>
      <c r="J44" s="20">
        <f>SUM(J40:J43)</f>
        <v>53.474000000013504</v>
      </c>
      <c r="K44" s="20">
        <f t="shared" ref="K44:V44" si="54">K40+K41+K42+K43</f>
        <v>60.708999999996863</v>
      </c>
      <c r="L44" s="20">
        <f t="shared" si="54"/>
        <v>44.575000000008032</v>
      </c>
      <c r="M44" s="20">
        <f t="shared" si="54"/>
        <v>55.183000000001044</v>
      </c>
      <c r="N44" s="20">
        <f t="shared" si="54"/>
        <v>62.427000000020612</v>
      </c>
      <c r="O44" s="20">
        <f t="shared" si="54"/>
        <v>56.955999999999705</v>
      </c>
      <c r="P44" s="20">
        <f t="shared" si="54"/>
        <v>76.504999999997779</v>
      </c>
      <c r="Q44" s="20">
        <f t="shared" si="54"/>
        <v>92.508000000004259</v>
      </c>
      <c r="R44" s="20">
        <f t="shared" si="54"/>
        <v>92.826000000004669</v>
      </c>
      <c r="S44" s="20">
        <f t="shared" si="54"/>
        <v>92.43114097928742</v>
      </c>
      <c r="T44" s="20">
        <f t="shared" si="54"/>
        <v>105.17856411065267</v>
      </c>
      <c r="U44" s="20">
        <f t="shared" si="54"/>
        <v>113.5993255516108</v>
      </c>
      <c r="V44" s="20">
        <f t="shared" si="54"/>
        <v>129.07194328588719</v>
      </c>
      <c r="W44" s="20">
        <f t="shared" ref="W44:AG44" si="55">W40+W41+W42+W43</f>
        <v>148.87377935232692</v>
      </c>
      <c r="X44" s="20">
        <f t="shared" si="55"/>
        <v>171.60079927388392</v>
      </c>
      <c r="Y44" s="20">
        <f t="shared" si="55"/>
        <v>198.69879084791702</v>
      </c>
      <c r="Z44" s="20">
        <f t="shared" si="55"/>
        <v>230.43002547893281</v>
      </c>
      <c r="AA44" s="20">
        <f t="shared" si="55"/>
        <v>267.55318489273731</v>
      </c>
      <c r="AB44" s="20">
        <f t="shared" si="55"/>
        <v>311.03221230410804</v>
      </c>
      <c r="AC44" s="20">
        <f t="shared" si="55"/>
        <v>361.99477837388781</v>
      </c>
      <c r="AD44" s="20">
        <f t="shared" si="55"/>
        <v>422.09170091388449</v>
      </c>
      <c r="AE44" s="20">
        <f t="shared" si="55"/>
        <v>492.69110087794024</v>
      </c>
      <c r="AF44" s="20">
        <f t="shared" si="55"/>
        <v>575.68053899340521</v>
      </c>
      <c r="AG44" s="20">
        <f t="shared" si="55"/>
        <v>673.34193166664249</v>
      </c>
    </row>
    <row r="46" spans="2:33" ht="15.4" x14ac:dyDescent="0.45">
      <c r="B46" s="28" t="s">
        <v>58</v>
      </c>
      <c r="C46" s="32"/>
      <c r="D46" s="32"/>
      <c r="E46" s="32"/>
      <c r="F46" s="32"/>
      <c r="G46" s="32"/>
      <c r="H46" s="32"/>
      <c r="J46" s="32"/>
      <c r="K46" s="32"/>
      <c r="L46" s="32"/>
      <c r="M46" s="32"/>
      <c r="N46" s="32"/>
      <c r="O46" s="32"/>
      <c r="P46" s="32"/>
      <c r="Q46" s="32"/>
      <c r="R46" s="32"/>
      <c r="S46" s="32"/>
      <c r="T46" s="32"/>
      <c r="U46" s="32"/>
      <c r="V46" s="32"/>
      <c r="W46" s="32"/>
      <c r="X46" s="32"/>
      <c r="Y46" s="32"/>
      <c r="Z46" s="32"/>
      <c r="AA46" s="32"/>
      <c r="AB46" s="32"/>
      <c r="AC46" s="32"/>
      <c r="AD46" s="32"/>
      <c r="AE46" s="32"/>
      <c r="AF46" s="32"/>
      <c r="AG46" s="32"/>
    </row>
    <row r="47" spans="2:33" outlineLevel="1" x14ac:dyDescent="0.45">
      <c r="B47" s="16" t="s">
        <v>59</v>
      </c>
      <c r="C47" s="17">
        <f t="shared" ref="C47:H47" si="56">SUMIFS($J47:$V47,$J$3:$V$3,C$6)</f>
        <v>79.56499999999177</v>
      </c>
      <c r="D47" s="17">
        <f t="shared" si="56"/>
        <v>-785.91200000000447</v>
      </c>
      <c r="E47" s="17">
        <f t="shared" si="56"/>
        <v>-885.71799999999723</v>
      </c>
      <c r="F47" s="17">
        <f t="shared" si="56"/>
        <v>0</v>
      </c>
      <c r="G47" s="17">
        <f t="shared" si="56"/>
        <v>0</v>
      </c>
      <c r="H47" s="17">
        <f t="shared" si="56"/>
        <v>0</v>
      </c>
      <c r="J47" s="30">
        <f t="shared" ref="J47:AG47" si="57">J20</f>
        <v>104.76900000000082</v>
      </c>
      <c r="K47" s="30">
        <f t="shared" si="57"/>
        <v>-116.39400000000448</v>
      </c>
      <c r="L47" s="30">
        <f t="shared" si="57"/>
        <v>-67.271999999999011</v>
      </c>
      <c r="M47" s="30">
        <f t="shared" si="57"/>
        <v>158.46199999999445</v>
      </c>
      <c r="N47" s="30">
        <f t="shared" si="57"/>
        <v>-349.06399999999672</v>
      </c>
      <c r="O47" s="30">
        <f t="shared" si="57"/>
        <v>108.26799999999575</v>
      </c>
      <c r="P47" s="30">
        <f t="shared" si="57"/>
        <v>18.450999999994586</v>
      </c>
      <c r="Q47" s="30">
        <f t="shared" si="57"/>
        <v>-563.56699999999807</v>
      </c>
      <c r="R47" s="30">
        <f t="shared" si="57"/>
        <v>-604.86199999999519</v>
      </c>
      <c r="S47" s="30">
        <f>S20</f>
        <v>-280.85600000000204</v>
      </c>
      <c r="T47" s="30">
        <f t="shared" si="57"/>
        <v>0</v>
      </c>
      <c r="U47" s="30">
        <f t="shared" si="57"/>
        <v>0</v>
      </c>
      <c r="V47" s="30">
        <f t="shared" si="57"/>
        <v>0</v>
      </c>
      <c r="W47" s="30">
        <f t="shared" si="57"/>
        <v>0</v>
      </c>
      <c r="X47" s="30">
        <f t="shared" si="57"/>
        <v>0</v>
      </c>
      <c r="Y47" s="30">
        <f t="shared" si="57"/>
        <v>0</v>
      </c>
      <c r="Z47" s="30">
        <f t="shared" si="57"/>
        <v>0</v>
      </c>
      <c r="AA47" s="30">
        <f t="shared" si="57"/>
        <v>0</v>
      </c>
      <c r="AB47" s="30">
        <f t="shared" si="57"/>
        <v>0</v>
      </c>
      <c r="AC47" s="30">
        <f t="shared" si="57"/>
        <v>0</v>
      </c>
      <c r="AD47" s="30">
        <f t="shared" si="57"/>
        <v>0</v>
      </c>
      <c r="AE47" s="30">
        <f t="shared" si="57"/>
        <v>0</v>
      </c>
      <c r="AF47" s="30">
        <f t="shared" si="57"/>
        <v>0</v>
      </c>
      <c r="AG47" s="30">
        <f t="shared" si="57"/>
        <v>0</v>
      </c>
    </row>
    <row r="48" spans="2:33" x14ac:dyDescent="0.45">
      <c r="B48" s="12" t="s">
        <v>60</v>
      </c>
    </row>
    <row r="49" spans="2:33" outlineLevel="1" x14ac:dyDescent="0.45">
      <c r="B49" s="16" t="s">
        <v>61</v>
      </c>
      <c r="C49" s="17">
        <f t="shared" ref="C49:H58" si="58">SUMIFS($J49:$V49,$J$3:$V$3,C$6)</f>
        <v>-21.823999999999998</v>
      </c>
      <c r="D49" s="17">
        <f t="shared" si="58"/>
        <v>-396.44600000000003</v>
      </c>
      <c r="E49" s="17">
        <f t="shared" si="58"/>
        <v>0</v>
      </c>
      <c r="F49" s="17">
        <f t="shared" si="58"/>
        <v>0</v>
      </c>
      <c r="G49" s="17">
        <f t="shared" si="58"/>
        <v>0</v>
      </c>
      <c r="H49" s="17">
        <f t="shared" si="58"/>
        <v>0</v>
      </c>
      <c r="J49" s="30">
        <f t="shared" ref="J49:AG49" si="59">J31</f>
        <v>-5.6999999999999993</v>
      </c>
      <c r="K49" s="30">
        <f t="shared" si="59"/>
        <v>-8.8000000000000007</v>
      </c>
      <c r="L49" s="30">
        <f t="shared" si="59"/>
        <v>-5.2</v>
      </c>
      <c r="M49" s="30">
        <f t="shared" si="59"/>
        <v>-2.1240000000000001</v>
      </c>
      <c r="N49" s="30">
        <f t="shared" si="59"/>
        <v>-303.863</v>
      </c>
      <c r="O49" s="30">
        <f t="shared" si="59"/>
        <v>-30.1</v>
      </c>
      <c r="P49" s="30">
        <f t="shared" si="59"/>
        <v>-25.9</v>
      </c>
      <c r="Q49" s="30">
        <f t="shared" si="59"/>
        <v>-36.582999999999998</v>
      </c>
      <c r="R49" s="30">
        <f t="shared" si="59"/>
        <v>0</v>
      </c>
      <c r="S49" s="30">
        <f t="shared" si="59"/>
        <v>0</v>
      </c>
      <c r="T49" s="30">
        <f t="shared" si="59"/>
        <v>0</v>
      </c>
      <c r="U49" s="30">
        <f t="shared" si="59"/>
        <v>0</v>
      </c>
      <c r="V49" s="30">
        <f t="shared" si="59"/>
        <v>0</v>
      </c>
      <c r="W49" s="30">
        <f t="shared" si="59"/>
        <v>0</v>
      </c>
      <c r="X49" s="30">
        <f t="shared" si="59"/>
        <v>0</v>
      </c>
      <c r="Y49" s="30">
        <f t="shared" si="59"/>
        <v>0</v>
      </c>
      <c r="Z49" s="30">
        <f t="shared" si="59"/>
        <v>0</v>
      </c>
      <c r="AA49" s="30">
        <f t="shared" si="59"/>
        <v>0</v>
      </c>
      <c r="AB49" s="30">
        <f t="shared" si="59"/>
        <v>0</v>
      </c>
      <c r="AC49" s="30">
        <f t="shared" si="59"/>
        <v>0</v>
      </c>
      <c r="AD49" s="30">
        <f t="shared" si="59"/>
        <v>0</v>
      </c>
      <c r="AE49" s="30">
        <f t="shared" si="59"/>
        <v>0</v>
      </c>
      <c r="AF49" s="30">
        <f t="shared" si="59"/>
        <v>0</v>
      </c>
      <c r="AG49" s="30">
        <f t="shared" si="59"/>
        <v>0</v>
      </c>
    </row>
    <row r="50" spans="2:33" outlineLevel="1" x14ac:dyDescent="0.45">
      <c r="B50" s="167" t="s">
        <v>62</v>
      </c>
      <c r="C50" s="17">
        <f t="shared" si="58"/>
        <v>16.203000000000003</v>
      </c>
      <c r="D50" s="17">
        <f t="shared" si="58"/>
        <v>396.601</v>
      </c>
      <c r="E50" s="17">
        <f t="shared" si="58"/>
        <v>0</v>
      </c>
      <c r="F50" s="17">
        <f t="shared" si="58"/>
        <v>0</v>
      </c>
      <c r="G50" s="17">
        <f t="shared" si="58"/>
        <v>0</v>
      </c>
      <c r="H50" s="17">
        <f t="shared" si="58"/>
        <v>0</v>
      </c>
      <c r="J50" s="33"/>
      <c r="K50" s="18">
        <v>8.9</v>
      </c>
      <c r="L50" s="18">
        <v>5.2</v>
      </c>
      <c r="M50" s="18">
        <v>2.1030000000000002</v>
      </c>
      <c r="N50" s="18">
        <v>303.82499999999999</v>
      </c>
      <c r="O50" s="18">
        <v>30.2</v>
      </c>
      <c r="P50" s="18">
        <v>26</v>
      </c>
      <c r="Q50" s="18">
        <v>36.576000000000001</v>
      </c>
      <c r="R50" s="18">
        <v>0</v>
      </c>
      <c r="S50" s="33">
        <v>0</v>
      </c>
      <c r="T50" s="33"/>
      <c r="U50" s="33"/>
      <c r="V50" s="33"/>
      <c r="W50" s="33"/>
      <c r="X50" s="33"/>
      <c r="Y50" s="33"/>
      <c r="Z50" s="33"/>
      <c r="AA50" s="33"/>
      <c r="AB50" s="33"/>
      <c r="AC50" s="33"/>
      <c r="AD50" s="33"/>
      <c r="AE50" s="33"/>
      <c r="AF50" s="33"/>
      <c r="AG50" s="33"/>
    </row>
    <row r="51" spans="2:33" outlineLevel="1" x14ac:dyDescent="0.45">
      <c r="B51" s="16" t="s">
        <v>63</v>
      </c>
      <c r="C51" s="17">
        <f t="shared" si="58"/>
        <v>9.0580000000000211</v>
      </c>
      <c r="D51" s="17">
        <f t="shared" si="58"/>
        <v>208.608</v>
      </c>
      <c r="E51" s="17">
        <f t="shared" si="58"/>
        <v>216.17699999999999</v>
      </c>
      <c r="F51" s="17">
        <f t="shared" si="58"/>
        <v>0</v>
      </c>
      <c r="G51" s="17">
        <f t="shared" si="58"/>
        <v>0</v>
      </c>
      <c r="H51" s="17">
        <f t="shared" si="58"/>
        <v>0</v>
      </c>
      <c r="J51" s="33"/>
      <c r="K51" s="18">
        <v>102.1</v>
      </c>
      <c r="L51" s="18">
        <v>38.700000000000003</v>
      </c>
      <c r="M51" s="18">
        <v>-131.74199999999999</v>
      </c>
      <c r="N51" s="18">
        <v>115.267</v>
      </c>
      <c r="O51" s="18">
        <v>-22.8</v>
      </c>
      <c r="P51" s="18">
        <v>-4.0999999999999996</v>
      </c>
      <c r="Q51" s="18">
        <v>120.241</v>
      </c>
      <c r="R51" s="18">
        <v>150.92400000000001</v>
      </c>
      <c r="S51" s="33">
        <f>216.177-R51</f>
        <v>65.252999999999986</v>
      </c>
      <c r="T51" s="33"/>
      <c r="U51" s="33"/>
      <c r="V51" s="33"/>
      <c r="W51" s="33"/>
      <c r="X51" s="33"/>
      <c r="Y51" s="33"/>
      <c r="Z51" s="33"/>
      <c r="AA51" s="33"/>
      <c r="AB51" s="33"/>
      <c r="AC51" s="33"/>
      <c r="AD51" s="33"/>
      <c r="AE51" s="33"/>
      <c r="AF51" s="33"/>
      <c r="AG51" s="33"/>
    </row>
    <row r="52" spans="2:33" outlineLevel="1" x14ac:dyDescent="0.45">
      <c r="B52" s="16" t="s">
        <v>64</v>
      </c>
      <c r="C52" s="17">
        <f t="shared" si="58"/>
        <v>5.0049999999999999</v>
      </c>
      <c r="D52" s="17">
        <f t="shared" si="58"/>
        <v>-0.502</v>
      </c>
      <c r="E52" s="17">
        <f t="shared" si="58"/>
        <v>0.23</v>
      </c>
      <c r="F52" s="17">
        <f t="shared" si="58"/>
        <v>0</v>
      </c>
      <c r="G52" s="17">
        <f t="shared" si="58"/>
        <v>0</v>
      </c>
      <c r="H52" s="17">
        <f t="shared" si="58"/>
        <v>0</v>
      </c>
      <c r="J52" s="30">
        <f t="shared" ref="J52:AG52" si="60">-J19</f>
        <v>0.17599999999999999</v>
      </c>
      <c r="K52" s="30">
        <f t="shared" si="60"/>
        <v>0.30199999999999999</v>
      </c>
      <c r="L52" s="30">
        <f t="shared" si="60"/>
        <v>0.745</v>
      </c>
      <c r="M52" s="30">
        <f t="shared" si="60"/>
        <v>3.782</v>
      </c>
      <c r="N52" s="30">
        <f t="shared" si="60"/>
        <v>0.221</v>
      </c>
      <c r="O52" s="30">
        <f t="shared" si="60"/>
        <v>0.876</v>
      </c>
      <c r="P52" s="30">
        <f t="shared" si="60"/>
        <v>-7.5999999999999998E-2</v>
      </c>
      <c r="Q52" s="30">
        <f t="shared" si="60"/>
        <v>-1.5229999999999999</v>
      </c>
      <c r="R52" s="30">
        <f t="shared" si="60"/>
        <v>0.22600000000000001</v>
      </c>
      <c r="S52" s="30">
        <f t="shared" si="60"/>
        <v>4.0000000000000001E-3</v>
      </c>
      <c r="T52" s="30">
        <f t="shared" si="60"/>
        <v>0</v>
      </c>
      <c r="U52" s="30">
        <f t="shared" si="60"/>
        <v>0</v>
      </c>
      <c r="V52" s="30">
        <f t="shared" si="60"/>
        <v>0</v>
      </c>
      <c r="W52" s="30">
        <f t="shared" si="60"/>
        <v>0</v>
      </c>
      <c r="X52" s="30">
        <f t="shared" si="60"/>
        <v>0</v>
      </c>
      <c r="Y52" s="30">
        <f t="shared" si="60"/>
        <v>0</v>
      </c>
      <c r="Z52" s="30">
        <f t="shared" si="60"/>
        <v>0</v>
      </c>
      <c r="AA52" s="30">
        <f t="shared" si="60"/>
        <v>0</v>
      </c>
      <c r="AB52" s="30">
        <f t="shared" si="60"/>
        <v>0</v>
      </c>
      <c r="AC52" s="30">
        <f t="shared" si="60"/>
        <v>0</v>
      </c>
      <c r="AD52" s="30">
        <f t="shared" si="60"/>
        <v>0</v>
      </c>
      <c r="AE52" s="30">
        <f t="shared" si="60"/>
        <v>0</v>
      </c>
      <c r="AF52" s="30">
        <f t="shared" si="60"/>
        <v>0</v>
      </c>
      <c r="AG52" s="30">
        <f t="shared" si="60"/>
        <v>0</v>
      </c>
    </row>
    <row r="53" spans="2:33" outlineLevel="1" x14ac:dyDescent="0.45">
      <c r="B53" s="16" t="s">
        <v>65</v>
      </c>
      <c r="C53" s="17">
        <f t="shared" si="58"/>
        <v>38.529000000000003</v>
      </c>
      <c r="D53" s="17">
        <f t="shared" si="58"/>
        <v>52.369</v>
      </c>
      <c r="E53" s="17">
        <f t="shared" si="58"/>
        <v>28.546999999999997</v>
      </c>
      <c r="F53" s="17">
        <f t="shared" si="58"/>
        <v>0</v>
      </c>
      <c r="G53" s="17">
        <f t="shared" si="58"/>
        <v>0</v>
      </c>
      <c r="H53" s="17">
        <f t="shared" si="58"/>
        <v>0</v>
      </c>
      <c r="J53" s="30">
        <f t="shared" ref="J53:AG53" si="61">-J15</f>
        <v>8.9290000000000003</v>
      </c>
      <c r="K53" s="30">
        <f t="shared" si="61"/>
        <v>9.0630000000000006</v>
      </c>
      <c r="L53" s="30">
        <f t="shared" si="61"/>
        <v>9.8780000000000001</v>
      </c>
      <c r="M53" s="30">
        <f t="shared" si="61"/>
        <v>10.659000000000001</v>
      </c>
      <c r="N53" s="30">
        <f t="shared" si="61"/>
        <v>10.24</v>
      </c>
      <c r="O53" s="30">
        <f t="shared" si="61"/>
        <v>13.291</v>
      </c>
      <c r="P53" s="30">
        <f t="shared" si="61"/>
        <v>13.906000000000001</v>
      </c>
      <c r="Q53" s="30">
        <f t="shared" si="61"/>
        <v>14.932</v>
      </c>
      <c r="R53" s="30">
        <f t="shared" si="61"/>
        <v>14.087999999999999</v>
      </c>
      <c r="S53" s="30">
        <f>-S15</f>
        <v>14.459</v>
      </c>
      <c r="T53" s="30">
        <f t="shared" si="61"/>
        <v>0</v>
      </c>
      <c r="U53" s="30">
        <f t="shared" si="61"/>
        <v>0</v>
      </c>
      <c r="V53" s="30">
        <f t="shared" si="61"/>
        <v>0</v>
      </c>
      <c r="W53" s="30">
        <f t="shared" si="61"/>
        <v>0</v>
      </c>
      <c r="X53" s="30">
        <f t="shared" si="61"/>
        <v>0</v>
      </c>
      <c r="Y53" s="30">
        <f t="shared" si="61"/>
        <v>0</v>
      </c>
      <c r="Z53" s="30">
        <f t="shared" si="61"/>
        <v>0</v>
      </c>
      <c r="AA53" s="30">
        <f t="shared" si="61"/>
        <v>0</v>
      </c>
      <c r="AB53" s="30">
        <f t="shared" si="61"/>
        <v>0</v>
      </c>
      <c r="AC53" s="30">
        <f t="shared" si="61"/>
        <v>0</v>
      </c>
      <c r="AD53" s="30">
        <f t="shared" si="61"/>
        <v>0</v>
      </c>
      <c r="AE53" s="30">
        <f t="shared" si="61"/>
        <v>0</v>
      </c>
      <c r="AF53" s="30">
        <f t="shared" si="61"/>
        <v>0</v>
      </c>
      <c r="AG53" s="30">
        <f t="shared" si="61"/>
        <v>0</v>
      </c>
    </row>
    <row r="54" spans="2:33" outlineLevel="1" x14ac:dyDescent="0.45">
      <c r="B54" s="16" t="s">
        <v>66</v>
      </c>
      <c r="C54" s="17">
        <f t="shared" si="58"/>
        <v>19.298999999999999</v>
      </c>
      <c r="D54" s="17">
        <f t="shared" si="58"/>
        <v>15.579999999999998</v>
      </c>
      <c r="E54" s="17">
        <f t="shared" si="58"/>
        <v>10.634</v>
      </c>
      <c r="F54" s="17">
        <f t="shared" si="58"/>
        <v>0</v>
      </c>
      <c r="G54" s="17">
        <f t="shared" si="58"/>
        <v>0</v>
      </c>
      <c r="H54" s="17">
        <f t="shared" si="58"/>
        <v>0</v>
      </c>
      <c r="J54" s="33"/>
      <c r="K54" s="18">
        <v>8.9</v>
      </c>
      <c r="L54" s="18">
        <v>5.7</v>
      </c>
      <c r="M54" s="18">
        <v>4.6989999999999998</v>
      </c>
      <c r="N54" s="18">
        <v>5.133</v>
      </c>
      <c r="O54" s="18">
        <v>3.3</v>
      </c>
      <c r="P54" s="18">
        <v>3.1</v>
      </c>
      <c r="Q54" s="18">
        <v>4.0469999999999997</v>
      </c>
      <c r="R54" s="18">
        <v>5.6029999999999998</v>
      </c>
      <c r="S54" s="33">
        <f>10.634-R54</f>
        <v>5.0310000000000006</v>
      </c>
      <c r="T54" s="33"/>
      <c r="U54" s="33"/>
      <c r="V54" s="33"/>
      <c r="W54" s="33"/>
      <c r="X54" s="33"/>
      <c r="Y54" s="33"/>
      <c r="Z54" s="33"/>
      <c r="AA54" s="33"/>
      <c r="AB54" s="33"/>
      <c r="AC54" s="33"/>
      <c r="AD54" s="33"/>
      <c r="AE54" s="33"/>
      <c r="AF54" s="33"/>
      <c r="AG54" s="33"/>
    </row>
    <row r="55" spans="2:33" outlineLevel="1" x14ac:dyDescent="0.45">
      <c r="B55" s="16" t="s">
        <v>67</v>
      </c>
      <c r="C55" s="17">
        <f t="shared" si="58"/>
        <v>0</v>
      </c>
      <c r="D55" s="17">
        <f t="shared" si="58"/>
        <v>0.628</v>
      </c>
      <c r="E55" s="17">
        <f t="shared" si="58"/>
        <v>23.029</v>
      </c>
      <c r="F55" s="17">
        <f t="shared" si="58"/>
        <v>0</v>
      </c>
      <c r="G55" s="17">
        <f t="shared" si="58"/>
        <v>0</v>
      </c>
      <c r="H55" s="17">
        <f t="shared" si="58"/>
        <v>0</v>
      </c>
      <c r="J55" s="33"/>
      <c r="K55" s="18">
        <v>0</v>
      </c>
      <c r="L55" s="18">
        <v>0</v>
      </c>
      <c r="M55" s="18">
        <v>0</v>
      </c>
      <c r="N55" s="18">
        <v>0</v>
      </c>
      <c r="O55" s="18">
        <v>0</v>
      </c>
      <c r="P55" s="18">
        <v>0</v>
      </c>
      <c r="Q55" s="18">
        <v>0.628</v>
      </c>
      <c r="R55" s="18">
        <v>15.438000000000001</v>
      </c>
      <c r="S55" s="33">
        <f>23.029-R55</f>
        <v>7.5909999999999993</v>
      </c>
      <c r="T55" s="33"/>
      <c r="U55" s="33"/>
      <c r="V55" s="33"/>
      <c r="W55" s="33"/>
      <c r="X55" s="33"/>
      <c r="Y55" s="33"/>
      <c r="Z55" s="33"/>
      <c r="AA55" s="33"/>
      <c r="AB55" s="33"/>
      <c r="AC55" s="33"/>
      <c r="AD55" s="33"/>
      <c r="AE55" s="33"/>
      <c r="AF55" s="33"/>
      <c r="AG55" s="33"/>
    </row>
    <row r="56" spans="2:33" outlineLevel="1" x14ac:dyDescent="0.45">
      <c r="B56" s="16" t="s">
        <v>68</v>
      </c>
      <c r="C56" s="17">
        <f t="shared" si="58"/>
        <v>-40.01</v>
      </c>
      <c r="D56" s="17">
        <f t="shared" si="58"/>
        <v>24.967999999999996</v>
      </c>
      <c r="E56" s="17">
        <f t="shared" si="58"/>
        <v>-2.3689999999999998</v>
      </c>
      <c r="F56" s="17">
        <f t="shared" si="58"/>
        <v>0</v>
      </c>
      <c r="G56" s="17">
        <f t="shared" si="58"/>
        <v>0</v>
      </c>
      <c r="H56" s="17">
        <f t="shared" si="58"/>
        <v>0</v>
      </c>
      <c r="J56" s="33"/>
      <c r="K56" s="18">
        <v>11.8</v>
      </c>
      <c r="L56" s="18">
        <v>-3.3</v>
      </c>
      <c r="M56" s="18">
        <v>-48.51</v>
      </c>
      <c r="N56" s="18">
        <v>21.4</v>
      </c>
      <c r="O56" s="18">
        <v>-55</v>
      </c>
      <c r="P56" s="18">
        <v>-5.7</v>
      </c>
      <c r="Q56" s="18">
        <v>64.268000000000001</v>
      </c>
      <c r="R56" s="18">
        <v>73.236000000000004</v>
      </c>
      <c r="S56" s="33">
        <f>-2.369-R56</f>
        <v>-75.605000000000004</v>
      </c>
      <c r="T56" s="33"/>
      <c r="U56" s="33"/>
      <c r="V56" s="33"/>
      <c r="W56" s="33"/>
      <c r="X56" s="33"/>
      <c r="Y56" s="33"/>
      <c r="Z56" s="33"/>
      <c r="AA56" s="33"/>
      <c r="AB56" s="33"/>
      <c r="AC56" s="33"/>
      <c r="AD56" s="33"/>
      <c r="AE56" s="33"/>
      <c r="AF56" s="33"/>
      <c r="AG56" s="33"/>
    </row>
    <row r="57" spans="2:33" outlineLevel="1" x14ac:dyDescent="0.45">
      <c r="B57" s="16" t="s">
        <v>69</v>
      </c>
      <c r="C57" s="17">
        <f t="shared" si="58"/>
        <v>14.439</v>
      </c>
      <c r="D57" s="17">
        <f t="shared" si="58"/>
        <v>2.2000000000000686E-2</v>
      </c>
      <c r="E57" s="17">
        <f t="shared" si="58"/>
        <v>85.379000000000005</v>
      </c>
      <c r="F57" s="17">
        <f t="shared" si="58"/>
        <v>0</v>
      </c>
      <c r="G57" s="17">
        <f t="shared" si="58"/>
        <v>0</v>
      </c>
      <c r="H57" s="17">
        <f t="shared" si="58"/>
        <v>0</v>
      </c>
      <c r="J57" s="33"/>
      <c r="K57" s="18">
        <v>-1.5</v>
      </c>
      <c r="L57" s="18">
        <v>1.6</v>
      </c>
      <c r="M57" s="18">
        <v>14.339</v>
      </c>
      <c r="N57" s="18">
        <v>-13.305</v>
      </c>
      <c r="O57" s="18">
        <v>12.8</v>
      </c>
      <c r="P57" s="18">
        <v>3.4</v>
      </c>
      <c r="Q57" s="18">
        <v>-2.8730000000000002</v>
      </c>
      <c r="R57" s="18">
        <v>-0.28000000000000003</v>
      </c>
      <c r="S57" s="33">
        <f>85.379-R57</f>
        <v>85.659000000000006</v>
      </c>
      <c r="T57" s="33"/>
      <c r="U57" s="33"/>
      <c r="V57" s="33"/>
      <c r="W57" s="33"/>
      <c r="X57" s="33"/>
      <c r="Y57" s="33"/>
      <c r="Z57" s="33"/>
      <c r="AA57" s="33"/>
      <c r="AB57" s="33"/>
      <c r="AC57" s="33"/>
      <c r="AD57" s="33"/>
      <c r="AE57" s="33"/>
      <c r="AF57" s="33"/>
      <c r="AG57" s="33"/>
    </row>
    <row r="58" spans="2:33" outlineLevel="1" x14ac:dyDescent="0.45">
      <c r="B58" s="16" t="s">
        <v>70</v>
      </c>
      <c r="C58" s="17">
        <f t="shared" si="58"/>
        <v>12.190000000000001</v>
      </c>
      <c r="D58" s="17">
        <f t="shared" si="58"/>
        <v>-9.609</v>
      </c>
      <c r="E58" s="17">
        <f t="shared" si="58"/>
        <v>-91.58</v>
      </c>
      <c r="F58" s="17">
        <f t="shared" si="58"/>
        <v>0</v>
      </c>
      <c r="G58" s="17">
        <f t="shared" si="58"/>
        <v>0</v>
      </c>
      <c r="H58" s="17">
        <f t="shared" si="58"/>
        <v>0</v>
      </c>
      <c r="J58" s="30">
        <f t="shared" ref="J58:AG58" si="62">-J16</f>
        <v>0.52600000000000002</v>
      </c>
      <c r="K58" s="30">
        <f t="shared" si="62"/>
        <v>-0.17499999999999999</v>
      </c>
      <c r="L58" s="30">
        <f t="shared" si="62"/>
        <v>-1.028</v>
      </c>
      <c r="M58" s="30">
        <f t="shared" si="62"/>
        <v>12.867000000000001</v>
      </c>
      <c r="N58" s="30">
        <f t="shared" si="62"/>
        <v>0</v>
      </c>
      <c r="O58" s="30">
        <f t="shared" si="62"/>
        <v>2.379</v>
      </c>
      <c r="P58" s="30">
        <f t="shared" si="62"/>
        <v>5.5330000000000004</v>
      </c>
      <c r="Q58" s="30">
        <f t="shared" si="62"/>
        <v>-17.521000000000001</v>
      </c>
      <c r="R58" s="30">
        <f t="shared" si="62"/>
        <v>-69.197000000000003</v>
      </c>
      <c r="S58" s="30">
        <f t="shared" si="62"/>
        <v>-22.382999999999999</v>
      </c>
      <c r="T58" s="30">
        <f t="shared" si="62"/>
        <v>0</v>
      </c>
      <c r="U58" s="30">
        <f t="shared" si="62"/>
        <v>0</v>
      </c>
      <c r="V58" s="30">
        <f t="shared" si="62"/>
        <v>0</v>
      </c>
      <c r="W58" s="30">
        <f t="shared" si="62"/>
        <v>0</v>
      </c>
      <c r="X58" s="30">
        <f t="shared" si="62"/>
        <v>0</v>
      </c>
      <c r="Y58" s="30">
        <f t="shared" si="62"/>
        <v>0</v>
      </c>
      <c r="Z58" s="30">
        <f t="shared" si="62"/>
        <v>0</v>
      </c>
      <c r="AA58" s="30">
        <f t="shared" si="62"/>
        <v>0</v>
      </c>
      <c r="AB58" s="30">
        <f t="shared" si="62"/>
        <v>0</v>
      </c>
      <c r="AC58" s="30">
        <f t="shared" si="62"/>
        <v>0</v>
      </c>
      <c r="AD58" s="30">
        <f t="shared" si="62"/>
        <v>0</v>
      </c>
      <c r="AE58" s="30">
        <f t="shared" si="62"/>
        <v>0</v>
      </c>
      <c r="AF58" s="30">
        <f t="shared" si="62"/>
        <v>0</v>
      </c>
      <c r="AG58" s="30">
        <f t="shared" si="62"/>
        <v>0</v>
      </c>
    </row>
    <row r="59" spans="2:33" outlineLevel="1" x14ac:dyDescent="0.45">
      <c r="B59" s="16" t="s">
        <v>71</v>
      </c>
      <c r="C59" s="17">
        <f t="shared" ref="C59:H65" si="63">SUMIFS($J59:$V59,$J$3:$V$3,C$6)</f>
        <v>43.349999999999994</v>
      </c>
      <c r="D59" s="17">
        <f t="shared" si="63"/>
        <v>20.100000000000001</v>
      </c>
      <c r="E59" s="17">
        <f t="shared" si="63"/>
        <v>-4.2</v>
      </c>
      <c r="F59" s="17">
        <f t="shared" si="63"/>
        <v>0</v>
      </c>
      <c r="G59" s="17">
        <f t="shared" si="63"/>
        <v>0</v>
      </c>
      <c r="H59" s="17">
        <f t="shared" si="63"/>
        <v>0</v>
      </c>
      <c r="J59" s="30">
        <f t="shared" ref="J59:AG59" si="64">-J17</f>
        <v>35.6</v>
      </c>
      <c r="K59" s="30">
        <f t="shared" si="64"/>
        <v>-6.1</v>
      </c>
      <c r="L59" s="30">
        <f t="shared" si="64"/>
        <v>-0.1</v>
      </c>
      <c r="M59" s="30">
        <f t="shared" si="64"/>
        <v>13.95</v>
      </c>
      <c r="N59" s="30">
        <f t="shared" si="64"/>
        <v>0.9</v>
      </c>
      <c r="O59" s="30">
        <f t="shared" si="64"/>
        <v>15.25</v>
      </c>
      <c r="P59" s="30">
        <f t="shared" si="64"/>
        <v>10.85</v>
      </c>
      <c r="Q59" s="30">
        <f t="shared" si="64"/>
        <v>-6.9</v>
      </c>
      <c r="R59" s="30">
        <f t="shared" si="64"/>
        <v>-8.5</v>
      </c>
      <c r="S59" s="30">
        <f t="shared" si="64"/>
        <v>4.3</v>
      </c>
      <c r="T59" s="30">
        <f t="shared" si="64"/>
        <v>0</v>
      </c>
      <c r="U59" s="30">
        <f t="shared" si="64"/>
        <v>0</v>
      </c>
      <c r="V59" s="30">
        <f t="shared" si="64"/>
        <v>0</v>
      </c>
      <c r="W59" s="30">
        <f t="shared" si="64"/>
        <v>0</v>
      </c>
      <c r="X59" s="30">
        <f t="shared" si="64"/>
        <v>0</v>
      </c>
      <c r="Y59" s="30">
        <f t="shared" si="64"/>
        <v>0</v>
      </c>
      <c r="Z59" s="30">
        <f t="shared" si="64"/>
        <v>0</v>
      </c>
      <c r="AA59" s="30">
        <f t="shared" si="64"/>
        <v>0</v>
      </c>
      <c r="AB59" s="30">
        <f t="shared" si="64"/>
        <v>0</v>
      </c>
      <c r="AC59" s="30">
        <f t="shared" si="64"/>
        <v>0</v>
      </c>
      <c r="AD59" s="30">
        <f t="shared" si="64"/>
        <v>0</v>
      </c>
      <c r="AE59" s="30">
        <f t="shared" si="64"/>
        <v>0</v>
      </c>
      <c r="AF59" s="30">
        <f t="shared" si="64"/>
        <v>0</v>
      </c>
      <c r="AG59" s="30">
        <f t="shared" si="64"/>
        <v>0</v>
      </c>
    </row>
    <row r="60" spans="2:33" outlineLevel="1" x14ac:dyDescent="0.45">
      <c r="B60" s="16" t="s">
        <v>72</v>
      </c>
      <c r="C60" s="17">
        <f t="shared" si="63"/>
        <v>-29.452999999999999</v>
      </c>
      <c r="D60" s="17">
        <f t="shared" si="63"/>
        <v>36.035000000000025</v>
      </c>
      <c r="E60" s="17">
        <f t="shared" si="63"/>
        <v>122.95100000000001</v>
      </c>
      <c r="F60" s="17">
        <f t="shared" si="63"/>
        <v>0</v>
      </c>
      <c r="G60" s="17">
        <f t="shared" si="63"/>
        <v>0</v>
      </c>
      <c r="H60" s="17">
        <f t="shared" si="63"/>
        <v>0</v>
      </c>
      <c r="J60" s="30">
        <f t="shared" ref="J60:AG60" si="65">-J12</f>
        <v>-0.34899999999999998</v>
      </c>
      <c r="K60" s="30">
        <f t="shared" si="65"/>
        <v>0.73799999999999999</v>
      </c>
      <c r="L60" s="30">
        <f t="shared" si="65"/>
        <v>-2.4729999999999999</v>
      </c>
      <c r="M60" s="30">
        <f t="shared" si="65"/>
        <v>-27.369</v>
      </c>
      <c r="N60" s="30">
        <f t="shared" si="65"/>
        <v>71.81</v>
      </c>
      <c r="O60" s="30">
        <f t="shared" si="65"/>
        <v>-86.358999999999995</v>
      </c>
      <c r="P60" s="30">
        <f t="shared" si="65"/>
        <v>-54.970999999999997</v>
      </c>
      <c r="Q60" s="30">
        <f t="shared" si="65"/>
        <v>105.55500000000001</v>
      </c>
      <c r="R60" s="30">
        <f t="shared" si="65"/>
        <v>92.373000000000005</v>
      </c>
      <c r="S60" s="30">
        <f t="shared" si="65"/>
        <v>30.577999999999999</v>
      </c>
      <c r="T60" s="30">
        <f t="shared" si="65"/>
        <v>0</v>
      </c>
      <c r="U60" s="30">
        <f t="shared" si="65"/>
        <v>0</v>
      </c>
      <c r="V60" s="30">
        <f t="shared" si="65"/>
        <v>0</v>
      </c>
      <c r="W60" s="30">
        <f t="shared" si="65"/>
        <v>0</v>
      </c>
      <c r="X60" s="30">
        <f t="shared" si="65"/>
        <v>0</v>
      </c>
      <c r="Y60" s="30">
        <f t="shared" si="65"/>
        <v>0</v>
      </c>
      <c r="Z60" s="30">
        <f t="shared" si="65"/>
        <v>0</v>
      </c>
      <c r="AA60" s="30">
        <f t="shared" si="65"/>
        <v>0</v>
      </c>
      <c r="AB60" s="30">
        <f t="shared" si="65"/>
        <v>0</v>
      </c>
      <c r="AC60" s="30">
        <f t="shared" si="65"/>
        <v>0</v>
      </c>
      <c r="AD60" s="30">
        <f t="shared" si="65"/>
        <v>0</v>
      </c>
      <c r="AE60" s="30">
        <f t="shared" si="65"/>
        <v>0</v>
      </c>
      <c r="AF60" s="30">
        <f t="shared" si="65"/>
        <v>0</v>
      </c>
      <c r="AG60" s="30">
        <f t="shared" si="65"/>
        <v>0</v>
      </c>
    </row>
    <row r="61" spans="2:33" outlineLevel="1" x14ac:dyDescent="0.45">
      <c r="B61" s="16" t="s">
        <v>73</v>
      </c>
      <c r="C61" s="17">
        <f t="shared" si="63"/>
        <v>24.245999999999999</v>
      </c>
      <c r="D61" s="17">
        <f t="shared" si="63"/>
        <v>497.39699999999999</v>
      </c>
      <c r="E61" s="17">
        <f t="shared" si="63"/>
        <v>532.48299999999995</v>
      </c>
      <c r="F61" s="17">
        <f t="shared" si="63"/>
        <v>0</v>
      </c>
      <c r="G61" s="17">
        <f t="shared" si="63"/>
        <v>0</v>
      </c>
      <c r="H61" s="17">
        <f t="shared" si="63"/>
        <v>0</v>
      </c>
      <c r="J61" s="33"/>
      <c r="K61" s="18">
        <v>4.5</v>
      </c>
      <c r="L61" s="18">
        <v>21.2</v>
      </c>
      <c r="M61" s="18">
        <v>-1.454</v>
      </c>
      <c r="N61" s="18">
        <v>142.08799999999999</v>
      </c>
      <c r="O61" s="18">
        <v>6.7</v>
      </c>
      <c r="P61" s="18">
        <v>29.4</v>
      </c>
      <c r="Q61" s="18">
        <v>319.209</v>
      </c>
      <c r="R61" s="18">
        <v>350.97</v>
      </c>
      <c r="S61" s="33">
        <f>532.483-R61</f>
        <v>181.51299999999992</v>
      </c>
      <c r="T61" s="33"/>
      <c r="U61" s="33"/>
      <c r="V61" s="33"/>
      <c r="W61" s="33"/>
      <c r="X61" s="33"/>
      <c r="Y61" s="33"/>
      <c r="Z61" s="33"/>
      <c r="AA61" s="33"/>
      <c r="AB61" s="33"/>
      <c r="AC61" s="33"/>
      <c r="AD61" s="33"/>
      <c r="AE61" s="33"/>
      <c r="AF61" s="33"/>
      <c r="AG61" s="33"/>
    </row>
    <row r="62" spans="2:33" outlineLevel="1" x14ac:dyDescent="0.45">
      <c r="B62" s="16" t="s">
        <v>74</v>
      </c>
      <c r="C62" s="17">
        <f t="shared" si="63"/>
        <v>1</v>
      </c>
      <c r="D62" s="17">
        <f t="shared" si="63"/>
        <v>0</v>
      </c>
      <c r="E62" s="17">
        <f t="shared" si="63"/>
        <v>0.59099999999999997</v>
      </c>
      <c r="F62" s="17">
        <f t="shared" si="63"/>
        <v>0</v>
      </c>
      <c r="G62" s="17">
        <f t="shared" si="63"/>
        <v>0</v>
      </c>
      <c r="H62" s="17">
        <f t="shared" si="63"/>
        <v>0</v>
      </c>
      <c r="J62" s="33"/>
      <c r="K62" s="18">
        <v>1</v>
      </c>
      <c r="L62" s="18">
        <v>0</v>
      </c>
      <c r="M62" s="18">
        <v>0</v>
      </c>
      <c r="N62" s="18">
        <v>0</v>
      </c>
      <c r="O62" s="18">
        <v>0</v>
      </c>
      <c r="P62" s="18">
        <v>0</v>
      </c>
      <c r="Q62" s="18">
        <v>0</v>
      </c>
      <c r="R62" s="18">
        <v>0.59099999999999997</v>
      </c>
      <c r="S62" s="33">
        <f>0.591-R62</f>
        <v>0</v>
      </c>
      <c r="T62" s="33"/>
      <c r="U62" s="33"/>
      <c r="V62" s="33"/>
      <c r="W62" s="33"/>
      <c r="X62" s="33"/>
      <c r="Y62" s="33"/>
      <c r="Z62" s="33"/>
      <c r="AA62" s="33"/>
      <c r="AB62" s="33"/>
      <c r="AC62" s="33"/>
      <c r="AD62" s="33"/>
      <c r="AE62" s="33"/>
      <c r="AF62" s="33"/>
      <c r="AG62" s="33"/>
    </row>
    <row r="63" spans="2:33" outlineLevel="1" x14ac:dyDescent="0.45">
      <c r="B63" s="16" t="s">
        <v>75</v>
      </c>
      <c r="C63" s="17">
        <f t="shared" si="63"/>
        <v>0</v>
      </c>
      <c r="D63" s="17">
        <f t="shared" si="63"/>
        <v>0</v>
      </c>
      <c r="E63" s="17">
        <f t="shared" si="63"/>
        <v>8.2390000000000008</v>
      </c>
      <c r="F63" s="17">
        <f t="shared" si="63"/>
        <v>0</v>
      </c>
      <c r="G63" s="17">
        <f t="shared" si="63"/>
        <v>0</v>
      </c>
      <c r="H63" s="17">
        <f t="shared" si="63"/>
        <v>0</v>
      </c>
      <c r="J63" s="33"/>
      <c r="K63" s="18">
        <v>0</v>
      </c>
      <c r="L63" s="18">
        <v>0</v>
      </c>
      <c r="M63" s="18">
        <v>0</v>
      </c>
      <c r="N63" s="18">
        <v>0</v>
      </c>
      <c r="O63" s="18">
        <v>0</v>
      </c>
      <c r="P63" s="18">
        <v>0</v>
      </c>
      <c r="Q63" s="18">
        <v>0</v>
      </c>
      <c r="R63" s="18">
        <v>8.2390000000000008</v>
      </c>
      <c r="S63" s="33">
        <f>8.239-R63</f>
        <v>0</v>
      </c>
      <c r="T63" s="33"/>
      <c r="U63" s="33"/>
      <c r="V63" s="33"/>
      <c r="W63" s="33"/>
      <c r="X63" s="33"/>
      <c r="Y63" s="33"/>
      <c r="Z63" s="33"/>
      <c r="AA63" s="33"/>
      <c r="AB63" s="33"/>
      <c r="AC63" s="33"/>
      <c r="AD63" s="33"/>
      <c r="AE63" s="33"/>
      <c r="AF63" s="33"/>
      <c r="AG63" s="33"/>
    </row>
    <row r="64" spans="2:33" outlineLevel="1" x14ac:dyDescent="0.45">
      <c r="B64" s="16" t="s">
        <v>76</v>
      </c>
      <c r="C64" s="17">
        <f t="shared" si="63"/>
        <v>7.3289999999999997</v>
      </c>
      <c r="D64" s="17">
        <f t="shared" si="63"/>
        <v>29.145</v>
      </c>
      <c r="E64" s="17">
        <f t="shared" si="63"/>
        <v>17.824000000000002</v>
      </c>
      <c r="F64" s="17">
        <f t="shared" si="63"/>
        <v>0</v>
      </c>
      <c r="G64" s="17">
        <f t="shared" si="63"/>
        <v>0</v>
      </c>
      <c r="H64" s="17">
        <f t="shared" si="63"/>
        <v>0</v>
      </c>
      <c r="J64" s="33"/>
      <c r="K64" s="18">
        <v>-0.3</v>
      </c>
      <c r="L64" s="18">
        <v>3</v>
      </c>
      <c r="M64" s="18">
        <v>4.6289999999999996</v>
      </c>
      <c r="N64" s="18">
        <v>7.085</v>
      </c>
      <c r="O64" s="18">
        <v>7.4</v>
      </c>
      <c r="P64" s="18">
        <v>7.3</v>
      </c>
      <c r="Q64" s="18">
        <v>7.36</v>
      </c>
      <c r="R64" s="18">
        <v>5.4870000000000001</v>
      </c>
      <c r="S64" s="33">
        <f>17.824-R64</f>
        <v>12.337000000000002</v>
      </c>
      <c r="T64" s="33"/>
      <c r="U64" s="33"/>
      <c r="V64" s="33"/>
      <c r="W64" s="33"/>
      <c r="X64" s="33"/>
      <c r="Y64" s="33"/>
      <c r="Z64" s="33"/>
      <c r="AA64" s="33"/>
      <c r="AB64" s="33"/>
      <c r="AC64" s="33"/>
      <c r="AD64" s="33"/>
      <c r="AE64" s="33"/>
      <c r="AF64" s="33"/>
      <c r="AG64" s="33"/>
    </row>
    <row r="65" spans="2:33" outlineLevel="1" x14ac:dyDescent="0.45">
      <c r="B65" s="16" t="s">
        <v>77</v>
      </c>
      <c r="C65" s="17">
        <f t="shared" si="63"/>
        <v>2.677</v>
      </c>
      <c r="D65" s="17">
        <f t="shared" si="63"/>
        <v>3.0649999999999999</v>
      </c>
      <c r="E65" s="17">
        <f t="shared" si="63"/>
        <v>1.5409999999999999</v>
      </c>
      <c r="F65" s="17">
        <f t="shared" si="63"/>
        <v>0</v>
      </c>
      <c r="G65" s="17">
        <f t="shared" si="63"/>
        <v>0</v>
      </c>
      <c r="H65" s="17">
        <f t="shared" si="63"/>
        <v>0</v>
      </c>
      <c r="J65" s="33"/>
      <c r="K65" s="18">
        <v>0.8</v>
      </c>
      <c r="L65" s="18">
        <v>0.9</v>
      </c>
      <c r="M65" s="18">
        <v>0.97699999999999998</v>
      </c>
      <c r="N65" s="18">
        <v>0.78900000000000003</v>
      </c>
      <c r="O65" s="18">
        <v>0.8</v>
      </c>
      <c r="P65" s="18">
        <v>0.9</v>
      </c>
      <c r="Q65" s="18">
        <v>0.57599999999999996</v>
      </c>
      <c r="R65" s="18">
        <v>0.77200000000000002</v>
      </c>
      <c r="S65" s="33">
        <f>1.541-R65</f>
        <v>0.76899999999999991</v>
      </c>
      <c r="T65" s="33"/>
      <c r="U65" s="33"/>
      <c r="V65" s="33"/>
      <c r="W65" s="33"/>
      <c r="X65" s="33"/>
      <c r="Y65" s="33"/>
      <c r="Z65" s="33"/>
      <c r="AA65" s="33"/>
      <c r="AB65" s="33"/>
      <c r="AC65" s="33"/>
      <c r="AD65" s="33"/>
      <c r="AE65" s="33"/>
      <c r="AF65" s="33"/>
      <c r="AG65" s="33"/>
    </row>
    <row r="66" spans="2:33" x14ac:dyDescent="0.45">
      <c r="B66" s="12" t="s">
        <v>78</v>
      </c>
    </row>
    <row r="67" spans="2:33" outlineLevel="1" x14ac:dyDescent="0.45">
      <c r="B67" s="16" t="s">
        <v>79</v>
      </c>
      <c r="C67" s="17">
        <f t="shared" ref="C67:H68" si="66">SUMIFS($J67:$V67,$J$3:$V$3,C$6)</f>
        <v>0.70300000000000007</v>
      </c>
      <c r="D67" s="17">
        <f t="shared" si="66"/>
        <v>2.1679999999999997</v>
      </c>
      <c r="E67" s="17">
        <f t="shared" si="66"/>
        <v>8.8999999999999996E-2</v>
      </c>
      <c r="F67" s="17">
        <f t="shared" si="66"/>
        <v>0</v>
      </c>
      <c r="G67" s="17">
        <f t="shared" si="66"/>
        <v>0</v>
      </c>
      <c r="H67" s="17">
        <f t="shared" si="66"/>
        <v>0</v>
      </c>
      <c r="J67" s="30">
        <f t="shared" ref="J67:AG67" si="67">J43</f>
        <v>0</v>
      </c>
      <c r="K67" s="30">
        <f t="shared" si="67"/>
        <v>0</v>
      </c>
      <c r="L67" s="30">
        <f t="shared" si="67"/>
        <v>0.2</v>
      </c>
      <c r="M67" s="30">
        <f t="shared" si="67"/>
        <v>0.503</v>
      </c>
      <c r="N67" s="30">
        <f t="shared" si="67"/>
        <v>0.64300000000000002</v>
      </c>
      <c r="O67" s="30">
        <f t="shared" si="67"/>
        <v>1</v>
      </c>
      <c r="P67" s="30">
        <f t="shared" si="67"/>
        <v>0.5</v>
      </c>
      <c r="Q67" s="30">
        <f t="shared" si="67"/>
        <v>2.5000000000000001E-2</v>
      </c>
      <c r="R67" s="30">
        <f t="shared" si="67"/>
        <v>3.9E-2</v>
      </c>
      <c r="S67" s="30">
        <f t="shared" si="67"/>
        <v>0.05</v>
      </c>
      <c r="T67" s="30">
        <f t="shared" si="67"/>
        <v>0</v>
      </c>
      <c r="U67" s="30">
        <f t="shared" si="67"/>
        <v>0</v>
      </c>
      <c r="V67" s="30">
        <f t="shared" si="67"/>
        <v>0</v>
      </c>
      <c r="W67" s="30">
        <f t="shared" si="67"/>
        <v>0</v>
      </c>
      <c r="X67" s="30">
        <f t="shared" si="67"/>
        <v>0</v>
      </c>
      <c r="Y67" s="30">
        <f t="shared" si="67"/>
        <v>0</v>
      </c>
      <c r="Z67" s="30">
        <f t="shared" si="67"/>
        <v>0</v>
      </c>
      <c r="AA67" s="30">
        <f t="shared" si="67"/>
        <v>0</v>
      </c>
      <c r="AB67" s="30">
        <f t="shared" si="67"/>
        <v>0</v>
      </c>
      <c r="AC67" s="30">
        <f t="shared" si="67"/>
        <v>0</v>
      </c>
      <c r="AD67" s="30">
        <f t="shared" si="67"/>
        <v>0</v>
      </c>
      <c r="AE67" s="30">
        <f t="shared" si="67"/>
        <v>0</v>
      </c>
      <c r="AF67" s="30">
        <f t="shared" si="67"/>
        <v>0</v>
      </c>
      <c r="AG67" s="30">
        <f t="shared" si="67"/>
        <v>0</v>
      </c>
    </row>
    <row r="68" spans="2:33" x14ac:dyDescent="0.45">
      <c r="B68" s="12" t="s">
        <v>80</v>
      </c>
      <c r="C68" s="20">
        <f t="shared" si="66"/>
        <v>52.254999999990986</v>
      </c>
      <c r="D68" s="20">
        <f t="shared" si="66"/>
        <v>94.216999999995579</v>
      </c>
      <c r="E68" s="20">
        <f t="shared" si="66"/>
        <v>63.847000000002723</v>
      </c>
      <c r="F68" s="20">
        <f t="shared" si="66"/>
        <v>0</v>
      </c>
      <c r="G68" s="20">
        <f t="shared" si="66"/>
        <v>0</v>
      </c>
      <c r="H68" s="20">
        <f t="shared" si="66"/>
        <v>0</v>
      </c>
      <c r="J68" s="31">
        <v>13.9</v>
      </c>
      <c r="K68" s="20">
        <f t="shared" ref="K68:V68" si="68">K47+K49+K50+K51+K52+K53+K54+K55+K56+K57+K58+K59+K60+K61+K62+K63+K64+K65+K67</f>
        <v>14.833999999995521</v>
      </c>
      <c r="L68" s="20">
        <f t="shared" si="68"/>
        <v>7.7500000000009903</v>
      </c>
      <c r="M68" s="20">
        <f t="shared" si="68"/>
        <v>15.770999999994471</v>
      </c>
      <c r="N68" s="20">
        <f t="shared" si="68"/>
        <v>13.169000000003285</v>
      </c>
      <c r="O68" s="20">
        <f t="shared" si="68"/>
        <v>8.0049999999957411</v>
      </c>
      <c r="P68" s="20">
        <f t="shared" si="68"/>
        <v>28.592999999994593</v>
      </c>
      <c r="Q68" s="20">
        <f t="shared" si="68"/>
        <v>44.450000000001964</v>
      </c>
      <c r="R68" s="20">
        <f t="shared" si="68"/>
        <v>35.147000000004837</v>
      </c>
      <c r="S68" s="20">
        <f t="shared" si="68"/>
        <v>28.699999999997882</v>
      </c>
      <c r="T68" s="20">
        <f t="shared" si="68"/>
        <v>0</v>
      </c>
      <c r="U68" s="20">
        <f t="shared" si="68"/>
        <v>0</v>
      </c>
      <c r="V68" s="20">
        <f t="shared" si="68"/>
        <v>0</v>
      </c>
      <c r="W68" s="20">
        <f t="shared" ref="W68:AG68" si="69">W47+W49+W50+W51+W52+W53+W54+W55+W56+W57+W58+W59+W60+W61+W62+W63+W64+W65+W67</f>
        <v>0</v>
      </c>
      <c r="X68" s="20">
        <f t="shared" si="69"/>
        <v>0</v>
      </c>
      <c r="Y68" s="20">
        <f t="shared" si="69"/>
        <v>0</v>
      </c>
      <c r="Z68" s="20">
        <f t="shared" si="69"/>
        <v>0</v>
      </c>
      <c r="AA68" s="20">
        <f t="shared" si="69"/>
        <v>0</v>
      </c>
      <c r="AB68" s="20">
        <f t="shared" si="69"/>
        <v>0</v>
      </c>
      <c r="AC68" s="20">
        <f t="shared" si="69"/>
        <v>0</v>
      </c>
      <c r="AD68" s="20">
        <f t="shared" si="69"/>
        <v>0</v>
      </c>
      <c r="AE68" s="20">
        <f t="shared" si="69"/>
        <v>0</v>
      </c>
      <c r="AF68" s="20">
        <f t="shared" si="69"/>
        <v>0</v>
      </c>
      <c r="AG68" s="20">
        <f t="shared" si="69"/>
        <v>0</v>
      </c>
    </row>
    <row r="70" spans="2:33" ht="15.4" x14ac:dyDescent="0.45">
      <c r="B70" s="28" t="s">
        <v>81</v>
      </c>
      <c r="C70" s="32"/>
      <c r="D70" s="32"/>
      <c r="E70" s="32"/>
      <c r="F70" s="32"/>
      <c r="G70" s="32"/>
      <c r="H70" s="32"/>
      <c r="J70" s="32"/>
      <c r="K70" s="32"/>
      <c r="L70" s="32"/>
      <c r="M70" s="32"/>
      <c r="N70" s="32"/>
      <c r="O70" s="32"/>
      <c r="P70" s="32"/>
      <c r="Q70" s="32"/>
      <c r="R70" s="32"/>
      <c r="S70" s="32"/>
      <c r="T70" s="32"/>
      <c r="U70" s="32"/>
      <c r="V70" s="32"/>
      <c r="W70" s="32"/>
      <c r="X70" s="32"/>
      <c r="Y70" s="32"/>
      <c r="Z70" s="32"/>
      <c r="AA70" s="32"/>
      <c r="AB70" s="32"/>
      <c r="AC70" s="32"/>
      <c r="AD70" s="32"/>
      <c r="AE70" s="32"/>
      <c r="AF70" s="32"/>
      <c r="AG70" s="32"/>
    </row>
    <row r="71" spans="2:33" outlineLevel="1" x14ac:dyDescent="0.45">
      <c r="B71" s="16" t="s">
        <v>82</v>
      </c>
      <c r="C71" s="17">
        <f t="shared" ref="C71:H75" si="70">SUMIFS($J71:$V71,$J$3:$V$3,C$6)</f>
        <v>52.254999999990986</v>
      </c>
      <c r="D71" s="17">
        <f t="shared" si="70"/>
        <v>94.216999999995579</v>
      </c>
      <c r="E71" s="17">
        <f t="shared" si="70"/>
        <v>63.847000000002723</v>
      </c>
      <c r="F71" s="17">
        <f t="shared" si="70"/>
        <v>0</v>
      </c>
      <c r="G71" s="17">
        <f t="shared" si="70"/>
        <v>0</v>
      </c>
      <c r="H71" s="17">
        <f t="shared" si="70"/>
        <v>0</v>
      </c>
      <c r="J71" s="30">
        <f t="shared" ref="J71:V71" si="71">J68</f>
        <v>13.9</v>
      </c>
      <c r="K71" s="30">
        <f t="shared" si="71"/>
        <v>14.833999999995521</v>
      </c>
      <c r="L71" s="30">
        <f t="shared" si="71"/>
        <v>7.7500000000009903</v>
      </c>
      <c r="M71" s="30">
        <f t="shared" si="71"/>
        <v>15.770999999994471</v>
      </c>
      <c r="N71" s="30">
        <f t="shared" si="71"/>
        <v>13.169000000003285</v>
      </c>
      <c r="O71" s="30">
        <f t="shared" si="71"/>
        <v>8.0049999999957411</v>
      </c>
      <c r="P71" s="30">
        <f t="shared" si="71"/>
        <v>28.592999999994593</v>
      </c>
      <c r="Q71" s="30">
        <f t="shared" si="71"/>
        <v>44.450000000001964</v>
      </c>
      <c r="R71" s="30">
        <f t="shared" si="71"/>
        <v>35.147000000004837</v>
      </c>
      <c r="S71" s="30">
        <f t="shared" si="71"/>
        <v>28.699999999997882</v>
      </c>
      <c r="T71" s="30">
        <f t="shared" si="71"/>
        <v>0</v>
      </c>
      <c r="U71" s="30">
        <f t="shared" si="71"/>
        <v>0</v>
      </c>
      <c r="V71" s="30">
        <f t="shared" si="71"/>
        <v>0</v>
      </c>
      <c r="W71" s="30">
        <f t="shared" ref="W71:AG71" si="72">W68</f>
        <v>0</v>
      </c>
      <c r="X71" s="30">
        <f t="shared" si="72"/>
        <v>0</v>
      </c>
      <c r="Y71" s="30">
        <f t="shared" si="72"/>
        <v>0</v>
      </c>
      <c r="Z71" s="30">
        <f t="shared" si="72"/>
        <v>0</v>
      </c>
      <c r="AA71" s="30">
        <f t="shared" si="72"/>
        <v>0</v>
      </c>
      <c r="AB71" s="30">
        <f t="shared" si="72"/>
        <v>0</v>
      </c>
      <c r="AC71" s="30">
        <f t="shared" si="72"/>
        <v>0</v>
      </c>
      <c r="AD71" s="30">
        <f t="shared" si="72"/>
        <v>0</v>
      </c>
      <c r="AE71" s="30">
        <f t="shared" si="72"/>
        <v>0</v>
      </c>
      <c r="AF71" s="30">
        <f t="shared" si="72"/>
        <v>0</v>
      </c>
      <c r="AG71" s="30">
        <f t="shared" si="72"/>
        <v>0</v>
      </c>
    </row>
    <row r="72" spans="2:33" outlineLevel="1" x14ac:dyDescent="0.45">
      <c r="B72" s="16" t="s">
        <v>83</v>
      </c>
      <c r="C72" s="17">
        <f t="shared" si="70"/>
        <v>-38.529000000000003</v>
      </c>
      <c r="D72" s="17">
        <f t="shared" si="70"/>
        <v>-52.369</v>
      </c>
      <c r="E72" s="17">
        <f t="shared" si="70"/>
        <v>-28.546999999999997</v>
      </c>
      <c r="F72" s="17">
        <f t="shared" si="70"/>
        <v>0</v>
      </c>
      <c r="G72" s="17">
        <f t="shared" si="70"/>
        <v>0</v>
      </c>
      <c r="H72" s="17">
        <f t="shared" si="70"/>
        <v>0</v>
      </c>
      <c r="J72" s="30">
        <f t="shared" ref="J72:AG72" si="73">J15</f>
        <v>-8.9290000000000003</v>
      </c>
      <c r="K72" s="30">
        <f t="shared" si="73"/>
        <v>-9.0630000000000006</v>
      </c>
      <c r="L72" s="30">
        <f t="shared" si="73"/>
        <v>-9.8780000000000001</v>
      </c>
      <c r="M72" s="30">
        <f t="shared" si="73"/>
        <v>-10.659000000000001</v>
      </c>
      <c r="N72" s="30">
        <f t="shared" si="73"/>
        <v>-10.24</v>
      </c>
      <c r="O72" s="30">
        <f t="shared" si="73"/>
        <v>-13.291</v>
      </c>
      <c r="P72" s="30">
        <f t="shared" si="73"/>
        <v>-13.906000000000001</v>
      </c>
      <c r="Q72" s="30">
        <f t="shared" si="73"/>
        <v>-14.932</v>
      </c>
      <c r="R72" s="30">
        <f t="shared" si="73"/>
        <v>-14.087999999999999</v>
      </c>
      <c r="S72" s="30">
        <f t="shared" si="73"/>
        <v>-14.459</v>
      </c>
      <c r="T72" s="30">
        <f t="shared" si="73"/>
        <v>0</v>
      </c>
      <c r="U72" s="30">
        <f t="shared" si="73"/>
        <v>0</v>
      </c>
      <c r="V72" s="30">
        <f t="shared" si="73"/>
        <v>0</v>
      </c>
      <c r="W72" s="30">
        <f t="shared" si="73"/>
        <v>0</v>
      </c>
      <c r="X72" s="30">
        <f t="shared" si="73"/>
        <v>0</v>
      </c>
      <c r="Y72" s="30">
        <f t="shared" si="73"/>
        <v>0</v>
      </c>
      <c r="Z72" s="30">
        <f t="shared" si="73"/>
        <v>0</v>
      </c>
      <c r="AA72" s="30">
        <f t="shared" si="73"/>
        <v>0</v>
      </c>
      <c r="AB72" s="30">
        <f t="shared" si="73"/>
        <v>0</v>
      </c>
      <c r="AC72" s="30">
        <f t="shared" si="73"/>
        <v>0</v>
      </c>
      <c r="AD72" s="30">
        <f t="shared" si="73"/>
        <v>0</v>
      </c>
      <c r="AE72" s="30">
        <f t="shared" si="73"/>
        <v>0</v>
      </c>
      <c r="AF72" s="30">
        <f t="shared" si="73"/>
        <v>0</v>
      </c>
      <c r="AG72" s="30">
        <f t="shared" si="73"/>
        <v>0</v>
      </c>
    </row>
    <row r="73" spans="2:33" outlineLevel="1" x14ac:dyDescent="0.45">
      <c r="B73" s="16" t="s">
        <v>84</v>
      </c>
      <c r="C73" s="17">
        <f t="shared" si="70"/>
        <v>-2.677</v>
      </c>
      <c r="D73" s="17">
        <f t="shared" si="70"/>
        <v>-3.0649999999999999</v>
      </c>
      <c r="E73" s="17">
        <f t="shared" si="70"/>
        <v>-1.5409999999999999</v>
      </c>
      <c r="F73" s="17">
        <f t="shared" si="70"/>
        <v>0</v>
      </c>
      <c r="G73" s="17">
        <f t="shared" si="70"/>
        <v>0</v>
      </c>
      <c r="H73" s="17">
        <f t="shared" si="70"/>
        <v>0</v>
      </c>
      <c r="J73" s="30">
        <f t="shared" ref="J73:V73" si="74">-J65</f>
        <v>0</v>
      </c>
      <c r="K73" s="30">
        <f t="shared" si="74"/>
        <v>-0.8</v>
      </c>
      <c r="L73" s="30">
        <f t="shared" si="74"/>
        <v>-0.9</v>
      </c>
      <c r="M73" s="30">
        <f t="shared" si="74"/>
        <v>-0.97699999999999998</v>
      </c>
      <c r="N73" s="30">
        <f t="shared" si="74"/>
        <v>-0.78900000000000003</v>
      </c>
      <c r="O73" s="30">
        <f t="shared" si="74"/>
        <v>-0.8</v>
      </c>
      <c r="P73" s="30">
        <f t="shared" si="74"/>
        <v>-0.9</v>
      </c>
      <c r="Q73" s="30">
        <f t="shared" si="74"/>
        <v>-0.57599999999999996</v>
      </c>
      <c r="R73" s="30">
        <f t="shared" si="74"/>
        <v>-0.77200000000000002</v>
      </c>
      <c r="S73" s="30">
        <f t="shared" si="74"/>
        <v>-0.76899999999999991</v>
      </c>
      <c r="T73" s="30">
        <f t="shared" si="74"/>
        <v>0</v>
      </c>
      <c r="U73" s="30">
        <f t="shared" si="74"/>
        <v>0</v>
      </c>
      <c r="V73" s="30">
        <f t="shared" si="74"/>
        <v>0</v>
      </c>
      <c r="W73" s="30">
        <f t="shared" ref="W73:AG73" si="75">-W65</f>
        <v>0</v>
      </c>
      <c r="X73" s="30">
        <f t="shared" si="75"/>
        <v>0</v>
      </c>
      <c r="Y73" s="30">
        <f t="shared" si="75"/>
        <v>0</v>
      </c>
      <c r="Z73" s="30">
        <f t="shared" si="75"/>
        <v>0</v>
      </c>
      <c r="AA73" s="30">
        <f t="shared" si="75"/>
        <v>0</v>
      </c>
      <c r="AB73" s="30">
        <f t="shared" si="75"/>
        <v>0</v>
      </c>
      <c r="AC73" s="30">
        <f t="shared" si="75"/>
        <v>0</v>
      </c>
      <c r="AD73" s="30">
        <f t="shared" si="75"/>
        <v>0</v>
      </c>
      <c r="AE73" s="30">
        <f t="shared" si="75"/>
        <v>0</v>
      </c>
      <c r="AF73" s="30">
        <f t="shared" si="75"/>
        <v>0</v>
      </c>
      <c r="AG73" s="30">
        <f t="shared" si="75"/>
        <v>0</v>
      </c>
    </row>
    <row r="74" spans="2:33" outlineLevel="1" x14ac:dyDescent="0.45">
      <c r="B74" s="16" t="s">
        <v>85</v>
      </c>
      <c r="C74" s="17">
        <f t="shared" si="70"/>
        <v>-0.19600000000000001</v>
      </c>
      <c r="D74" s="17">
        <f t="shared" si="70"/>
        <v>-7.9000000000000001E-2</v>
      </c>
      <c r="E74" s="17">
        <f t="shared" si="70"/>
        <v>8.9999999999999993E-3</v>
      </c>
      <c r="F74" s="17">
        <f t="shared" si="70"/>
        <v>0</v>
      </c>
      <c r="G74" s="17">
        <f t="shared" si="70"/>
        <v>0</v>
      </c>
      <c r="H74" s="17">
        <f t="shared" si="70"/>
        <v>0</v>
      </c>
      <c r="J74" s="33"/>
      <c r="K74" s="18">
        <v>0</v>
      </c>
      <c r="L74" s="18">
        <v>-0.1</v>
      </c>
      <c r="M74" s="18">
        <v>-9.6000000000000002E-2</v>
      </c>
      <c r="N74" s="18">
        <v>-1E-3</v>
      </c>
      <c r="O74" s="18">
        <v>0</v>
      </c>
      <c r="P74" s="18">
        <v>0</v>
      </c>
      <c r="Q74" s="18">
        <v>-7.8E-2</v>
      </c>
      <c r="R74" s="18">
        <v>8.0000000000000002E-3</v>
      </c>
      <c r="S74" s="33">
        <f>0.009-R74</f>
        <v>9.9999999999999915E-4</v>
      </c>
      <c r="T74" s="33"/>
      <c r="U74" s="33"/>
      <c r="V74" s="33"/>
      <c r="W74" s="33"/>
      <c r="X74" s="33"/>
      <c r="Y74" s="33"/>
      <c r="Z74" s="33"/>
      <c r="AA74" s="33"/>
      <c r="AB74" s="33"/>
      <c r="AC74" s="33"/>
      <c r="AD74" s="33"/>
      <c r="AE74" s="33"/>
      <c r="AF74" s="33"/>
      <c r="AG74" s="33"/>
    </row>
    <row r="75" spans="2:33" x14ac:dyDescent="0.45">
      <c r="B75" s="12" t="s">
        <v>86</v>
      </c>
      <c r="C75" s="20">
        <f t="shared" si="70"/>
        <v>9.7819999999909797</v>
      </c>
      <c r="D75" s="20">
        <f t="shared" si="70"/>
        <v>38.703999999995581</v>
      </c>
      <c r="E75" s="20">
        <f t="shared" si="70"/>
        <v>33.768000000002715</v>
      </c>
      <c r="F75" s="20">
        <f t="shared" si="70"/>
        <v>0</v>
      </c>
      <c r="G75" s="20">
        <f t="shared" si="70"/>
        <v>0</v>
      </c>
      <c r="H75" s="20">
        <f t="shared" si="70"/>
        <v>0</v>
      </c>
      <c r="J75" s="31">
        <v>3.9</v>
      </c>
      <c r="K75" s="20">
        <f t="shared" ref="K75:V75" si="76">K71+K72+K73+K74</f>
        <v>4.970999999995521</v>
      </c>
      <c r="L75" s="20">
        <f t="shared" si="76"/>
        <v>-3.1279999999990098</v>
      </c>
      <c r="M75" s="20">
        <f t="shared" si="76"/>
        <v>4.0389999999944699</v>
      </c>
      <c r="N75" s="20">
        <f t="shared" si="76"/>
        <v>2.1390000000032847</v>
      </c>
      <c r="O75" s="20">
        <f t="shared" si="76"/>
        <v>-6.0860000000042591</v>
      </c>
      <c r="P75" s="20">
        <f t="shared" si="76"/>
        <v>13.786999999994592</v>
      </c>
      <c r="Q75" s="20">
        <f t="shared" si="76"/>
        <v>28.864000000001962</v>
      </c>
      <c r="R75" s="20">
        <f t="shared" si="76"/>
        <v>20.295000000004837</v>
      </c>
      <c r="S75" s="20">
        <f t="shared" si="76"/>
        <v>13.472999999997882</v>
      </c>
      <c r="T75" s="20">
        <f t="shared" si="76"/>
        <v>0</v>
      </c>
      <c r="U75" s="20">
        <f t="shared" si="76"/>
        <v>0</v>
      </c>
      <c r="V75" s="20">
        <f t="shared" si="76"/>
        <v>0</v>
      </c>
      <c r="W75" s="20">
        <f t="shared" ref="W75:AG75" si="77">W71+W72+W73+W74</f>
        <v>0</v>
      </c>
      <c r="X75" s="20">
        <f t="shared" si="77"/>
        <v>0</v>
      </c>
      <c r="Y75" s="20">
        <f t="shared" si="77"/>
        <v>0</v>
      </c>
      <c r="Z75" s="20">
        <f t="shared" si="77"/>
        <v>0</v>
      </c>
      <c r="AA75" s="20">
        <f t="shared" si="77"/>
        <v>0</v>
      </c>
      <c r="AB75" s="20">
        <f t="shared" si="77"/>
        <v>0</v>
      </c>
      <c r="AC75" s="20">
        <f t="shared" si="77"/>
        <v>0</v>
      </c>
      <c r="AD75" s="20">
        <f t="shared" si="77"/>
        <v>0</v>
      </c>
      <c r="AE75" s="20">
        <f t="shared" si="77"/>
        <v>0</v>
      </c>
      <c r="AF75" s="20">
        <f t="shared" si="77"/>
        <v>0</v>
      </c>
      <c r="AG75" s="20">
        <f t="shared" si="77"/>
        <v>0</v>
      </c>
    </row>
    <row r="76" spans="2:33" outlineLevel="1" x14ac:dyDescent="0.45">
      <c r="B76" s="16" t="s">
        <v>87</v>
      </c>
      <c r="C76" s="34">
        <f t="shared" ref="C76:H76" si="78">IFERROR(C75/C44,"-")</f>
        <v>4.5722886216246962E-2</v>
      </c>
      <c r="D76" s="34">
        <f t="shared" si="78"/>
        <v>0.13420435789675508</v>
      </c>
      <c r="E76" s="34">
        <f t="shared" si="78"/>
        <v>8.3576911502904805E-2</v>
      </c>
      <c r="F76" s="34">
        <f t="shared" si="78"/>
        <v>0</v>
      </c>
      <c r="G76" s="34">
        <f t="shared" si="78"/>
        <v>0</v>
      </c>
      <c r="H76" s="34">
        <f t="shared" si="78"/>
        <v>0</v>
      </c>
      <c r="J76" s="34">
        <f t="shared" ref="J76:AG76" si="79">IFERROR(J75/J44,"-")</f>
        <v>7.2932640161555429E-2</v>
      </c>
      <c r="K76" s="34">
        <f t="shared" si="79"/>
        <v>8.1882422704965957E-2</v>
      </c>
      <c r="L76" s="34">
        <f t="shared" si="79"/>
        <v>-7.0173864273661166E-2</v>
      </c>
      <c r="M76" s="34">
        <f t="shared" si="79"/>
        <v>7.3192831125426197E-2</v>
      </c>
      <c r="N76" s="34">
        <f t="shared" si="79"/>
        <v>3.426402037584024E-2</v>
      </c>
      <c r="O76" s="34">
        <f t="shared" si="79"/>
        <v>-0.10685441393363808</v>
      </c>
      <c r="P76" s="34">
        <f t="shared" si="79"/>
        <v>0.18021044376178016</v>
      </c>
      <c r="Q76" s="34">
        <f t="shared" si="79"/>
        <v>0.31201625805336441</v>
      </c>
      <c r="R76" s="34">
        <f t="shared" si="79"/>
        <v>0.21863486523176498</v>
      </c>
      <c r="S76" s="34">
        <f t="shared" si="79"/>
        <v>0.14576256289010864</v>
      </c>
      <c r="T76" s="34">
        <f t="shared" si="79"/>
        <v>0</v>
      </c>
      <c r="U76" s="34">
        <f t="shared" si="79"/>
        <v>0</v>
      </c>
      <c r="V76" s="34">
        <f t="shared" si="79"/>
        <v>0</v>
      </c>
      <c r="W76" s="34">
        <f t="shared" si="79"/>
        <v>0</v>
      </c>
      <c r="X76" s="34">
        <f t="shared" si="79"/>
        <v>0</v>
      </c>
      <c r="Y76" s="34">
        <f t="shared" si="79"/>
        <v>0</v>
      </c>
      <c r="Z76" s="34">
        <f t="shared" si="79"/>
        <v>0</v>
      </c>
      <c r="AA76" s="34">
        <f t="shared" si="79"/>
        <v>0</v>
      </c>
      <c r="AB76" s="34">
        <f t="shared" si="79"/>
        <v>0</v>
      </c>
      <c r="AC76" s="34">
        <f t="shared" si="79"/>
        <v>0</v>
      </c>
      <c r="AD76" s="34">
        <f t="shared" si="79"/>
        <v>0</v>
      </c>
      <c r="AE76" s="34">
        <f t="shared" si="79"/>
        <v>0</v>
      </c>
      <c r="AF76" s="34">
        <f t="shared" si="79"/>
        <v>0</v>
      </c>
      <c r="AG76" s="34">
        <f t="shared" si="79"/>
        <v>0</v>
      </c>
    </row>
    <row r="78" spans="2:33" ht="15.4" x14ac:dyDescent="0.45">
      <c r="B78" s="28" t="s">
        <v>88</v>
      </c>
      <c r="C78" s="32"/>
      <c r="D78" s="32"/>
      <c r="E78" s="32"/>
      <c r="F78" s="32"/>
      <c r="G78" s="32"/>
      <c r="H78" s="32"/>
      <c r="J78" s="32"/>
      <c r="K78" s="32"/>
      <c r="L78" s="32"/>
      <c r="M78" s="32"/>
      <c r="N78" s="32"/>
      <c r="O78" s="32"/>
      <c r="P78" s="32"/>
      <c r="Q78" s="32"/>
      <c r="R78" s="32"/>
      <c r="S78" s="32"/>
      <c r="T78" s="32"/>
      <c r="U78" s="32"/>
      <c r="V78" s="32"/>
      <c r="W78" s="32"/>
      <c r="X78" s="32"/>
      <c r="Y78" s="32"/>
      <c r="Z78" s="32"/>
      <c r="AA78" s="32"/>
      <c r="AB78" s="32"/>
      <c r="AC78" s="32"/>
      <c r="AD78" s="32"/>
      <c r="AE78" s="32"/>
      <c r="AF78" s="32"/>
      <c r="AG78" s="32"/>
    </row>
    <row r="79" spans="2:33" outlineLevel="1" x14ac:dyDescent="0.45">
      <c r="B79" s="16" t="s">
        <v>89</v>
      </c>
      <c r="C79" s="17">
        <f t="shared" ref="C79:H87" si="80">SUMIFS($J79:$V79,$J$3:$V$3,C$6)</f>
        <v>199.2</v>
      </c>
      <c r="D79" s="17">
        <f t="shared" si="80"/>
        <v>242.61300000000003</v>
      </c>
      <c r="E79" s="17">
        <f t="shared" si="80"/>
        <v>182.59100000000001</v>
      </c>
      <c r="F79" s="17">
        <f t="shared" si="80"/>
        <v>0</v>
      </c>
      <c r="G79" s="17">
        <f t="shared" si="80"/>
        <v>0</v>
      </c>
      <c r="H79" s="17">
        <f t="shared" si="80"/>
        <v>0</v>
      </c>
      <c r="J79" s="30">
        <f t="shared" ref="J79:AG79" si="81">-(J13+J14)</f>
        <v>46.673000000000002</v>
      </c>
      <c r="K79" s="30">
        <f t="shared" si="81"/>
        <v>56.381999999999998</v>
      </c>
      <c r="L79" s="30">
        <f t="shared" si="81"/>
        <v>46.428000000000004</v>
      </c>
      <c r="M79" s="30">
        <f t="shared" si="81"/>
        <v>49.716999999999999</v>
      </c>
      <c r="N79" s="30">
        <f t="shared" si="81"/>
        <v>62.249000000000002</v>
      </c>
      <c r="O79" s="30">
        <f t="shared" si="81"/>
        <v>60.379000000000005</v>
      </c>
      <c r="P79" s="30">
        <f t="shared" si="81"/>
        <v>59.317000000000007</v>
      </c>
      <c r="Q79" s="30">
        <f t="shared" si="81"/>
        <v>60.668000000000006</v>
      </c>
      <c r="R79" s="30">
        <f t="shared" si="81"/>
        <v>93.81</v>
      </c>
      <c r="S79" s="30">
        <f t="shared" si="81"/>
        <v>88.781000000000006</v>
      </c>
      <c r="T79" s="30">
        <f t="shared" si="81"/>
        <v>0</v>
      </c>
      <c r="U79" s="30">
        <f t="shared" si="81"/>
        <v>0</v>
      </c>
      <c r="V79" s="30">
        <f t="shared" si="81"/>
        <v>0</v>
      </c>
      <c r="W79" s="30">
        <f t="shared" si="81"/>
        <v>0</v>
      </c>
      <c r="X79" s="30">
        <f t="shared" si="81"/>
        <v>0</v>
      </c>
      <c r="Y79" s="30">
        <f t="shared" si="81"/>
        <v>0</v>
      </c>
      <c r="Z79" s="30">
        <f t="shared" si="81"/>
        <v>0</v>
      </c>
      <c r="AA79" s="30">
        <f t="shared" si="81"/>
        <v>0</v>
      </c>
      <c r="AB79" s="30">
        <f t="shared" si="81"/>
        <v>0</v>
      </c>
      <c r="AC79" s="30">
        <f t="shared" si="81"/>
        <v>0</v>
      </c>
      <c r="AD79" s="30">
        <f t="shared" si="81"/>
        <v>0</v>
      </c>
      <c r="AE79" s="30">
        <f t="shared" si="81"/>
        <v>0</v>
      </c>
      <c r="AF79" s="30">
        <f t="shared" si="81"/>
        <v>0</v>
      </c>
      <c r="AG79" s="30">
        <f t="shared" si="81"/>
        <v>0</v>
      </c>
    </row>
    <row r="80" spans="2:33" outlineLevel="1" x14ac:dyDescent="0.45">
      <c r="B80" s="16" t="s">
        <v>90</v>
      </c>
      <c r="C80" s="17">
        <f t="shared" si="80"/>
        <v>19.298999999999999</v>
      </c>
      <c r="D80" s="17">
        <f t="shared" si="80"/>
        <v>15.579999999999998</v>
      </c>
      <c r="E80" s="17">
        <f t="shared" si="80"/>
        <v>10.634</v>
      </c>
      <c r="F80" s="17">
        <f t="shared" si="80"/>
        <v>0</v>
      </c>
      <c r="G80" s="17">
        <f t="shared" si="80"/>
        <v>0</v>
      </c>
      <c r="H80" s="17">
        <f t="shared" si="80"/>
        <v>0</v>
      </c>
      <c r="J80" s="33"/>
      <c r="K80" s="18">
        <v>8.9</v>
      </c>
      <c r="L80" s="18">
        <v>5.7</v>
      </c>
      <c r="M80" s="18">
        <v>4.6989999999999998</v>
      </c>
      <c r="N80" s="18">
        <v>5.133</v>
      </c>
      <c r="O80" s="18">
        <v>3.3</v>
      </c>
      <c r="P80" s="18">
        <v>3.1</v>
      </c>
      <c r="Q80" s="18">
        <v>4.0469999999999997</v>
      </c>
      <c r="R80" s="18">
        <v>5.6029999999999998</v>
      </c>
      <c r="S80" s="33">
        <f>10.634-R80</f>
        <v>5.0310000000000006</v>
      </c>
      <c r="T80" s="33"/>
      <c r="U80" s="33"/>
      <c r="V80" s="33"/>
      <c r="W80" s="33"/>
      <c r="X80" s="33"/>
      <c r="Y80" s="33"/>
      <c r="Z80" s="33"/>
      <c r="AA80" s="33"/>
      <c r="AB80" s="33"/>
      <c r="AC80" s="33"/>
      <c r="AD80" s="33"/>
      <c r="AE80" s="33"/>
      <c r="AF80" s="33"/>
      <c r="AG80" s="33"/>
    </row>
    <row r="81" spans="2:33" outlineLevel="1" x14ac:dyDescent="0.45">
      <c r="B81" s="16" t="s">
        <v>91</v>
      </c>
      <c r="C81" s="17">
        <f t="shared" si="80"/>
        <v>0</v>
      </c>
      <c r="D81" s="17">
        <f t="shared" si="80"/>
        <v>0.628</v>
      </c>
      <c r="E81" s="17">
        <f t="shared" si="80"/>
        <v>23.029</v>
      </c>
      <c r="F81" s="17">
        <f t="shared" si="80"/>
        <v>0</v>
      </c>
      <c r="G81" s="17">
        <f t="shared" si="80"/>
        <v>0</v>
      </c>
      <c r="H81" s="17">
        <f t="shared" si="80"/>
        <v>0</v>
      </c>
      <c r="J81" s="33"/>
      <c r="K81" s="18">
        <v>0</v>
      </c>
      <c r="L81" s="18">
        <v>0</v>
      </c>
      <c r="M81" s="18">
        <v>0</v>
      </c>
      <c r="N81" s="18">
        <v>0</v>
      </c>
      <c r="O81" s="18">
        <v>0</v>
      </c>
      <c r="P81" s="18">
        <v>0</v>
      </c>
      <c r="Q81" s="18">
        <v>0.628</v>
      </c>
      <c r="R81" s="18">
        <v>15.438000000000001</v>
      </c>
      <c r="S81" s="33">
        <f>23.029-R81</f>
        <v>7.5909999999999993</v>
      </c>
      <c r="T81" s="33"/>
      <c r="U81" s="33"/>
      <c r="V81" s="33"/>
      <c r="W81" s="33"/>
      <c r="X81" s="33"/>
      <c r="Y81" s="33"/>
      <c r="Z81" s="33"/>
      <c r="AA81" s="33"/>
      <c r="AB81" s="33"/>
      <c r="AC81" s="33"/>
      <c r="AD81" s="33"/>
      <c r="AE81" s="33"/>
      <c r="AF81" s="33"/>
      <c r="AG81" s="33"/>
    </row>
    <row r="82" spans="2:33" outlineLevel="1" x14ac:dyDescent="0.45">
      <c r="B82" s="16" t="s">
        <v>92</v>
      </c>
      <c r="C82" s="17">
        <f t="shared" si="80"/>
        <v>6.0220000000000002</v>
      </c>
      <c r="D82" s="17">
        <f t="shared" si="80"/>
        <v>25.233000000000001</v>
      </c>
      <c r="E82" s="17">
        <f t="shared" si="80"/>
        <v>15.573</v>
      </c>
      <c r="F82" s="17">
        <f t="shared" si="80"/>
        <v>0</v>
      </c>
      <c r="G82" s="17">
        <f t="shared" si="80"/>
        <v>0</v>
      </c>
      <c r="H82" s="17">
        <f t="shared" si="80"/>
        <v>0</v>
      </c>
      <c r="J82" s="33"/>
      <c r="K82" s="18">
        <v>0.6</v>
      </c>
      <c r="L82" s="18">
        <v>1.1000000000000001</v>
      </c>
      <c r="M82" s="18">
        <v>4.3220000000000001</v>
      </c>
      <c r="N82" s="18">
        <v>6.0469999999999997</v>
      </c>
      <c r="O82" s="18">
        <v>6.3</v>
      </c>
      <c r="P82" s="18">
        <v>6.5</v>
      </c>
      <c r="Q82" s="18">
        <v>6.3860000000000001</v>
      </c>
      <c r="R82" s="18">
        <v>4.04</v>
      </c>
      <c r="S82" s="33">
        <f>15.573-R82</f>
        <v>11.533000000000001</v>
      </c>
      <c r="T82" s="33"/>
      <c r="U82" s="33"/>
      <c r="V82" s="33"/>
      <c r="W82" s="33"/>
      <c r="X82" s="33"/>
      <c r="Y82" s="33"/>
      <c r="Z82" s="33"/>
      <c r="AA82" s="33"/>
      <c r="AB82" s="33"/>
      <c r="AC82" s="33"/>
      <c r="AD82" s="33"/>
      <c r="AE82" s="33"/>
      <c r="AF82" s="33"/>
      <c r="AG82" s="33"/>
    </row>
    <row r="83" spans="2:33" outlineLevel="1" x14ac:dyDescent="0.45">
      <c r="B83" s="16" t="s">
        <v>93</v>
      </c>
      <c r="C83" s="17">
        <f t="shared" si="80"/>
        <v>2.2080000000000002</v>
      </c>
      <c r="D83" s="17">
        <f t="shared" si="80"/>
        <v>3.9119999999999999</v>
      </c>
      <c r="E83" s="17">
        <f t="shared" si="80"/>
        <v>1.8420000000000001</v>
      </c>
      <c r="F83" s="17">
        <f t="shared" si="80"/>
        <v>0</v>
      </c>
      <c r="G83" s="17">
        <f t="shared" si="80"/>
        <v>0</v>
      </c>
      <c r="H83" s="17">
        <f t="shared" si="80"/>
        <v>0</v>
      </c>
      <c r="J83" s="33"/>
      <c r="K83" s="18">
        <v>0.1</v>
      </c>
      <c r="L83" s="18">
        <v>1.8</v>
      </c>
      <c r="M83" s="18">
        <v>0.308</v>
      </c>
      <c r="N83" s="18">
        <v>1.038</v>
      </c>
      <c r="O83" s="18">
        <v>1.1000000000000001</v>
      </c>
      <c r="P83" s="18">
        <v>0.8</v>
      </c>
      <c r="Q83" s="18">
        <v>0.97399999999999998</v>
      </c>
      <c r="R83" s="18">
        <v>1.4470000000000001</v>
      </c>
      <c r="S83" s="33">
        <f>1.842-R83</f>
        <v>0.39500000000000002</v>
      </c>
      <c r="T83" s="33"/>
      <c r="U83" s="33"/>
      <c r="V83" s="33"/>
      <c r="W83" s="33"/>
      <c r="X83" s="33"/>
      <c r="Y83" s="33"/>
      <c r="Z83" s="33"/>
      <c r="AA83" s="33"/>
      <c r="AB83" s="33"/>
      <c r="AC83" s="33"/>
      <c r="AD83" s="33"/>
      <c r="AE83" s="33"/>
      <c r="AF83" s="33"/>
      <c r="AG83" s="33"/>
    </row>
    <row r="84" spans="2:33" outlineLevel="1" x14ac:dyDescent="0.45">
      <c r="B84" s="16" t="s">
        <v>94</v>
      </c>
      <c r="C84" s="17">
        <f t="shared" si="80"/>
        <v>2.677</v>
      </c>
      <c r="D84" s="17">
        <f t="shared" si="80"/>
        <v>3.0649999999999999</v>
      </c>
      <c r="E84" s="17">
        <f t="shared" si="80"/>
        <v>1.5409999999999999</v>
      </c>
      <c r="F84" s="17">
        <f t="shared" si="80"/>
        <v>0</v>
      </c>
      <c r="G84" s="17">
        <f t="shared" si="80"/>
        <v>0</v>
      </c>
      <c r="H84" s="17">
        <f t="shared" si="80"/>
        <v>0</v>
      </c>
      <c r="J84" s="30">
        <f t="shared" ref="J84:V84" si="82">J65</f>
        <v>0</v>
      </c>
      <c r="K84" s="30">
        <f t="shared" si="82"/>
        <v>0.8</v>
      </c>
      <c r="L84" s="30">
        <f t="shared" si="82"/>
        <v>0.9</v>
      </c>
      <c r="M84" s="30">
        <f t="shared" si="82"/>
        <v>0.97699999999999998</v>
      </c>
      <c r="N84" s="30">
        <f t="shared" si="82"/>
        <v>0.78900000000000003</v>
      </c>
      <c r="O84" s="30">
        <f t="shared" si="82"/>
        <v>0.8</v>
      </c>
      <c r="P84" s="30">
        <f t="shared" si="82"/>
        <v>0.9</v>
      </c>
      <c r="Q84" s="30">
        <f t="shared" si="82"/>
        <v>0.57599999999999996</v>
      </c>
      <c r="R84" s="30">
        <f t="shared" si="82"/>
        <v>0.77200000000000002</v>
      </c>
      <c r="S84" s="30">
        <f t="shared" si="82"/>
        <v>0.76899999999999991</v>
      </c>
      <c r="T84" s="30">
        <f t="shared" si="82"/>
        <v>0</v>
      </c>
      <c r="U84" s="30">
        <f t="shared" si="82"/>
        <v>0</v>
      </c>
      <c r="V84" s="30">
        <f t="shared" si="82"/>
        <v>0</v>
      </c>
      <c r="W84" s="30">
        <f t="shared" ref="W84:AG84" si="83">W65</f>
        <v>0</v>
      </c>
      <c r="X84" s="30">
        <f t="shared" si="83"/>
        <v>0</v>
      </c>
      <c r="Y84" s="30">
        <f t="shared" si="83"/>
        <v>0</v>
      </c>
      <c r="Z84" s="30">
        <f t="shared" si="83"/>
        <v>0</v>
      </c>
      <c r="AA84" s="30">
        <f t="shared" si="83"/>
        <v>0</v>
      </c>
      <c r="AB84" s="30">
        <f t="shared" si="83"/>
        <v>0</v>
      </c>
      <c r="AC84" s="30">
        <f t="shared" si="83"/>
        <v>0</v>
      </c>
      <c r="AD84" s="30">
        <f t="shared" si="83"/>
        <v>0</v>
      </c>
      <c r="AE84" s="30">
        <f t="shared" si="83"/>
        <v>0</v>
      </c>
      <c r="AF84" s="30">
        <f t="shared" si="83"/>
        <v>0</v>
      </c>
      <c r="AG84" s="30">
        <f t="shared" si="83"/>
        <v>0</v>
      </c>
    </row>
    <row r="85" spans="2:33" outlineLevel="1" x14ac:dyDescent="0.45">
      <c r="B85" s="16" t="s">
        <v>95</v>
      </c>
      <c r="C85" s="17">
        <f t="shared" si="80"/>
        <v>0</v>
      </c>
      <c r="D85" s="17">
        <f t="shared" si="80"/>
        <v>0</v>
      </c>
      <c r="E85" s="17">
        <f t="shared" si="80"/>
        <v>0.59099999999999997</v>
      </c>
      <c r="F85" s="17">
        <f t="shared" si="80"/>
        <v>0</v>
      </c>
      <c r="G85" s="17">
        <f t="shared" si="80"/>
        <v>0</v>
      </c>
      <c r="H85" s="17">
        <f t="shared" si="80"/>
        <v>0</v>
      </c>
      <c r="J85" s="33"/>
      <c r="K85" s="33"/>
      <c r="L85" s="33"/>
      <c r="M85" s="33"/>
      <c r="N85" s="33"/>
      <c r="O85" s="33"/>
      <c r="P85" s="33"/>
      <c r="Q85" s="33"/>
      <c r="R85" s="18">
        <v>0.59099999999999997</v>
      </c>
      <c r="S85" s="33">
        <f>0.591-R85</f>
        <v>0</v>
      </c>
      <c r="T85" s="33"/>
      <c r="U85" s="33"/>
      <c r="V85" s="33"/>
      <c r="W85" s="33"/>
      <c r="X85" s="33"/>
      <c r="Y85" s="33"/>
      <c r="Z85" s="33"/>
      <c r="AA85" s="33"/>
      <c r="AB85" s="33"/>
      <c r="AC85" s="33"/>
      <c r="AD85" s="33"/>
      <c r="AE85" s="33"/>
      <c r="AF85" s="33"/>
      <c r="AG85" s="33"/>
    </row>
    <row r="86" spans="2:33" outlineLevel="1" x14ac:dyDescent="0.45">
      <c r="B86" s="16" t="s">
        <v>96</v>
      </c>
      <c r="C86" s="17">
        <f t="shared" si="80"/>
        <v>0</v>
      </c>
      <c r="D86" s="17">
        <f t="shared" si="80"/>
        <v>0</v>
      </c>
      <c r="E86" s="17">
        <f t="shared" si="80"/>
        <v>8.2390000000000008</v>
      </c>
      <c r="F86" s="17">
        <f t="shared" si="80"/>
        <v>0</v>
      </c>
      <c r="G86" s="17">
        <f t="shared" si="80"/>
        <v>0</v>
      </c>
      <c r="H86" s="17">
        <f t="shared" si="80"/>
        <v>0</v>
      </c>
      <c r="J86" s="33"/>
      <c r="K86" s="33"/>
      <c r="L86" s="33"/>
      <c r="M86" s="33"/>
      <c r="N86" s="33"/>
      <c r="O86" s="33"/>
      <c r="P86" s="33"/>
      <c r="Q86" s="33"/>
      <c r="R86" s="18">
        <v>8.2390000000000008</v>
      </c>
      <c r="S86" s="33">
        <f>8.239-R86</f>
        <v>0</v>
      </c>
      <c r="T86" s="33"/>
      <c r="U86" s="33"/>
      <c r="V86" s="33"/>
      <c r="W86" s="33"/>
      <c r="X86" s="33"/>
      <c r="Y86" s="33"/>
      <c r="Z86" s="33"/>
      <c r="AA86" s="33"/>
      <c r="AB86" s="33"/>
      <c r="AC86" s="33"/>
      <c r="AD86" s="33"/>
      <c r="AE86" s="33"/>
      <c r="AF86" s="33"/>
      <c r="AG86" s="33"/>
    </row>
    <row r="87" spans="2:33" x14ac:dyDescent="0.45">
      <c r="B87" s="12" t="s">
        <v>97</v>
      </c>
      <c r="C87" s="20">
        <f t="shared" si="80"/>
        <v>161.821</v>
      </c>
      <c r="D87" s="20">
        <f t="shared" si="80"/>
        <v>194.19500000000005</v>
      </c>
      <c r="E87" s="20">
        <f t="shared" si="80"/>
        <v>121.14200000000001</v>
      </c>
      <c r="F87" s="20">
        <f t="shared" si="80"/>
        <v>0</v>
      </c>
      <c r="G87" s="20">
        <f t="shared" si="80"/>
        <v>0</v>
      </c>
      <c r="H87" s="20">
        <f t="shared" si="80"/>
        <v>0</v>
      </c>
      <c r="J87" s="31">
        <v>39.5</v>
      </c>
      <c r="K87" s="20">
        <f t="shared" ref="K87:V87" si="84">K79-(K80+K81+K82+K83+K84+K85+K86)</f>
        <v>45.981999999999999</v>
      </c>
      <c r="L87" s="20">
        <f t="shared" si="84"/>
        <v>36.928000000000004</v>
      </c>
      <c r="M87" s="20">
        <f t="shared" si="84"/>
        <v>39.411000000000001</v>
      </c>
      <c r="N87" s="20">
        <f t="shared" si="84"/>
        <v>49.242000000000004</v>
      </c>
      <c r="O87" s="20">
        <f t="shared" si="84"/>
        <v>48.879000000000005</v>
      </c>
      <c r="P87" s="20">
        <f t="shared" si="84"/>
        <v>48.01700000000001</v>
      </c>
      <c r="Q87" s="20">
        <f t="shared" si="84"/>
        <v>48.057000000000002</v>
      </c>
      <c r="R87" s="20">
        <f t="shared" si="84"/>
        <v>57.680000000000007</v>
      </c>
      <c r="S87" s="20">
        <f>S79-(S80+S81+S82+S83+S84+S85+S86)</f>
        <v>63.462000000000003</v>
      </c>
      <c r="T87" s="20">
        <f t="shared" si="84"/>
        <v>0</v>
      </c>
      <c r="U87" s="20">
        <f t="shared" si="84"/>
        <v>0</v>
      </c>
      <c r="V87" s="20">
        <f t="shared" si="84"/>
        <v>0</v>
      </c>
      <c r="W87" s="20">
        <f t="shared" ref="W87:AG87" si="85">W79-(W80+W81+W82+W83+W84+W85+W86)</f>
        <v>0</v>
      </c>
      <c r="X87" s="20">
        <f t="shared" si="85"/>
        <v>0</v>
      </c>
      <c r="Y87" s="20">
        <f t="shared" si="85"/>
        <v>0</v>
      </c>
      <c r="Z87" s="20">
        <f t="shared" si="85"/>
        <v>0</v>
      </c>
      <c r="AA87" s="20">
        <f t="shared" si="85"/>
        <v>0</v>
      </c>
      <c r="AB87" s="20">
        <f t="shared" si="85"/>
        <v>0</v>
      </c>
      <c r="AC87" s="20">
        <f t="shared" si="85"/>
        <v>0</v>
      </c>
      <c r="AD87" s="20">
        <f t="shared" si="85"/>
        <v>0</v>
      </c>
      <c r="AE87" s="20">
        <f t="shared" si="85"/>
        <v>0</v>
      </c>
      <c r="AF87" s="20">
        <f t="shared" si="85"/>
        <v>0</v>
      </c>
      <c r="AG87" s="20">
        <f t="shared" si="85"/>
        <v>0</v>
      </c>
    </row>
    <row r="89" spans="2:33" x14ac:dyDescent="0.45">
      <c r="B89" s="35" t="s">
        <v>98</v>
      </c>
      <c r="C89" s="36"/>
      <c r="D89" s="36"/>
      <c r="E89" s="36"/>
      <c r="F89" s="36"/>
      <c r="G89" s="36"/>
      <c r="H89" s="36"/>
      <c r="J89" s="36"/>
      <c r="K89" s="36"/>
      <c r="L89" s="36"/>
      <c r="M89" s="36"/>
      <c r="N89" s="36"/>
      <c r="O89" s="36"/>
      <c r="P89" s="36"/>
      <c r="Q89" s="36"/>
      <c r="R89" s="36"/>
      <c r="S89" s="36"/>
      <c r="T89" s="36"/>
      <c r="U89" s="36"/>
      <c r="V89" s="36"/>
      <c r="W89" s="36"/>
      <c r="X89" s="36"/>
      <c r="Y89" s="36"/>
      <c r="Z89" s="36"/>
      <c r="AA89" s="36"/>
      <c r="AB89" s="36"/>
      <c r="AC89" s="36"/>
      <c r="AD89" s="36"/>
      <c r="AE89" s="36"/>
      <c r="AF89" s="36"/>
      <c r="AG89" s="36"/>
    </row>
    <row r="90" spans="2:33" outlineLevel="1" x14ac:dyDescent="0.45">
      <c r="B90" s="16" t="s">
        <v>99</v>
      </c>
      <c r="J90" s="33"/>
      <c r="K90" s="33"/>
      <c r="L90" s="33"/>
      <c r="M90" s="33"/>
      <c r="N90" s="18">
        <v>93.5</v>
      </c>
      <c r="O90" s="18">
        <v>98.5</v>
      </c>
      <c r="P90" s="18">
        <v>114.4</v>
      </c>
      <c r="Q90" s="18">
        <v>100</v>
      </c>
      <c r="R90" s="18">
        <v>76.400000000000006</v>
      </c>
      <c r="S90" s="33"/>
      <c r="T90" s="33"/>
      <c r="U90" s="33"/>
      <c r="V90" s="33"/>
      <c r="W90" s="33"/>
      <c r="X90" s="33"/>
      <c r="Y90" s="33"/>
      <c r="Z90" s="33"/>
      <c r="AA90" s="33"/>
      <c r="AB90" s="33"/>
      <c r="AC90" s="33"/>
      <c r="AD90" s="33"/>
      <c r="AE90" s="33"/>
      <c r="AF90" s="33"/>
      <c r="AG90" s="33"/>
    </row>
    <row r="91" spans="2:33" outlineLevel="1" x14ac:dyDescent="0.45">
      <c r="B91" s="16" t="s">
        <v>100</v>
      </c>
      <c r="J91" s="37"/>
      <c r="K91" s="37"/>
      <c r="L91" s="37"/>
      <c r="M91" s="37"/>
      <c r="N91" s="38">
        <v>0.47399999999999998</v>
      </c>
      <c r="O91" s="38">
        <v>0.35299999999999998</v>
      </c>
      <c r="P91" s="38">
        <v>0.26</v>
      </c>
      <c r="Q91" s="38">
        <v>0.40500000000000003</v>
      </c>
      <c r="R91" s="38">
        <v>0.47</v>
      </c>
      <c r="S91" s="37"/>
      <c r="T91" s="37"/>
      <c r="U91" s="37"/>
      <c r="V91" s="37"/>
      <c r="W91" s="37"/>
      <c r="X91" s="37"/>
      <c r="Y91" s="37"/>
      <c r="Z91" s="37"/>
      <c r="AA91" s="37"/>
      <c r="AB91" s="37"/>
      <c r="AC91" s="37"/>
      <c r="AD91" s="37"/>
      <c r="AE91" s="37"/>
      <c r="AF91" s="37"/>
      <c r="AG91" s="37"/>
    </row>
    <row r="92" spans="2:33" outlineLevel="1" x14ac:dyDescent="0.45">
      <c r="B92" s="16" t="s">
        <v>101</v>
      </c>
      <c r="J92" s="33"/>
      <c r="K92" s="33"/>
      <c r="L92" s="33"/>
      <c r="M92" s="33"/>
      <c r="N92" s="18">
        <v>2550.5</v>
      </c>
      <c r="O92" s="18">
        <v>1791.1</v>
      </c>
      <c r="P92" s="18">
        <v>1417.6</v>
      </c>
      <c r="Q92" s="18">
        <v>2228.8000000000002</v>
      </c>
      <c r="R92" s="18">
        <v>1952.2</v>
      </c>
      <c r="S92" s="33"/>
      <c r="T92" s="33"/>
      <c r="U92" s="33"/>
      <c r="V92" s="33"/>
      <c r="W92" s="33"/>
      <c r="X92" s="33"/>
      <c r="Y92" s="33"/>
      <c r="Z92" s="33"/>
      <c r="AA92" s="33"/>
      <c r="AB92" s="33"/>
      <c r="AC92" s="33"/>
      <c r="AD92" s="33"/>
      <c r="AE92" s="33"/>
      <c r="AF92" s="33"/>
      <c r="AG92" s="33"/>
    </row>
    <row r="93" spans="2:33" outlineLevel="1" x14ac:dyDescent="0.45">
      <c r="B93" s="16" t="s">
        <v>102</v>
      </c>
      <c r="J93" s="33"/>
      <c r="K93" s="33"/>
      <c r="L93" s="33"/>
      <c r="M93" s="33"/>
      <c r="N93" s="18">
        <v>248.8</v>
      </c>
      <c r="O93" s="18">
        <v>182.6</v>
      </c>
      <c r="P93" s="18">
        <v>128</v>
      </c>
      <c r="Q93" s="18">
        <v>90</v>
      </c>
      <c r="R93" s="18">
        <v>105.5</v>
      </c>
      <c r="S93" s="33"/>
      <c r="T93" s="33"/>
      <c r="U93" s="33"/>
      <c r="V93" s="33"/>
      <c r="W93" s="33"/>
      <c r="X93" s="33"/>
      <c r="Y93" s="33"/>
      <c r="Z93" s="33"/>
      <c r="AA93" s="33"/>
      <c r="AB93" s="33"/>
      <c r="AC93" s="33"/>
      <c r="AD93" s="33"/>
      <c r="AE93" s="33"/>
      <c r="AF93" s="33"/>
      <c r="AG93" s="33"/>
    </row>
    <row r="94" spans="2:33" outlineLevel="1" x14ac:dyDescent="0.45">
      <c r="B94" s="16" t="s">
        <v>103</v>
      </c>
      <c r="J94" s="33"/>
      <c r="K94" s="33"/>
      <c r="L94" s="33"/>
      <c r="M94" s="33"/>
      <c r="N94" s="33"/>
      <c r="O94" s="33"/>
      <c r="P94" s="33"/>
      <c r="Q94" s="18">
        <v>98.5</v>
      </c>
      <c r="R94" s="18">
        <v>128.80000000000001</v>
      </c>
      <c r="S94" s="33"/>
      <c r="T94" s="33"/>
      <c r="U94" s="33"/>
      <c r="V94" s="33"/>
      <c r="W94" s="33"/>
      <c r="X94" s="33"/>
      <c r="Y94" s="33"/>
      <c r="Z94" s="33"/>
      <c r="AA94" s="33"/>
      <c r="AB94" s="33"/>
      <c r="AC94" s="33"/>
      <c r="AD94" s="33"/>
      <c r="AE94" s="33"/>
      <c r="AF94" s="33"/>
      <c r="AG94" s="33"/>
    </row>
    <row r="95" spans="2:33" outlineLevel="1" x14ac:dyDescent="0.45">
      <c r="B95" s="16" t="s">
        <v>104</v>
      </c>
      <c r="J95" s="39"/>
      <c r="K95" s="39"/>
      <c r="L95" s="39"/>
      <c r="M95" s="39"/>
      <c r="N95" s="40">
        <v>406</v>
      </c>
      <c r="O95" s="40">
        <v>406</v>
      </c>
      <c r="P95" s="40">
        <v>409</v>
      </c>
      <c r="Q95" s="40">
        <v>414</v>
      </c>
      <c r="R95" s="40">
        <v>405</v>
      </c>
      <c r="S95" s="39"/>
      <c r="T95" s="39"/>
      <c r="U95" s="39"/>
      <c r="V95" s="39"/>
      <c r="W95" s="39"/>
      <c r="X95" s="39"/>
      <c r="Y95" s="39"/>
      <c r="Z95" s="39"/>
      <c r="AA95" s="39"/>
      <c r="AB95" s="39"/>
      <c r="AC95" s="39"/>
      <c r="AD95" s="39"/>
      <c r="AE95" s="39"/>
      <c r="AF95" s="39"/>
      <c r="AG95" s="39"/>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V78"/>
  <sheetViews>
    <sheetView zoomScaleNormal="85" workbookViewId="0">
      <pane xSplit="2" ySplit="9" topLeftCell="C19" activePane="bottomRight" state="frozen"/>
      <selection pane="topRight" activeCell="C1" sqref="C1"/>
      <selection pane="bottomLeft" activeCell="A10" sqref="A10"/>
      <selection pane="bottomRight" activeCell="D23" sqref="D23"/>
    </sheetView>
  </sheetViews>
  <sheetFormatPr defaultColWidth="8.6640625" defaultRowHeight="14.25" outlineLevelRow="1" x14ac:dyDescent="0.45"/>
  <cols>
    <col min="1" max="1" width="3" customWidth="1"/>
    <col min="2" max="2" width="46" customWidth="1"/>
    <col min="3" max="8" width="11" customWidth="1"/>
    <col min="9" max="9" width="20.59765625" customWidth="1"/>
    <col min="10" max="10" width="13" customWidth="1"/>
    <col min="11" max="11" width="9.19921875" customWidth="1"/>
    <col min="12" max="12" width="13" customWidth="1"/>
    <col min="13" max="13" width="10.19921875" customWidth="1"/>
    <col min="14" max="14" width="9.19921875" customWidth="1"/>
    <col min="15" max="16" width="13" customWidth="1"/>
    <col min="17" max="17" width="10.19921875" customWidth="1"/>
    <col min="18" max="18" width="9.19921875" customWidth="1"/>
    <col min="19" max="20" width="13" customWidth="1"/>
    <col min="21" max="21" width="10.19921875" customWidth="1"/>
    <col min="22" max="22" width="9.19921875" customWidth="1"/>
  </cols>
  <sheetData>
    <row r="1" spans="1:22" ht="14.25" customHeight="1" x14ac:dyDescent="0.45">
      <c r="A1" s="16"/>
      <c r="B1" s="16"/>
      <c r="C1" s="16"/>
      <c r="D1" s="16"/>
      <c r="E1" s="16"/>
      <c r="F1" s="16"/>
      <c r="G1" s="16"/>
      <c r="H1" s="16"/>
      <c r="I1" s="16"/>
    </row>
    <row r="2" spans="1:22" ht="20.25" customHeight="1" x14ac:dyDescent="0.6">
      <c r="A2" s="16"/>
      <c r="B2" s="7" t="s">
        <v>106</v>
      </c>
      <c r="C2" s="16"/>
      <c r="D2" s="16"/>
      <c r="E2" s="16"/>
      <c r="F2" s="16"/>
      <c r="G2" s="16"/>
      <c r="H2" s="16"/>
      <c r="I2" s="16"/>
    </row>
    <row r="3" spans="1:22" ht="14.25" customHeight="1" x14ac:dyDescent="0.45">
      <c r="A3" s="16"/>
      <c r="B3" s="43" t="s">
        <v>107</v>
      </c>
      <c r="C3" s="16"/>
      <c r="D3" s="16"/>
      <c r="E3" s="16"/>
      <c r="F3" s="16"/>
      <c r="G3" s="16"/>
      <c r="H3" s="16"/>
      <c r="I3" s="16"/>
    </row>
    <row r="4" spans="1:22" ht="14.25" customHeight="1" x14ac:dyDescent="0.45">
      <c r="A4" s="16"/>
      <c r="B4" s="16"/>
      <c r="C4" s="16"/>
      <c r="D4" s="16"/>
      <c r="E4" s="16"/>
      <c r="F4" s="16"/>
      <c r="G4" s="16"/>
      <c r="H4" s="16"/>
      <c r="I4" s="16"/>
    </row>
    <row r="5" spans="1:22" ht="18" customHeight="1" x14ac:dyDescent="0.45">
      <c r="A5" s="16"/>
      <c r="B5" s="27"/>
      <c r="C5" s="27"/>
      <c r="D5" s="27"/>
      <c r="E5" s="27"/>
      <c r="F5" s="27"/>
      <c r="G5" s="27"/>
      <c r="H5" s="27"/>
      <c r="I5" s="27"/>
      <c r="J5">
        <f t="shared" ref="J5:V5" si="0">YEAR(J6)</f>
        <v>2024</v>
      </c>
      <c r="K5">
        <f t="shared" si="0"/>
        <v>2024</v>
      </c>
      <c r="L5">
        <f t="shared" si="0"/>
        <v>2024</v>
      </c>
      <c r="M5">
        <f t="shared" si="0"/>
        <v>2024</v>
      </c>
      <c r="N5">
        <f t="shared" si="0"/>
        <v>2025</v>
      </c>
      <c r="O5">
        <f t="shared" si="0"/>
        <v>2025</v>
      </c>
      <c r="P5">
        <f t="shared" si="0"/>
        <v>2025</v>
      </c>
      <c r="Q5">
        <f t="shared" si="0"/>
        <v>2025</v>
      </c>
      <c r="R5">
        <f t="shared" si="0"/>
        <v>2026</v>
      </c>
      <c r="S5">
        <f t="shared" si="0"/>
        <v>2026</v>
      </c>
      <c r="T5">
        <f t="shared" si="0"/>
        <v>2026</v>
      </c>
      <c r="U5">
        <f t="shared" si="0"/>
        <v>2026</v>
      </c>
      <c r="V5">
        <f t="shared" si="0"/>
        <v>2027</v>
      </c>
    </row>
    <row r="6" spans="1:22" ht="14.25" customHeight="1" x14ac:dyDescent="0.45">
      <c r="A6" s="16"/>
      <c r="B6" s="16"/>
      <c r="C6" s="44"/>
      <c r="D6" s="44"/>
      <c r="E6" s="44"/>
      <c r="F6" s="44"/>
      <c r="G6" s="44"/>
      <c r="H6" s="44"/>
      <c r="I6" s="16"/>
      <c r="J6" s="9">
        <v>45354</v>
      </c>
      <c r="K6" s="9">
        <f t="shared" ref="K6:V6" si="1">EOMONTH(J6,3)</f>
        <v>45473</v>
      </c>
      <c r="L6" s="9">
        <f t="shared" si="1"/>
        <v>45565</v>
      </c>
      <c r="M6" s="9">
        <f t="shared" si="1"/>
        <v>45657</v>
      </c>
      <c r="N6" s="9">
        <f t="shared" si="1"/>
        <v>45747</v>
      </c>
      <c r="O6" s="9">
        <f t="shared" si="1"/>
        <v>45838</v>
      </c>
      <c r="P6" s="9">
        <f t="shared" si="1"/>
        <v>45930</v>
      </c>
      <c r="Q6" s="9">
        <f t="shared" si="1"/>
        <v>46022</v>
      </c>
      <c r="R6" s="9">
        <f t="shared" si="1"/>
        <v>46112</v>
      </c>
      <c r="S6" s="9">
        <f t="shared" si="1"/>
        <v>46203</v>
      </c>
      <c r="T6" s="9">
        <f t="shared" si="1"/>
        <v>46295</v>
      </c>
      <c r="U6" s="9">
        <f t="shared" si="1"/>
        <v>46387</v>
      </c>
      <c r="V6" s="9">
        <f t="shared" si="1"/>
        <v>46477</v>
      </c>
    </row>
    <row r="7" spans="1:22" ht="15" customHeight="1" x14ac:dyDescent="0.45">
      <c r="A7" s="16"/>
      <c r="B7" s="28" t="s">
        <v>108</v>
      </c>
      <c r="C7" s="29"/>
      <c r="D7" s="29"/>
      <c r="E7" s="29"/>
      <c r="F7" s="29"/>
      <c r="G7" s="29"/>
      <c r="H7" s="29"/>
      <c r="I7" s="16"/>
      <c r="J7" s="32"/>
      <c r="K7" s="32"/>
      <c r="L7" s="32"/>
      <c r="M7" s="32"/>
      <c r="N7" s="32"/>
      <c r="O7" s="32"/>
      <c r="P7" s="32"/>
      <c r="Q7" s="32"/>
      <c r="R7" s="32"/>
      <c r="S7" s="32"/>
      <c r="T7" s="32"/>
      <c r="U7" s="32"/>
      <c r="V7" s="32"/>
    </row>
    <row r="8" spans="1:22" ht="14.25" customHeight="1" x14ac:dyDescent="0.45">
      <c r="A8" s="16"/>
      <c r="B8" s="12" t="s">
        <v>109</v>
      </c>
      <c r="C8" s="45">
        <v>2024</v>
      </c>
      <c r="D8" s="45">
        <v>2025</v>
      </c>
      <c r="E8" s="46">
        <f>D8+1</f>
        <v>2026</v>
      </c>
      <c r="F8" s="46">
        <f>E8+1</f>
        <v>2027</v>
      </c>
      <c r="G8" s="46">
        <f>F8+1</f>
        <v>2028</v>
      </c>
      <c r="H8" s="46">
        <f>G8+1</f>
        <v>2029</v>
      </c>
      <c r="I8" s="16"/>
      <c r="J8" s="47" t="s">
        <v>12</v>
      </c>
      <c r="K8" s="47" t="s">
        <v>13</v>
      </c>
      <c r="L8" s="47" t="s">
        <v>14</v>
      </c>
      <c r="M8" s="47" t="s">
        <v>15</v>
      </c>
      <c r="N8" s="47" t="s">
        <v>16</v>
      </c>
      <c r="O8" s="47" t="s">
        <v>17</v>
      </c>
      <c r="P8" s="47" t="s">
        <v>18</v>
      </c>
      <c r="Q8" s="47" t="s">
        <v>19</v>
      </c>
      <c r="R8" s="47" t="s">
        <v>20</v>
      </c>
      <c r="S8" s="47" t="s">
        <v>21</v>
      </c>
      <c r="T8" s="47" t="s">
        <v>22</v>
      </c>
      <c r="U8" s="47" t="s">
        <v>23</v>
      </c>
      <c r="V8" s="47" t="s">
        <v>24</v>
      </c>
    </row>
    <row r="9" spans="1:22" ht="14.25" customHeight="1" x14ac:dyDescent="0.45">
      <c r="A9" s="16"/>
      <c r="B9" s="35" t="s">
        <v>110</v>
      </c>
      <c r="C9" s="48"/>
      <c r="D9" s="48"/>
      <c r="E9" s="48"/>
      <c r="F9" s="48"/>
      <c r="G9" s="48"/>
      <c r="H9" s="48"/>
      <c r="I9" s="16"/>
      <c r="J9" s="36"/>
      <c r="K9" s="36"/>
      <c r="L9" s="36"/>
      <c r="M9" s="36"/>
      <c r="N9" s="36"/>
      <c r="O9" s="36"/>
      <c r="P9" s="36"/>
      <c r="Q9" s="36"/>
      <c r="R9" s="36"/>
      <c r="S9" s="36"/>
      <c r="T9" s="36"/>
      <c r="U9" s="36"/>
      <c r="V9" s="36"/>
    </row>
    <row r="10" spans="1:22" ht="14.25" customHeight="1" x14ac:dyDescent="0.45">
      <c r="A10" s="16"/>
      <c r="B10" s="12" t="s">
        <v>111</v>
      </c>
      <c r="C10" s="16"/>
      <c r="D10" s="16"/>
      <c r="E10" s="16"/>
      <c r="F10" s="16"/>
      <c r="G10" s="16"/>
      <c r="H10" s="16"/>
      <c r="I10" s="16"/>
    </row>
    <row r="11" spans="1:22" ht="14.25" customHeight="1" outlineLevel="1" x14ac:dyDescent="0.45">
      <c r="A11" s="16"/>
      <c r="B11" s="16" t="s">
        <v>112</v>
      </c>
      <c r="C11" s="49">
        <f t="shared" ref="C11:C17" si="2">IF(M11="","",M11)</f>
        <v>61475</v>
      </c>
      <c r="D11" s="49">
        <f t="shared" ref="D11:D17" si="3">IF(Q11="","",Q11)</f>
        <v>63062</v>
      </c>
      <c r="E11" s="49" t="str">
        <f t="shared" ref="E11:E17" si="4">IF(U11="","",U11)</f>
        <v/>
      </c>
      <c r="F11" s="50"/>
      <c r="G11" s="50"/>
      <c r="H11" s="50"/>
      <c r="I11" s="16"/>
      <c r="J11" s="51"/>
      <c r="K11" s="51"/>
      <c r="L11" s="51"/>
      <c r="M11" s="52">
        <v>61475</v>
      </c>
      <c r="N11" s="51"/>
      <c r="O11" s="52">
        <v>63458</v>
      </c>
      <c r="P11" s="52">
        <v>63023</v>
      </c>
      <c r="Q11" s="52">
        <v>63062</v>
      </c>
      <c r="R11" s="52">
        <v>62682</v>
      </c>
      <c r="S11" s="52">
        <v>62648</v>
      </c>
      <c r="T11" s="51"/>
      <c r="U11" s="51"/>
      <c r="V11" s="51"/>
    </row>
    <row r="12" spans="1:22" ht="14.25" customHeight="1" outlineLevel="1" x14ac:dyDescent="0.45">
      <c r="A12" s="16"/>
      <c r="B12" s="16" t="s">
        <v>113</v>
      </c>
      <c r="C12" s="49">
        <f t="shared" si="2"/>
        <v>33298</v>
      </c>
      <c r="D12" s="49">
        <f t="shared" si="3"/>
        <v>31104</v>
      </c>
      <c r="E12" s="49" t="str">
        <f t="shared" si="4"/>
        <v/>
      </c>
      <c r="F12" s="50"/>
      <c r="G12" s="50"/>
      <c r="H12" s="50"/>
      <c r="I12" s="16"/>
      <c r="J12" s="51"/>
      <c r="K12" s="51"/>
      <c r="L12" s="51"/>
      <c r="M12" s="52">
        <v>33298</v>
      </c>
      <c r="N12" s="51"/>
      <c r="O12" s="52">
        <v>32232</v>
      </c>
      <c r="P12" s="52">
        <v>31661</v>
      </c>
      <c r="Q12" s="52">
        <v>31104</v>
      </c>
      <c r="R12" s="52">
        <v>30535</v>
      </c>
      <c r="S12" s="52">
        <v>29978</v>
      </c>
      <c r="T12" s="51"/>
      <c r="U12" s="51"/>
      <c r="V12" s="51"/>
    </row>
    <row r="13" spans="1:22" ht="14.25" customHeight="1" outlineLevel="1" x14ac:dyDescent="0.45">
      <c r="A13" s="16"/>
      <c r="B13" s="16" t="s">
        <v>114</v>
      </c>
      <c r="C13" s="49">
        <f t="shared" si="2"/>
        <v>14118</v>
      </c>
      <c r="D13" s="49">
        <f t="shared" si="3"/>
        <v>28369</v>
      </c>
      <c r="E13" s="49" t="str">
        <f t="shared" si="4"/>
        <v/>
      </c>
      <c r="F13" s="50"/>
      <c r="G13" s="50"/>
      <c r="H13" s="50"/>
      <c r="I13" s="16"/>
      <c r="J13" s="51"/>
      <c r="K13" s="51"/>
      <c r="L13" s="51"/>
      <c r="M13" s="52">
        <v>14118</v>
      </c>
      <c r="N13" s="51"/>
      <c r="O13" s="52">
        <v>14856</v>
      </c>
      <c r="P13" s="52">
        <v>12206</v>
      </c>
      <c r="Q13" s="52">
        <v>28369</v>
      </c>
      <c r="R13" s="52">
        <v>26465</v>
      </c>
      <c r="S13" s="52">
        <v>27541</v>
      </c>
      <c r="T13" s="51"/>
      <c r="U13" s="51"/>
      <c r="V13" s="51"/>
    </row>
    <row r="14" spans="1:22" ht="14.25" customHeight="1" outlineLevel="1" x14ac:dyDescent="0.45">
      <c r="A14" s="16"/>
      <c r="B14" s="16" t="s">
        <v>115</v>
      </c>
      <c r="C14" s="49">
        <f t="shared" si="2"/>
        <v>2088</v>
      </c>
      <c r="D14" s="49">
        <f t="shared" si="3"/>
        <v>2865</v>
      </c>
      <c r="E14" s="49" t="str">
        <f t="shared" si="4"/>
        <v/>
      </c>
      <c r="F14" s="50"/>
      <c r="G14" s="50"/>
      <c r="H14" s="50"/>
      <c r="I14" s="16"/>
      <c r="J14" s="51"/>
      <c r="K14" s="51"/>
      <c r="L14" s="51"/>
      <c r="M14" s="52">
        <v>2088</v>
      </c>
      <c r="N14" s="51"/>
      <c r="O14" s="52">
        <v>2519</v>
      </c>
      <c r="P14" s="52">
        <v>2894</v>
      </c>
      <c r="Q14" s="52">
        <v>2865</v>
      </c>
      <c r="R14" s="52">
        <v>2995</v>
      </c>
      <c r="S14" s="52">
        <v>2823</v>
      </c>
      <c r="T14" s="51"/>
      <c r="U14" s="51"/>
      <c r="V14" s="51"/>
    </row>
    <row r="15" spans="1:22" ht="14.25" customHeight="1" outlineLevel="1" x14ac:dyDescent="0.45">
      <c r="A15" s="16"/>
      <c r="B15" s="16" t="s">
        <v>116</v>
      </c>
      <c r="C15" s="49">
        <f t="shared" si="2"/>
        <v>22087</v>
      </c>
      <c r="D15" s="49">
        <f t="shared" si="3"/>
        <v>21311</v>
      </c>
      <c r="E15" s="49" t="str">
        <f t="shared" si="4"/>
        <v/>
      </c>
      <c r="F15" s="50"/>
      <c r="G15" s="50"/>
      <c r="H15" s="50"/>
      <c r="I15" s="16"/>
      <c r="J15" s="51"/>
      <c r="K15" s="51"/>
      <c r="L15" s="51"/>
      <c r="M15" s="52">
        <v>22087</v>
      </c>
      <c r="N15" s="51"/>
      <c r="O15" s="52">
        <v>20583</v>
      </c>
      <c r="P15" s="52">
        <v>22237</v>
      </c>
      <c r="Q15" s="52">
        <v>21311</v>
      </c>
      <c r="R15" s="52">
        <v>17662</v>
      </c>
      <c r="S15" s="52">
        <v>26074</v>
      </c>
      <c r="T15" s="51"/>
      <c r="U15" s="51"/>
      <c r="V15" s="51"/>
    </row>
    <row r="16" spans="1:22" ht="14.25" customHeight="1" outlineLevel="1" x14ac:dyDescent="0.45">
      <c r="A16" s="16"/>
      <c r="B16" s="16" t="s">
        <v>117</v>
      </c>
      <c r="C16" s="49">
        <f t="shared" si="2"/>
        <v>1968</v>
      </c>
      <c r="D16" s="49">
        <f t="shared" si="3"/>
        <v>5727</v>
      </c>
      <c r="E16" s="49" t="str">
        <f t="shared" si="4"/>
        <v/>
      </c>
      <c r="F16" s="50"/>
      <c r="G16" s="50"/>
      <c r="H16" s="50"/>
      <c r="I16" s="16"/>
      <c r="J16" s="51"/>
      <c r="K16" s="51"/>
      <c r="L16" s="51"/>
      <c r="M16" s="52">
        <v>1968</v>
      </c>
      <c r="N16" s="51"/>
      <c r="O16" s="52">
        <v>1968</v>
      </c>
      <c r="P16" s="52">
        <v>1968</v>
      </c>
      <c r="Q16" s="52">
        <v>5727</v>
      </c>
      <c r="R16" s="52">
        <v>5840</v>
      </c>
      <c r="S16" s="52">
        <v>5817</v>
      </c>
      <c r="T16" s="51"/>
      <c r="U16" s="51"/>
      <c r="V16" s="51"/>
    </row>
    <row r="17" spans="1:22" ht="14.25" customHeight="1" x14ac:dyDescent="0.45">
      <c r="A17" s="16"/>
      <c r="B17" s="12" t="s">
        <v>118</v>
      </c>
      <c r="C17" s="53">
        <f t="shared" si="2"/>
        <v>135034</v>
      </c>
      <c r="D17" s="53">
        <f t="shared" si="3"/>
        <v>152438</v>
      </c>
      <c r="E17" s="53">
        <f t="shared" si="4"/>
        <v>0</v>
      </c>
      <c r="F17" s="54"/>
      <c r="G17" s="54"/>
      <c r="H17" s="54"/>
      <c r="I17" s="16"/>
      <c r="J17" s="53">
        <f t="shared" ref="J17:V17" si="5">J11+J12+J13+J14+J15+J16</f>
        <v>0</v>
      </c>
      <c r="K17" s="53">
        <f t="shared" si="5"/>
        <v>0</v>
      </c>
      <c r="L17" s="53">
        <f t="shared" si="5"/>
        <v>0</v>
      </c>
      <c r="M17" s="53">
        <f t="shared" si="5"/>
        <v>135034</v>
      </c>
      <c r="N17" s="53">
        <f t="shared" si="5"/>
        <v>0</v>
      </c>
      <c r="O17" s="53">
        <f t="shared" si="5"/>
        <v>135616</v>
      </c>
      <c r="P17" s="53">
        <f t="shared" si="5"/>
        <v>133989</v>
      </c>
      <c r="Q17" s="53">
        <f t="shared" si="5"/>
        <v>152438</v>
      </c>
      <c r="R17" s="53">
        <f t="shared" si="5"/>
        <v>146179</v>
      </c>
      <c r="S17" s="53">
        <f>S11+S12+S13+S14+S15+S16</f>
        <v>154881</v>
      </c>
      <c r="T17" s="53">
        <f t="shared" si="5"/>
        <v>0</v>
      </c>
      <c r="U17" s="53">
        <f t="shared" si="5"/>
        <v>0</v>
      </c>
      <c r="V17" s="53">
        <f t="shared" si="5"/>
        <v>0</v>
      </c>
    </row>
    <row r="18" spans="1:22" ht="14.25" customHeight="1" x14ac:dyDescent="0.45">
      <c r="A18" s="16"/>
      <c r="B18" s="16"/>
      <c r="C18" s="16"/>
      <c r="D18" s="16"/>
      <c r="E18" s="16"/>
      <c r="F18" s="16"/>
      <c r="G18" s="16"/>
      <c r="H18" s="16"/>
      <c r="I18" s="16"/>
    </row>
    <row r="19" spans="1:22" ht="14.25" customHeight="1" x14ac:dyDescent="0.45">
      <c r="A19" s="16"/>
      <c r="B19" s="12" t="s">
        <v>119</v>
      </c>
      <c r="C19" s="16"/>
      <c r="D19" s="16"/>
      <c r="E19" s="16"/>
      <c r="F19" s="16"/>
      <c r="G19" s="16"/>
      <c r="H19" s="16"/>
      <c r="I19" s="16"/>
    </row>
    <row r="20" spans="1:22" ht="14.25" customHeight="1" outlineLevel="1" x14ac:dyDescent="0.45">
      <c r="A20" s="16"/>
      <c r="B20" s="16" t="s">
        <v>120</v>
      </c>
      <c r="C20" s="49">
        <f t="shared" ref="C20:C31" si="6">IF(M20="","",M20)</f>
        <v>573876</v>
      </c>
      <c r="D20" s="49">
        <f t="shared" ref="D20:D31" si="7">IF(Q20="","",Q20)</f>
        <v>206178</v>
      </c>
      <c r="E20" s="49" t="str">
        <f t="shared" ref="E20:E31" si="8">IF(U20="","",U20)</f>
        <v/>
      </c>
      <c r="F20" s="50"/>
      <c r="G20" s="50"/>
      <c r="H20" s="50"/>
      <c r="I20" s="16"/>
      <c r="J20" s="51"/>
      <c r="K20" s="51"/>
      <c r="L20" s="51"/>
      <c r="M20" s="52">
        <v>573876</v>
      </c>
      <c r="N20" s="51"/>
      <c r="O20" s="52">
        <v>231870</v>
      </c>
      <c r="P20" s="52">
        <v>254203</v>
      </c>
      <c r="Q20" s="52">
        <v>206178</v>
      </c>
      <c r="R20" s="52">
        <v>142698</v>
      </c>
      <c r="S20" s="52">
        <v>139131</v>
      </c>
      <c r="T20" s="51"/>
      <c r="U20" s="51"/>
      <c r="V20" s="51"/>
    </row>
    <row r="21" spans="1:22" ht="14.25" customHeight="1" outlineLevel="1" x14ac:dyDescent="0.45">
      <c r="A21" s="16"/>
      <c r="B21" s="16" t="s">
        <v>121</v>
      </c>
      <c r="C21" s="49">
        <f t="shared" si="6"/>
        <v>1878268</v>
      </c>
      <c r="D21" s="49">
        <f t="shared" si="7"/>
        <v>1537071</v>
      </c>
      <c r="E21" s="49" t="str">
        <f t="shared" si="8"/>
        <v/>
      </c>
      <c r="F21" s="50"/>
      <c r="G21" s="50"/>
      <c r="H21" s="50"/>
      <c r="I21" s="16"/>
      <c r="J21" s="51"/>
      <c r="K21" s="51"/>
      <c r="L21" s="51"/>
      <c r="M21" s="52">
        <v>1878268</v>
      </c>
      <c r="N21" s="51"/>
      <c r="O21" s="52">
        <v>1957402</v>
      </c>
      <c r="P21" s="52">
        <v>2094385</v>
      </c>
      <c r="Q21" s="52">
        <v>1537071</v>
      </c>
      <c r="R21" s="52">
        <v>1298611</v>
      </c>
      <c r="S21" s="52">
        <v>1133596</v>
      </c>
      <c r="T21" s="51"/>
      <c r="U21" s="51"/>
      <c r="V21" s="51"/>
    </row>
    <row r="22" spans="1:22" ht="14.25" customHeight="1" outlineLevel="1" x14ac:dyDescent="0.45">
      <c r="A22" s="16"/>
      <c r="B22" s="16" t="s">
        <v>122</v>
      </c>
      <c r="C22" s="49">
        <f t="shared" si="6"/>
        <v>132649</v>
      </c>
      <c r="D22" s="49">
        <f t="shared" si="7"/>
        <v>1037915</v>
      </c>
      <c r="E22" s="49" t="str">
        <f t="shared" si="8"/>
        <v/>
      </c>
      <c r="F22" s="50"/>
      <c r="G22" s="50"/>
      <c r="H22" s="50"/>
      <c r="I22" s="16"/>
      <c r="J22" s="51"/>
      <c r="K22" s="51"/>
      <c r="L22" s="51"/>
      <c r="M22" s="52">
        <v>132649</v>
      </c>
      <c r="N22" s="51"/>
      <c r="O22" s="52">
        <v>106020</v>
      </c>
      <c r="P22" s="52">
        <v>1189097</v>
      </c>
      <c r="Q22" s="52">
        <v>1037915</v>
      </c>
      <c r="R22" s="52">
        <v>863306</v>
      </c>
      <c r="S22" s="52">
        <v>952626</v>
      </c>
      <c r="T22" s="51"/>
      <c r="U22" s="51"/>
      <c r="V22" s="51"/>
    </row>
    <row r="23" spans="1:22" ht="14.25" customHeight="1" outlineLevel="1" x14ac:dyDescent="0.45">
      <c r="A23" s="16"/>
      <c r="B23" s="16" t="s">
        <v>123</v>
      </c>
      <c r="C23" s="49">
        <f t="shared" si="6"/>
        <v>166388</v>
      </c>
      <c r="D23" s="49">
        <f t="shared" si="7"/>
        <v>446481</v>
      </c>
      <c r="E23" s="49" t="str">
        <f t="shared" si="8"/>
        <v/>
      </c>
      <c r="F23" s="50"/>
      <c r="G23" s="50"/>
      <c r="H23" s="50"/>
      <c r="I23" s="16"/>
      <c r="J23" s="51"/>
      <c r="K23" s="51"/>
      <c r="L23" s="51"/>
      <c r="M23" s="52">
        <v>166388</v>
      </c>
      <c r="N23" s="51"/>
      <c r="O23" s="52">
        <v>310927</v>
      </c>
      <c r="P23" s="52">
        <v>436720</v>
      </c>
      <c r="Q23" s="52">
        <v>446481</v>
      </c>
      <c r="R23" s="52">
        <v>395684</v>
      </c>
      <c r="S23" s="52">
        <v>269111</v>
      </c>
      <c r="T23" s="51"/>
      <c r="U23" s="51"/>
      <c r="V23" s="51"/>
    </row>
    <row r="24" spans="1:22" ht="14.25" customHeight="1" outlineLevel="1" x14ac:dyDescent="0.45">
      <c r="A24" s="16"/>
      <c r="B24" s="16" t="s">
        <v>124</v>
      </c>
      <c r="C24" s="49">
        <f t="shared" si="6"/>
        <v>0</v>
      </c>
      <c r="D24" s="49">
        <f t="shared" si="7"/>
        <v>0</v>
      </c>
      <c r="E24" s="49" t="str">
        <f t="shared" si="8"/>
        <v/>
      </c>
      <c r="F24" s="50"/>
      <c r="G24" s="50"/>
      <c r="H24" s="50"/>
      <c r="I24" s="16"/>
      <c r="J24" s="51"/>
      <c r="K24" s="51"/>
      <c r="L24" s="51"/>
      <c r="M24" s="52">
        <v>0</v>
      </c>
      <c r="N24" s="51"/>
      <c r="O24" s="52">
        <v>181</v>
      </c>
      <c r="P24" s="52">
        <v>20</v>
      </c>
      <c r="Q24" s="52">
        <v>0</v>
      </c>
      <c r="R24" s="52">
        <v>6298</v>
      </c>
      <c r="S24" s="52">
        <v>0</v>
      </c>
      <c r="T24" s="51"/>
      <c r="U24" s="51"/>
      <c r="V24" s="51"/>
    </row>
    <row r="25" spans="1:22" ht="14.25" customHeight="1" outlineLevel="1" x14ac:dyDescent="0.45">
      <c r="A25" s="16"/>
      <c r="B25" s="16" t="s">
        <v>125</v>
      </c>
      <c r="C25" s="49">
        <f t="shared" si="6"/>
        <v>86173</v>
      </c>
      <c r="D25" s="49">
        <f t="shared" si="7"/>
        <v>404144</v>
      </c>
      <c r="E25" s="49" t="str">
        <f t="shared" si="8"/>
        <v/>
      </c>
      <c r="F25" s="50"/>
      <c r="G25" s="50"/>
      <c r="H25" s="50"/>
      <c r="I25" s="16"/>
      <c r="J25" s="51"/>
      <c r="K25" s="51"/>
      <c r="L25" s="51"/>
      <c r="M25" s="52">
        <v>86173</v>
      </c>
      <c r="N25" s="51"/>
      <c r="O25" s="52">
        <v>422470</v>
      </c>
      <c r="P25" s="52">
        <v>375845</v>
      </c>
      <c r="Q25" s="52">
        <v>404144</v>
      </c>
      <c r="R25" s="52">
        <v>266640</v>
      </c>
      <c r="S25" s="52">
        <v>226237</v>
      </c>
      <c r="T25" s="51"/>
      <c r="U25" s="51"/>
      <c r="V25" s="51"/>
    </row>
    <row r="26" spans="1:22" ht="14.25" customHeight="1" outlineLevel="1" x14ac:dyDescent="0.45">
      <c r="A26" s="16"/>
      <c r="B26" s="16" t="s">
        <v>126</v>
      </c>
      <c r="C26" s="49">
        <f t="shared" si="6"/>
        <v>21209</v>
      </c>
      <c r="D26" s="49">
        <f t="shared" si="7"/>
        <v>47502</v>
      </c>
      <c r="E26" s="49" t="str">
        <f t="shared" si="8"/>
        <v/>
      </c>
      <c r="F26" s="50"/>
      <c r="G26" s="50"/>
      <c r="H26" s="50"/>
      <c r="I26" s="16"/>
      <c r="J26" s="51"/>
      <c r="K26" s="51"/>
      <c r="L26" s="51"/>
      <c r="M26" s="52">
        <v>21209</v>
      </c>
      <c r="N26" s="51"/>
      <c r="O26" s="52">
        <v>19133</v>
      </c>
      <c r="P26" s="52">
        <v>38590</v>
      </c>
      <c r="Q26" s="52">
        <v>47502</v>
      </c>
      <c r="R26" s="52">
        <v>55945</v>
      </c>
      <c r="S26" s="52">
        <v>64687</v>
      </c>
      <c r="T26" s="51"/>
      <c r="U26" s="51"/>
      <c r="V26" s="51"/>
    </row>
    <row r="27" spans="1:22" ht="14.25" customHeight="1" outlineLevel="1" x14ac:dyDescent="0.45">
      <c r="A27" s="16"/>
      <c r="B27" s="16" t="s">
        <v>127</v>
      </c>
      <c r="C27" s="49">
        <f t="shared" si="6"/>
        <v>6382</v>
      </c>
      <c r="D27" s="49">
        <f t="shared" si="7"/>
        <v>20044</v>
      </c>
      <c r="E27" s="49" t="str">
        <f t="shared" si="8"/>
        <v/>
      </c>
      <c r="F27" s="50"/>
      <c r="G27" s="50"/>
      <c r="H27" s="50"/>
      <c r="I27" s="16"/>
      <c r="J27" s="51"/>
      <c r="K27" s="51"/>
      <c r="L27" s="51"/>
      <c r="M27" s="52">
        <v>6382</v>
      </c>
      <c r="N27" s="51"/>
      <c r="O27" s="52">
        <v>4138</v>
      </c>
      <c r="P27" s="52">
        <v>14550</v>
      </c>
      <c r="Q27" s="52">
        <v>20044</v>
      </c>
      <c r="R27" s="52">
        <v>55640</v>
      </c>
      <c r="S27" s="52">
        <v>52724</v>
      </c>
      <c r="T27" s="51"/>
      <c r="U27" s="51"/>
      <c r="V27" s="51"/>
    </row>
    <row r="28" spans="1:22" ht="14.25" customHeight="1" outlineLevel="1" x14ac:dyDescent="0.45">
      <c r="A28" s="16"/>
      <c r="B28" s="16" t="s">
        <v>128</v>
      </c>
      <c r="C28" s="49">
        <f t="shared" si="6"/>
        <v>15893</v>
      </c>
      <c r="D28" s="49">
        <f t="shared" si="7"/>
        <v>16839</v>
      </c>
      <c r="E28" s="49" t="str">
        <f t="shared" si="8"/>
        <v/>
      </c>
      <c r="F28" s="50"/>
      <c r="G28" s="50"/>
      <c r="H28" s="50"/>
      <c r="I28" s="16"/>
      <c r="J28" s="51"/>
      <c r="K28" s="51"/>
      <c r="L28" s="51"/>
      <c r="M28" s="52">
        <v>15893</v>
      </c>
      <c r="N28" s="51"/>
      <c r="O28" s="52">
        <v>16193</v>
      </c>
      <c r="P28" s="52">
        <v>16676</v>
      </c>
      <c r="Q28" s="52">
        <v>16839</v>
      </c>
      <c r="R28" s="52">
        <v>17003</v>
      </c>
      <c r="S28" s="52">
        <v>17106</v>
      </c>
      <c r="T28" s="51"/>
      <c r="U28" s="51"/>
      <c r="V28" s="51"/>
    </row>
    <row r="29" spans="1:22" ht="14.25" customHeight="1" outlineLevel="1" x14ac:dyDescent="0.45">
      <c r="A29" s="16"/>
      <c r="B29" s="16" t="s">
        <v>129</v>
      </c>
      <c r="C29" s="49">
        <f t="shared" si="6"/>
        <v>31540</v>
      </c>
      <c r="D29" s="49">
        <f t="shared" si="7"/>
        <v>87892</v>
      </c>
      <c r="E29" s="49" t="str">
        <f t="shared" si="8"/>
        <v/>
      </c>
      <c r="F29" s="50"/>
      <c r="G29" s="50"/>
      <c r="H29" s="50"/>
      <c r="I29" s="16"/>
      <c r="J29" s="51"/>
      <c r="K29" s="51"/>
      <c r="L29" s="51"/>
      <c r="M29" s="52">
        <v>31540</v>
      </c>
      <c r="N29" s="51"/>
      <c r="O29" s="52">
        <v>35560</v>
      </c>
      <c r="P29" s="52">
        <v>69307</v>
      </c>
      <c r="Q29" s="52">
        <v>87892</v>
      </c>
      <c r="R29" s="52">
        <v>76052</v>
      </c>
      <c r="S29" s="52">
        <v>86614</v>
      </c>
      <c r="T29" s="51"/>
      <c r="U29" s="51"/>
      <c r="V29" s="51"/>
    </row>
    <row r="30" spans="1:22" ht="14.25" customHeight="1" x14ac:dyDescent="0.45">
      <c r="A30" s="16"/>
      <c r="B30" s="12" t="s">
        <v>130</v>
      </c>
      <c r="C30" s="53">
        <f t="shared" si="6"/>
        <v>2912378</v>
      </c>
      <c r="D30" s="53">
        <f t="shared" si="7"/>
        <v>3804066</v>
      </c>
      <c r="E30" s="53">
        <f t="shared" si="8"/>
        <v>0</v>
      </c>
      <c r="F30" s="54"/>
      <c r="G30" s="54"/>
      <c r="H30" s="54"/>
      <c r="I30" s="16"/>
      <c r="J30" s="53">
        <f t="shared" ref="J30:V30" si="9">J20+J21+J22+J23+J24+J25+J26+J27+J28+J29</f>
        <v>0</v>
      </c>
      <c r="K30" s="53">
        <f t="shared" si="9"/>
        <v>0</v>
      </c>
      <c r="L30" s="53">
        <f t="shared" si="9"/>
        <v>0</v>
      </c>
      <c r="M30" s="53">
        <f t="shared" si="9"/>
        <v>2912378</v>
      </c>
      <c r="N30" s="53">
        <f t="shared" si="9"/>
        <v>0</v>
      </c>
      <c r="O30" s="53">
        <f t="shared" si="9"/>
        <v>3103894</v>
      </c>
      <c r="P30" s="53">
        <f t="shared" si="9"/>
        <v>4489393</v>
      </c>
      <c r="Q30" s="53">
        <f t="shared" si="9"/>
        <v>3804066</v>
      </c>
      <c r="R30" s="53">
        <f t="shared" si="9"/>
        <v>3177877</v>
      </c>
      <c r="S30" s="53">
        <f>S20+S21+S22+S23+S24+S25+S26+S27+S28+S29</f>
        <v>2941832</v>
      </c>
      <c r="T30" s="53">
        <f t="shared" si="9"/>
        <v>0</v>
      </c>
      <c r="U30" s="53">
        <f t="shared" si="9"/>
        <v>0</v>
      </c>
      <c r="V30" s="53">
        <f t="shared" si="9"/>
        <v>0</v>
      </c>
    </row>
    <row r="31" spans="1:22" ht="14.25" customHeight="1" x14ac:dyDescent="0.45">
      <c r="A31" s="16"/>
      <c r="B31" s="12" t="s">
        <v>131</v>
      </c>
      <c r="C31" s="53">
        <f t="shared" si="6"/>
        <v>3047412</v>
      </c>
      <c r="D31" s="53">
        <f t="shared" si="7"/>
        <v>3956504</v>
      </c>
      <c r="E31" s="53">
        <f t="shared" si="8"/>
        <v>0</v>
      </c>
      <c r="F31" s="54"/>
      <c r="G31" s="54"/>
      <c r="H31" s="54"/>
      <c r="I31" s="16"/>
      <c r="J31" s="53">
        <f t="shared" ref="J31:V31" si="10">J17+J30</f>
        <v>0</v>
      </c>
      <c r="K31" s="53">
        <f t="shared" si="10"/>
        <v>0</v>
      </c>
      <c r="L31" s="53">
        <f t="shared" si="10"/>
        <v>0</v>
      </c>
      <c r="M31" s="53">
        <f t="shared" si="10"/>
        <v>3047412</v>
      </c>
      <c r="N31" s="53">
        <f t="shared" si="10"/>
        <v>0</v>
      </c>
      <c r="O31" s="53">
        <f t="shared" si="10"/>
        <v>3239510</v>
      </c>
      <c r="P31" s="53">
        <f t="shared" si="10"/>
        <v>4623382</v>
      </c>
      <c r="Q31" s="53">
        <f t="shared" si="10"/>
        <v>3956504</v>
      </c>
      <c r="R31" s="53">
        <f t="shared" si="10"/>
        <v>3324056</v>
      </c>
      <c r="S31" s="53">
        <f t="shared" si="10"/>
        <v>3096713</v>
      </c>
      <c r="T31" s="53">
        <f>T17+T30</f>
        <v>0</v>
      </c>
      <c r="U31" s="53">
        <f t="shared" si="10"/>
        <v>0</v>
      </c>
      <c r="V31" s="53">
        <f t="shared" si="10"/>
        <v>0</v>
      </c>
    </row>
    <row r="32" spans="1:22" ht="14.25" customHeight="1" x14ac:dyDescent="0.45">
      <c r="A32" s="16"/>
      <c r="B32" s="16"/>
      <c r="C32" s="16"/>
      <c r="D32" s="16"/>
      <c r="E32" s="16"/>
      <c r="F32" s="16"/>
      <c r="G32" s="16"/>
      <c r="H32" s="16"/>
      <c r="I32" s="16"/>
    </row>
    <row r="33" spans="1:22" ht="14.25" customHeight="1" x14ac:dyDescent="0.45">
      <c r="A33" s="16"/>
      <c r="B33" s="35" t="s">
        <v>132</v>
      </c>
      <c r="C33" s="48"/>
      <c r="D33" s="48"/>
      <c r="E33" s="48"/>
      <c r="F33" s="48"/>
      <c r="G33" s="48"/>
      <c r="H33" s="48"/>
      <c r="I33" s="16"/>
      <c r="J33" s="36"/>
      <c r="K33" s="36"/>
      <c r="L33" s="36"/>
      <c r="M33" s="36"/>
      <c r="N33" s="36"/>
      <c r="O33" s="36"/>
      <c r="P33" s="36"/>
      <c r="Q33" s="36"/>
      <c r="R33" s="36"/>
      <c r="S33" s="36"/>
      <c r="T33" s="36"/>
      <c r="U33" s="36"/>
      <c r="V33" s="36"/>
    </row>
    <row r="34" spans="1:22" ht="14.25" customHeight="1" x14ac:dyDescent="0.45">
      <c r="A34" s="16"/>
      <c r="B34" s="12" t="s">
        <v>133</v>
      </c>
      <c r="C34" s="16"/>
      <c r="D34" s="16"/>
      <c r="E34" s="16"/>
      <c r="F34" s="16"/>
      <c r="G34" s="16"/>
      <c r="H34" s="16"/>
      <c r="I34" s="16"/>
    </row>
    <row r="35" spans="1:22" ht="14.25" customHeight="1" outlineLevel="1" x14ac:dyDescent="0.45">
      <c r="A35" s="16"/>
      <c r="B35" s="16" t="s">
        <v>134</v>
      </c>
      <c r="C35" s="49">
        <f t="shared" ref="C35:C41" si="11">IF(M35="","",M35)</f>
        <v>482450</v>
      </c>
      <c r="D35" s="49">
        <f t="shared" ref="D35:D41" si="12">IF(Q35="","",Q35)</f>
        <v>505600</v>
      </c>
      <c r="E35" s="49" t="str">
        <f t="shared" ref="E35:E41" si="13">IF(U35="","",U35)</f>
        <v/>
      </c>
      <c r="F35" s="50"/>
      <c r="G35" s="50"/>
      <c r="H35" s="50"/>
      <c r="I35" s="16"/>
      <c r="J35" s="51"/>
      <c r="K35" s="51"/>
      <c r="L35" s="51"/>
      <c r="M35" s="52">
        <v>482450</v>
      </c>
      <c r="N35" s="51"/>
      <c r="O35" s="52">
        <v>496900</v>
      </c>
      <c r="P35" s="52">
        <v>513850</v>
      </c>
      <c r="Q35" s="52">
        <v>505600</v>
      </c>
      <c r="R35" s="52">
        <v>482850</v>
      </c>
      <c r="S35" s="52">
        <v>495650</v>
      </c>
      <c r="T35" s="51"/>
      <c r="U35" s="51"/>
      <c r="V35" s="51"/>
    </row>
    <row r="36" spans="1:22" ht="14.25" customHeight="1" outlineLevel="1" x14ac:dyDescent="0.45">
      <c r="A36" s="16"/>
      <c r="B36" s="16" t="s">
        <v>135</v>
      </c>
      <c r="C36" s="49">
        <f t="shared" si="11"/>
        <v>47879</v>
      </c>
      <c r="D36" s="49">
        <f t="shared" si="12"/>
        <v>0</v>
      </c>
      <c r="E36" s="49" t="str">
        <f t="shared" si="13"/>
        <v/>
      </c>
      <c r="F36" s="50"/>
      <c r="G36" s="50"/>
      <c r="H36" s="50"/>
      <c r="I36" s="16"/>
      <c r="J36" s="51"/>
      <c r="K36" s="51"/>
      <c r="L36" s="51"/>
      <c r="M36" s="52">
        <v>47879</v>
      </c>
      <c r="N36" s="51"/>
      <c r="O36" s="52">
        <v>47879</v>
      </c>
      <c r="P36" s="52">
        <v>0</v>
      </c>
      <c r="Q36" s="52">
        <v>0</v>
      </c>
      <c r="R36" s="52">
        <v>0</v>
      </c>
      <c r="S36" s="52">
        <v>0</v>
      </c>
      <c r="T36" s="51"/>
      <c r="U36" s="51"/>
      <c r="V36" s="51"/>
    </row>
    <row r="37" spans="1:22" ht="14.25" customHeight="1" outlineLevel="1" x14ac:dyDescent="0.45">
      <c r="A37" s="16"/>
      <c r="B37" s="16" t="s">
        <v>136</v>
      </c>
      <c r="C37" s="49">
        <f t="shared" si="11"/>
        <v>20613</v>
      </c>
      <c r="D37" s="49">
        <f t="shared" si="12"/>
        <v>5267</v>
      </c>
      <c r="E37" s="49" t="str">
        <f t="shared" si="13"/>
        <v/>
      </c>
      <c r="F37" s="50"/>
      <c r="G37" s="50"/>
      <c r="H37" s="50"/>
      <c r="I37" s="16"/>
      <c r="J37" s="51"/>
      <c r="K37" s="51"/>
      <c r="L37" s="51"/>
      <c r="M37" s="52">
        <v>20613</v>
      </c>
      <c r="N37" s="51"/>
      <c r="O37" s="52">
        <v>6111</v>
      </c>
      <c r="P37" s="52">
        <v>8012</v>
      </c>
      <c r="Q37" s="52">
        <v>5267</v>
      </c>
      <c r="R37" s="52">
        <v>4885</v>
      </c>
      <c r="S37" s="52">
        <v>2916</v>
      </c>
      <c r="T37" s="51"/>
      <c r="U37" s="51"/>
      <c r="V37" s="51"/>
    </row>
    <row r="38" spans="1:22" ht="14.25" customHeight="1" outlineLevel="1" x14ac:dyDescent="0.45">
      <c r="A38" s="16"/>
      <c r="B38" s="16" t="s">
        <v>137</v>
      </c>
      <c r="C38" s="49">
        <f t="shared" si="11"/>
        <v>10756</v>
      </c>
      <c r="D38" s="49">
        <f t="shared" si="12"/>
        <v>14378</v>
      </c>
      <c r="E38" s="49" t="str">
        <f t="shared" si="13"/>
        <v/>
      </c>
      <c r="F38" s="50"/>
      <c r="G38" s="50"/>
      <c r="H38" s="50"/>
      <c r="I38" s="16"/>
      <c r="J38" s="51"/>
      <c r="K38" s="51"/>
      <c r="L38" s="51"/>
      <c r="M38" s="52">
        <v>10756</v>
      </c>
      <c r="N38" s="51"/>
      <c r="O38" s="52">
        <v>11073</v>
      </c>
      <c r="P38" s="52">
        <v>7695</v>
      </c>
      <c r="Q38" s="52">
        <v>14378</v>
      </c>
      <c r="R38" s="52">
        <v>12817</v>
      </c>
      <c r="S38" s="52">
        <v>13064</v>
      </c>
      <c r="T38" s="51"/>
      <c r="U38" s="51"/>
      <c r="V38" s="51"/>
    </row>
    <row r="39" spans="1:22" ht="14.25" customHeight="1" outlineLevel="1" x14ac:dyDescent="0.45">
      <c r="A39" s="16"/>
      <c r="B39" s="16" t="s">
        <v>138</v>
      </c>
      <c r="C39" s="49">
        <f t="shared" si="11"/>
        <v>6</v>
      </c>
      <c r="D39" s="49">
        <f t="shared" si="12"/>
        <v>18</v>
      </c>
      <c r="E39" s="49" t="str">
        <f t="shared" si="13"/>
        <v/>
      </c>
      <c r="F39" s="50"/>
      <c r="G39" s="50"/>
      <c r="H39" s="50"/>
      <c r="I39" s="16"/>
      <c r="J39" s="51"/>
      <c r="K39" s="51"/>
      <c r="L39" s="51"/>
      <c r="M39" s="52">
        <v>6</v>
      </c>
      <c r="N39" s="51"/>
      <c r="O39" s="52">
        <v>126</v>
      </c>
      <c r="P39" s="52">
        <v>0</v>
      </c>
      <c r="Q39" s="52">
        <v>18</v>
      </c>
      <c r="R39" s="52">
        <v>18</v>
      </c>
      <c r="S39" s="52">
        <v>1</v>
      </c>
      <c r="T39" s="51"/>
      <c r="U39" s="51"/>
      <c r="V39" s="51"/>
    </row>
    <row r="40" spans="1:22" ht="14.25" customHeight="1" outlineLevel="1" x14ac:dyDescent="0.45">
      <c r="A40" s="16"/>
      <c r="B40" s="16" t="s">
        <v>139</v>
      </c>
      <c r="C40" s="49" t="str">
        <f t="shared" si="11"/>
        <v/>
      </c>
      <c r="D40" s="49">
        <f t="shared" si="12"/>
        <v>3000</v>
      </c>
      <c r="E40" s="49" t="str">
        <f t="shared" si="13"/>
        <v/>
      </c>
      <c r="F40" s="50"/>
      <c r="G40" s="50"/>
      <c r="H40" s="50"/>
      <c r="I40" s="16"/>
      <c r="J40" s="51"/>
      <c r="K40" s="51"/>
      <c r="L40" s="51"/>
      <c r="M40" s="51"/>
      <c r="N40" s="51"/>
      <c r="O40" s="51"/>
      <c r="P40" s="51"/>
      <c r="Q40" s="52">
        <v>3000</v>
      </c>
      <c r="R40" s="52">
        <v>0</v>
      </c>
      <c r="S40" s="52">
        <v>0</v>
      </c>
      <c r="T40" s="51"/>
      <c r="U40" s="51"/>
      <c r="V40" s="51"/>
    </row>
    <row r="41" spans="1:22" ht="14.25" customHeight="1" x14ac:dyDescent="0.45">
      <c r="A41" s="16"/>
      <c r="B41" s="12" t="s">
        <v>140</v>
      </c>
      <c r="C41" s="53">
        <f t="shared" si="11"/>
        <v>561704</v>
      </c>
      <c r="D41" s="53">
        <f t="shared" si="12"/>
        <v>528263</v>
      </c>
      <c r="E41" s="53">
        <f t="shared" si="13"/>
        <v>0</v>
      </c>
      <c r="F41" s="54"/>
      <c r="G41" s="54"/>
      <c r="H41" s="54"/>
      <c r="I41" s="16"/>
      <c r="J41" s="53">
        <f t="shared" ref="J41:V41" si="14">J35+J36+J37+J38+J39+J40</f>
        <v>0</v>
      </c>
      <c r="K41" s="53">
        <f t="shared" si="14"/>
        <v>0</v>
      </c>
      <c r="L41" s="53">
        <f t="shared" si="14"/>
        <v>0</v>
      </c>
      <c r="M41" s="53">
        <f t="shared" si="14"/>
        <v>561704</v>
      </c>
      <c r="N41" s="53">
        <f t="shared" si="14"/>
        <v>0</v>
      </c>
      <c r="O41" s="53">
        <f t="shared" si="14"/>
        <v>562089</v>
      </c>
      <c r="P41" s="53">
        <f t="shared" si="14"/>
        <v>529557</v>
      </c>
      <c r="Q41" s="53">
        <f t="shared" si="14"/>
        <v>528263</v>
      </c>
      <c r="R41" s="53">
        <f t="shared" si="14"/>
        <v>500570</v>
      </c>
      <c r="S41" s="53">
        <f t="shared" si="14"/>
        <v>511631</v>
      </c>
      <c r="T41" s="53">
        <f t="shared" si="14"/>
        <v>0</v>
      </c>
      <c r="U41" s="53">
        <f t="shared" si="14"/>
        <v>0</v>
      </c>
      <c r="V41" s="53">
        <f t="shared" si="14"/>
        <v>0</v>
      </c>
    </row>
    <row r="42" spans="1:22" ht="14.25" customHeight="1" x14ac:dyDescent="0.45">
      <c r="A42" s="16"/>
      <c r="B42" s="16"/>
      <c r="C42" s="16"/>
      <c r="D42" s="16"/>
      <c r="E42" s="16"/>
      <c r="F42" s="16"/>
      <c r="G42" s="16"/>
      <c r="H42" s="16"/>
      <c r="I42" s="16"/>
    </row>
    <row r="43" spans="1:22" ht="14.25" customHeight="1" x14ac:dyDescent="0.45">
      <c r="A43" s="16"/>
      <c r="B43" s="12" t="s">
        <v>141</v>
      </c>
      <c r="C43" s="16"/>
      <c r="D43" s="16"/>
      <c r="E43" s="16"/>
      <c r="F43" s="16"/>
      <c r="G43" s="16"/>
      <c r="H43" s="16"/>
      <c r="I43" s="16"/>
    </row>
    <row r="44" spans="1:22" ht="14.25" customHeight="1" outlineLevel="1" x14ac:dyDescent="0.45">
      <c r="A44" s="16"/>
      <c r="B44" s="16" t="s">
        <v>142</v>
      </c>
      <c r="C44" s="49">
        <f t="shared" ref="C44:C52" si="15">IF(M44="","",M44)</f>
        <v>6382</v>
      </c>
      <c r="D44" s="49">
        <f t="shared" ref="D44:D52" si="16">IF(Q44="","",Q44)</f>
        <v>20044</v>
      </c>
      <c r="E44" s="49" t="str">
        <f t="shared" ref="E44:E52" si="17">IF(U44="","",U44)</f>
        <v/>
      </c>
      <c r="F44" s="50"/>
      <c r="G44" s="50"/>
      <c r="H44" s="50"/>
      <c r="I44" s="16"/>
      <c r="J44" s="51"/>
      <c r="K44" s="51"/>
      <c r="L44" s="51"/>
      <c r="M44" s="52">
        <v>6382</v>
      </c>
      <c r="N44" s="51"/>
      <c r="O44" s="52">
        <v>4138</v>
      </c>
      <c r="P44" s="52">
        <v>14550</v>
      </c>
      <c r="Q44" s="52">
        <v>20044</v>
      </c>
      <c r="R44" s="52">
        <v>55640</v>
      </c>
      <c r="S44" s="52">
        <v>52724</v>
      </c>
      <c r="T44" s="51"/>
      <c r="U44" s="51"/>
      <c r="V44" s="51"/>
    </row>
    <row r="45" spans="1:22" ht="14.25" customHeight="1" outlineLevel="1" x14ac:dyDescent="0.45">
      <c r="A45" s="16"/>
      <c r="B45" s="16" t="s">
        <v>143</v>
      </c>
      <c r="C45" s="49">
        <f t="shared" si="15"/>
        <v>25000</v>
      </c>
      <c r="D45" s="49">
        <f t="shared" si="16"/>
        <v>49982</v>
      </c>
      <c r="E45" s="49" t="str">
        <f t="shared" si="17"/>
        <v/>
      </c>
      <c r="F45" s="50"/>
      <c r="G45" s="50"/>
      <c r="H45" s="50"/>
      <c r="I45" s="16"/>
      <c r="J45" s="51"/>
      <c r="K45" s="51"/>
      <c r="L45" s="51"/>
      <c r="M45" s="52">
        <v>25000</v>
      </c>
      <c r="N45" s="51"/>
      <c r="O45" s="52">
        <v>73173</v>
      </c>
      <c r="P45" s="52">
        <v>50000</v>
      </c>
      <c r="Q45" s="52">
        <v>49982</v>
      </c>
      <c r="R45" s="52">
        <v>0</v>
      </c>
      <c r="S45" s="52">
        <v>11</v>
      </c>
      <c r="T45" s="51"/>
      <c r="U45" s="51"/>
      <c r="V45" s="51"/>
    </row>
    <row r="46" spans="1:22" ht="14.25" customHeight="1" outlineLevel="1" x14ac:dyDescent="0.45">
      <c r="A46" s="16"/>
      <c r="B46" s="16" t="s">
        <v>144</v>
      </c>
      <c r="C46" s="49">
        <f t="shared" si="15"/>
        <v>0</v>
      </c>
      <c r="D46" s="49">
        <f t="shared" si="16"/>
        <v>334</v>
      </c>
      <c r="E46" s="49" t="str">
        <f t="shared" si="17"/>
        <v/>
      </c>
      <c r="F46" s="50"/>
      <c r="G46" s="50"/>
      <c r="H46" s="50"/>
      <c r="I46" s="16"/>
      <c r="J46" s="51"/>
      <c r="K46" s="51"/>
      <c r="L46" s="51"/>
      <c r="M46" s="52">
        <v>0</v>
      </c>
      <c r="N46" s="51"/>
      <c r="O46" s="52">
        <v>273</v>
      </c>
      <c r="P46" s="52">
        <v>445</v>
      </c>
      <c r="Q46" s="52">
        <v>334</v>
      </c>
      <c r="R46" s="52">
        <v>334</v>
      </c>
      <c r="S46" s="52">
        <v>66</v>
      </c>
      <c r="T46" s="51"/>
      <c r="U46" s="51"/>
      <c r="V46" s="51"/>
    </row>
    <row r="47" spans="1:22" ht="14.25" customHeight="1" outlineLevel="1" x14ac:dyDescent="0.45">
      <c r="A47" s="16"/>
      <c r="B47" s="16" t="s">
        <v>145</v>
      </c>
      <c r="C47" s="49">
        <f t="shared" si="15"/>
        <v>4246</v>
      </c>
      <c r="D47" s="49">
        <f t="shared" si="16"/>
        <v>5524</v>
      </c>
      <c r="E47" s="49" t="str">
        <f t="shared" si="17"/>
        <v/>
      </c>
      <c r="F47" s="50"/>
      <c r="G47" s="50"/>
      <c r="H47" s="50"/>
      <c r="I47" s="16"/>
      <c r="J47" s="51"/>
      <c r="K47" s="51"/>
      <c r="L47" s="51"/>
      <c r="M47" s="52">
        <v>4246</v>
      </c>
      <c r="N47" s="51"/>
      <c r="O47" s="52">
        <v>4533</v>
      </c>
      <c r="P47" s="52">
        <v>2566</v>
      </c>
      <c r="Q47" s="52">
        <v>5524</v>
      </c>
      <c r="R47" s="52">
        <v>6213</v>
      </c>
      <c r="S47" s="52">
        <v>6446</v>
      </c>
      <c r="T47" s="51"/>
      <c r="U47" s="51"/>
      <c r="V47" s="51"/>
    </row>
    <row r="48" spans="1:22" ht="14.25" customHeight="1" outlineLevel="1" x14ac:dyDescent="0.45">
      <c r="A48" s="16"/>
      <c r="B48" s="16" t="s">
        <v>146</v>
      </c>
      <c r="C48" s="49">
        <f t="shared" si="15"/>
        <v>49421</v>
      </c>
      <c r="D48" s="49">
        <f t="shared" si="16"/>
        <v>54028</v>
      </c>
      <c r="E48" s="49" t="str">
        <f t="shared" si="17"/>
        <v/>
      </c>
      <c r="F48" s="50"/>
      <c r="G48" s="50"/>
      <c r="H48" s="50"/>
      <c r="I48" s="16"/>
      <c r="J48" s="51"/>
      <c r="K48" s="51"/>
      <c r="L48" s="51"/>
      <c r="M48" s="52">
        <v>49421</v>
      </c>
      <c r="N48" s="51"/>
      <c r="O48" s="52">
        <v>44104</v>
      </c>
      <c r="P48" s="52">
        <v>48212</v>
      </c>
      <c r="Q48" s="52">
        <v>54028</v>
      </c>
      <c r="R48" s="52">
        <v>58092</v>
      </c>
      <c r="S48" s="52">
        <v>61697</v>
      </c>
      <c r="T48" s="51"/>
      <c r="U48" s="51"/>
      <c r="V48" s="51"/>
    </row>
    <row r="49" spans="1:22" ht="14.25" customHeight="1" outlineLevel="1" x14ac:dyDescent="0.45">
      <c r="A49" s="16"/>
      <c r="B49" s="16" t="s">
        <v>528</v>
      </c>
      <c r="C49" s="49"/>
      <c r="D49" s="49"/>
      <c r="E49" s="49"/>
      <c r="F49" s="50"/>
      <c r="G49" s="50"/>
      <c r="H49" s="50"/>
      <c r="I49" s="16"/>
      <c r="J49" s="51"/>
      <c r="K49" s="51"/>
      <c r="L49" s="51"/>
      <c r="M49" s="52"/>
      <c r="N49" s="51"/>
      <c r="O49" s="52"/>
      <c r="P49" s="52"/>
      <c r="Q49" s="52"/>
      <c r="R49" s="52"/>
      <c r="S49" s="52">
        <v>4108</v>
      </c>
      <c r="T49" s="51"/>
      <c r="U49" s="51"/>
      <c r="V49" s="51"/>
    </row>
    <row r="50" spans="1:22" ht="14.25" customHeight="1" x14ac:dyDescent="0.45">
      <c r="A50" s="16"/>
      <c r="B50" s="12" t="s">
        <v>147</v>
      </c>
      <c r="C50" s="53">
        <f t="shared" si="15"/>
        <v>85049</v>
      </c>
      <c r="D50" s="53">
        <f t="shared" si="16"/>
        <v>129912</v>
      </c>
      <c r="E50" s="53">
        <f t="shared" si="17"/>
        <v>0</v>
      </c>
      <c r="F50" s="54"/>
      <c r="G50" s="54"/>
      <c r="H50" s="54"/>
      <c r="I50" s="16"/>
      <c r="J50" s="53">
        <f t="shared" ref="J50:R50" si="18">SUM(J44:J49)</f>
        <v>0</v>
      </c>
      <c r="K50" s="53">
        <f t="shared" si="18"/>
        <v>0</v>
      </c>
      <c r="L50" s="53">
        <f t="shared" si="18"/>
        <v>0</v>
      </c>
      <c r="M50" s="53">
        <f t="shared" si="18"/>
        <v>85049</v>
      </c>
      <c r="N50" s="53">
        <f t="shared" si="18"/>
        <v>0</v>
      </c>
      <c r="O50" s="53">
        <f t="shared" si="18"/>
        <v>126221</v>
      </c>
      <c r="P50" s="53">
        <f t="shared" si="18"/>
        <v>115773</v>
      </c>
      <c r="Q50" s="53">
        <f t="shared" si="18"/>
        <v>129912</v>
      </c>
      <c r="R50" s="53">
        <f t="shared" si="18"/>
        <v>120279</v>
      </c>
      <c r="S50" s="53">
        <f>SUM(S44:S49)</f>
        <v>125052</v>
      </c>
      <c r="T50" s="53">
        <f t="shared" ref="T50:V50" si="19">T44+T45+T46+T47+T48</f>
        <v>0</v>
      </c>
      <c r="U50" s="53">
        <f t="shared" si="19"/>
        <v>0</v>
      </c>
      <c r="V50" s="53">
        <f t="shared" si="19"/>
        <v>0</v>
      </c>
    </row>
    <row r="51" spans="1:22" ht="14.25" customHeight="1" x14ac:dyDescent="0.45">
      <c r="A51" s="16"/>
      <c r="B51" s="12" t="s">
        <v>148</v>
      </c>
      <c r="C51" s="53">
        <f t="shared" si="15"/>
        <v>646753</v>
      </c>
      <c r="D51" s="53">
        <f t="shared" si="16"/>
        <v>658175</v>
      </c>
      <c r="E51" s="53">
        <f t="shared" si="17"/>
        <v>0</v>
      </c>
      <c r="F51" s="54"/>
      <c r="G51" s="54"/>
      <c r="H51" s="54"/>
      <c r="I51" s="16"/>
      <c r="J51" s="53">
        <f t="shared" ref="J51:V51" si="20">J41+J50</f>
        <v>0</v>
      </c>
      <c r="K51" s="53">
        <f t="shared" si="20"/>
        <v>0</v>
      </c>
      <c r="L51" s="53">
        <f t="shared" si="20"/>
        <v>0</v>
      </c>
      <c r="M51" s="53">
        <f t="shared" si="20"/>
        <v>646753</v>
      </c>
      <c r="N51" s="53">
        <f t="shared" si="20"/>
        <v>0</v>
      </c>
      <c r="O51" s="53">
        <f t="shared" si="20"/>
        <v>688310</v>
      </c>
      <c r="P51" s="53">
        <f t="shared" si="20"/>
        <v>645330</v>
      </c>
      <c r="Q51" s="53">
        <f t="shared" si="20"/>
        <v>658175</v>
      </c>
      <c r="R51" s="53">
        <f t="shared" si="20"/>
        <v>620849</v>
      </c>
      <c r="S51" s="53">
        <f t="shared" si="20"/>
        <v>636683</v>
      </c>
      <c r="T51" s="53">
        <f t="shared" si="20"/>
        <v>0</v>
      </c>
      <c r="U51" s="53">
        <f t="shared" si="20"/>
        <v>0</v>
      </c>
      <c r="V51" s="53">
        <f t="shared" si="20"/>
        <v>0</v>
      </c>
    </row>
    <row r="52" spans="1:22" ht="14.25" customHeight="1" x14ac:dyDescent="0.45">
      <c r="A52" s="16"/>
      <c r="B52" s="12" t="s">
        <v>149</v>
      </c>
      <c r="C52" s="53">
        <f t="shared" si="15"/>
        <v>2400659</v>
      </c>
      <c r="D52" s="53">
        <f t="shared" si="16"/>
        <v>3298329</v>
      </c>
      <c r="E52" s="53">
        <f t="shared" si="17"/>
        <v>0</v>
      </c>
      <c r="F52" s="54"/>
      <c r="G52" s="54"/>
      <c r="H52" s="54"/>
      <c r="I52" s="16"/>
      <c r="J52" s="53">
        <f t="shared" ref="J52:V52" si="21">J31-J51</f>
        <v>0</v>
      </c>
      <c r="K52" s="53">
        <f t="shared" si="21"/>
        <v>0</v>
      </c>
      <c r="L52" s="53">
        <f t="shared" si="21"/>
        <v>0</v>
      </c>
      <c r="M52" s="53">
        <f t="shared" si="21"/>
        <v>2400659</v>
      </c>
      <c r="N52" s="53">
        <f t="shared" si="21"/>
        <v>0</v>
      </c>
      <c r="O52" s="53">
        <f t="shared" si="21"/>
        <v>2551200</v>
      </c>
      <c r="P52" s="53">
        <f t="shared" si="21"/>
        <v>3978052</v>
      </c>
      <c r="Q52" s="53">
        <f t="shared" si="21"/>
        <v>3298329</v>
      </c>
      <c r="R52" s="53">
        <f t="shared" si="21"/>
        <v>2703207</v>
      </c>
      <c r="S52" s="53">
        <f t="shared" si="21"/>
        <v>2460030</v>
      </c>
      <c r="T52" s="53">
        <f t="shared" si="21"/>
        <v>0</v>
      </c>
      <c r="U52" s="53">
        <f t="shared" si="21"/>
        <v>0</v>
      </c>
      <c r="V52" s="53">
        <f t="shared" si="21"/>
        <v>0</v>
      </c>
    </row>
    <row r="53" spans="1:22" ht="14.25" customHeight="1" x14ac:dyDescent="0.45">
      <c r="A53" s="16"/>
      <c r="B53" s="16"/>
      <c r="C53" s="16"/>
      <c r="D53" s="16"/>
      <c r="E53" s="16"/>
      <c r="F53" s="16"/>
      <c r="G53" s="16"/>
      <c r="H53" s="16"/>
      <c r="I53" s="16"/>
    </row>
    <row r="54" spans="1:22" ht="14.25" customHeight="1" x14ac:dyDescent="0.45">
      <c r="A54" s="16"/>
      <c r="B54" s="35" t="s">
        <v>150</v>
      </c>
      <c r="C54" s="48"/>
      <c r="D54" s="48"/>
      <c r="E54" s="48"/>
      <c r="F54" s="48"/>
      <c r="G54" s="48"/>
      <c r="H54" s="48"/>
      <c r="I54" s="16"/>
      <c r="J54" s="36"/>
      <c r="K54" s="36"/>
      <c r="L54" s="36"/>
      <c r="M54" s="36"/>
      <c r="N54" s="36"/>
      <c r="O54" s="36"/>
      <c r="P54" s="36"/>
      <c r="Q54" s="36"/>
      <c r="R54" s="36"/>
      <c r="S54" s="36"/>
      <c r="T54" s="36"/>
      <c r="U54" s="36"/>
      <c r="V54" s="36"/>
    </row>
    <row r="55" spans="1:22" ht="14.25" customHeight="1" outlineLevel="1" x14ac:dyDescent="0.45">
      <c r="A55" s="16"/>
      <c r="B55" s="16" t="s">
        <v>151</v>
      </c>
      <c r="C55" s="49">
        <f t="shared" ref="C55:C61" si="22">IF(M55="","",M55)</f>
        <v>3821537</v>
      </c>
      <c r="D55" s="49">
        <f t="shared" ref="D55:D61" si="23">IF(Q55="","",Q55)</f>
        <v>5110063</v>
      </c>
      <c r="E55" s="49" t="str">
        <f t="shared" ref="E55:E61" si="24">IF(U55="","",U55)</f>
        <v/>
      </c>
      <c r="F55" s="50"/>
      <c r="G55" s="50"/>
      <c r="H55" s="50"/>
      <c r="I55" s="16"/>
      <c r="J55" s="51"/>
      <c r="K55" s="51"/>
      <c r="L55" s="51"/>
      <c r="M55" s="52">
        <v>3821537</v>
      </c>
      <c r="N55" s="51"/>
      <c r="O55" s="52">
        <v>3821537</v>
      </c>
      <c r="P55" s="52">
        <v>5105631</v>
      </c>
      <c r="Q55" s="52">
        <v>5110063</v>
      </c>
      <c r="R55" s="52">
        <v>5119254</v>
      </c>
      <c r="S55" s="52">
        <v>5124909</v>
      </c>
      <c r="T55" s="51"/>
      <c r="U55" s="51"/>
      <c r="V55" s="51"/>
    </row>
    <row r="56" spans="1:22" ht="14.25" customHeight="1" outlineLevel="1" x14ac:dyDescent="0.45">
      <c r="A56" s="16"/>
      <c r="B56" s="16" t="s">
        <v>152</v>
      </c>
      <c r="C56" s="49">
        <f t="shared" si="22"/>
        <v>18399</v>
      </c>
      <c r="D56" s="49">
        <f t="shared" si="23"/>
        <v>0</v>
      </c>
      <c r="E56" s="49" t="str">
        <f t="shared" si="24"/>
        <v/>
      </c>
      <c r="F56" s="50"/>
      <c r="G56" s="50"/>
      <c r="H56" s="50"/>
      <c r="I56" s="16"/>
      <c r="J56" s="51"/>
      <c r="K56" s="51"/>
      <c r="L56" s="51"/>
      <c r="M56" s="52">
        <v>18399</v>
      </c>
      <c r="N56" s="51"/>
      <c r="O56" s="52">
        <v>18399</v>
      </c>
      <c r="P56" s="52">
        <v>0</v>
      </c>
      <c r="Q56" s="52">
        <v>0</v>
      </c>
      <c r="R56" s="52">
        <v>0</v>
      </c>
      <c r="S56" s="52">
        <v>0</v>
      </c>
      <c r="T56" s="51"/>
      <c r="U56" s="51"/>
      <c r="V56" s="51"/>
    </row>
    <row r="57" spans="1:22" ht="14.25" customHeight="1" outlineLevel="1" x14ac:dyDescent="0.45">
      <c r="A57" s="16"/>
      <c r="B57" s="16" t="s">
        <v>153</v>
      </c>
      <c r="C57" s="49">
        <f t="shared" si="22"/>
        <v>858797</v>
      </c>
      <c r="D57" s="49">
        <f t="shared" si="23"/>
        <v>774224</v>
      </c>
      <c r="E57" s="49" t="str">
        <f t="shared" si="24"/>
        <v/>
      </c>
      <c r="F57" s="50"/>
      <c r="G57" s="50"/>
      <c r="H57" s="50"/>
      <c r="I57" s="16"/>
      <c r="J57" s="51"/>
      <c r="K57" s="51"/>
      <c r="L57" s="51"/>
      <c r="M57" s="52">
        <v>858797</v>
      </c>
      <c r="N57" s="51"/>
      <c r="O57" s="52">
        <v>1073863</v>
      </c>
      <c r="P57" s="52">
        <v>1101668</v>
      </c>
      <c r="Q57" s="52">
        <v>774224</v>
      </c>
      <c r="R57" s="52">
        <v>390214</v>
      </c>
      <c r="S57" s="52">
        <v>414108</v>
      </c>
      <c r="T57" s="51"/>
      <c r="U57" s="51"/>
      <c r="V57" s="51"/>
    </row>
    <row r="58" spans="1:22" ht="14.25" customHeight="1" outlineLevel="1" x14ac:dyDescent="0.45">
      <c r="A58" s="16"/>
      <c r="B58" s="27" t="s">
        <v>154</v>
      </c>
      <c r="C58" s="55">
        <f t="shared" si="22"/>
        <v>-2309053</v>
      </c>
      <c r="D58" s="55">
        <f t="shared" si="23"/>
        <v>-2668100</v>
      </c>
      <c r="E58" s="55" t="str">
        <f t="shared" si="24"/>
        <v/>
      </c>
      <c r="F58" s="56"/>
      <c r="G58" s="56"/>
      <c r="H58" s="56"/>
      <c r="I58" s="27"/>
      <c r="J58" s="51"/>
      <c r="K58" s="51"/>
      <c r="L58" s="51"/>
      <c r="M58" s="52">
        <v>-2309053</v>
      </c>
      <c r="N58" s="51"/>
      <c r="O58" s="52">
        <v>-2375625</v>
      </c>
      <c r="P58" s="52">
        <v>-2290225</v>
      </c>
      <c r="Q58" s="52">
        <v>-2668100</v>
      </c>
      <c r="R58" s="52">
        <v>-2860139</v>
      </c>
      <c r="S58" s="52">
        <v>-3123985</v>
      </c>
      <c r="T58" s="51"/>
      <c r="U58" s="51"/>
      <c r="V58" s="51"/>
    </row>
    <row r="59" spans="1:22" ht="14.25" customHeight="1" x14ac:dyDescent="0.45">
      <c r="A59" s="16"/>
      <c r="B59" s="12" t="s">
        <v>155</v>
      </c>
      <c r="C59" s="53">
        <f t="shared" si="22"/>
        <v>2389680</v>
      </c>
      <c r="D59" s="53">
        <f t="shared" si="23"/>
        <v>3216187</v>
      </c>
      <c r="E59" s="53">
        <f t="shared" si="24"/>
        <v>0</v>
      </c>
      <c r="F59" s="54"/>
      <c r="G59" s="54"/>
      <c r="H59" s="54"/>
      <c r="I59" s="16"/>
      <c r="J59" s="53">
        <f t="shared" ref="J59:V59" si="25">J55+J56+J57+J58</f>
        <v>0</v>
      </c>
      <c r="K59" s="53">
        <f t="shared" si="25"/>
        <v>0</v>
      </c>
      <c r="L59" s="53">
        <f t="shared" si="25"/>
        <v>0</v>
      </c>
      <c r="M59" s="53">
        <f t="shared" si="25"/>
        <v>2389680</v>
      </c>
      <c r="N59" s="53">
        <f t="shared" si="25"/>
        <v>0</v>
      </c>
      <c r="O59" s="53">
        <f t="shared" si="25"/>
        <v>2538174</v>
      </c>
      <c r="P59" s="53">
        <f t="shared" si="25"/>
        <v>3917074</v>
      </c>
      <c r="Q59" s="53">
        <f t="shared" si="25"/>
        <v>3216187</v>
      </c>
      <c r="R59" s="53">
        <f t="shared" si="25"/>
        <v>2649329</v>
      </c>
      <c r="S59" s="53">
        <f t="shared" si="25"/>
        <v>2415032</v>
      </c>
      <c r="T59" s="53">
        <f t="shared" si="25"/>
        <v>0</v>
      </c>
      <c r="U59" s="53">
        <f t="shared" si="25"/>
        <v>0</v>
      </c>
      <c r="V59" s="53">
        <f t="shared" si="25"/>
        <v>0</v>
      </c>
    </row>
    <row r="60" spans="1:22" ht="14.25" customHeight="1" outlineLevel="1" x14ac:dyDescent="0.45">
      <c r="A60" s="16"/>
      <c r="B60" s="16" t="s">
        <v>156</v>
      </c>
      <c r="C60" s="49">
        <f t="shared" si="22"/>
        <v>10979</v>
      </c>
      <c r="D60" s="49">
        <f t="shared" si="23"/>
        <v>82142</v>
      </c>
      <c r="E60" s="49" t="str">
        <f t="shared" si="24"/>
        <v/>
      </c>
      <c r="F60" s="50"/>
      <c r="G60" s="50"/>
      <c r="H60" s="50"/>
      <c r="I60" s="16"/>
      <c r="J60" s="51"/>
      <c r="K60" s="51"/>
      <c r="L60" s="51"/>
      <c r="M60" s="52">
        <v>10979</v>
      </c>
      <c r="N60" s="51"/>
      <c r="O60" s="52">
        <v>13140</v>
      </c>
      <c r="P60" s="52">
        <v>60978</v>
      </c>
      <c r="Q60" s="52">
        <v>82142</v>
      </c>
      <c r="R60" s="52">
        <v>53878</v>
      </c>
      <c r="S60" s="51">
        <v>44998</v>
      </c>
      <c r="T60" s="51"/>
      <c r="U60" s="51"/>
      <c r="V60" s="51"/>
    </row>
    <row r="61" spans="1:22" ht="14.25" customHeight="1" x14ac:dyDescent="0.45">
      <c r="A61" s="16"/>
      <c r="B61" s="12" t="s">
        <v>157</v>
      </c>
      <c r="C61" s="53">
        <f t="shared" si="22"/>
        <v>2400659</v>
      </c>
      <c r="D61" s="53">
        <f t="shared" si="23"/>
        <v>3298329</v>
      </c>
      <c r="E61" s="53">
        <f t="shared" si="24"/>
        <v>0</v>
      </c>
      <c r="F61" s="54"/>
      <c r="G61" s="54"/>
      <c r="H61" s="54"/>
      <c r="I61" s="16"/>
      <c r="J61" s="53">
        <f t="shared" ref="J61:V61" si="26">J59+J60</f>
        <v>0</v>
      </c>
      <c r="K61" s="53">
        <f t="shared" si="26"/>
        <v>0</v>
      </c>
      <c r="L61" s="53">
        <f t="shared" si="26"/>
        <v>0</v>
      </c>
      <c r="M61" s="53">
        <f t="shared" si="26"/>
        <v>2400659</v>
      </c>
      <c r="N61" s="53">
        <f t="shared" si="26"/>
        <v>0</v>
      </c>
      <c r="O61" s="53">
        <f t="shared" si="26"/>
        <v>2551314</v>
      </c>
      <c r="P61" s="53">
        <f t="shared" si="26"/>
        <v>3978052</v>
      </c>
      <c r="Q61" s="53">
        <f t="shared" si="26"/>
        <v>3298329</v>
      </c>
      <c r="R61" s="53">
        <f t="shared" si="26"/>
        <v>2703207</v>
      </c>
      <c r="S61" s="53">
        <f t="shared" si="26"/>
        <v>2460030</v>
      </c>
      <c r="T61" s="53">
        <f t="shared" si="26"/>
        <v>0</v>
      </c>
      <c r="U61" s="53">
        <f t="shared" si="26"/>
        <v>0</v>
      </c>
      <c r="V61" s="53">
        <f t="shared" si="26"/>
        <v>0</v>
      </c>
    </row>
    <row r="62" spans="1:22" ht="14.25" customHeight="1" x14ac:dyDescent="0.45">
      <c r="A62" s="16"/>
      <c r="B62" s="16" t="s">
        <v>158</v>
      </c>
      <c r="C62" s="16"/>
      <c r="D62" s="16"/>
      <c r="E62" s="16"/>
      <c r="F62" s="16"/>
      <c r="G62" s="16"/>
      <c r="H62" s="16"/>
      <c r="I62" s="16"/>
      <c r="J62" s="57">
        <f t="shared" ref="J62:V62" si="27">IF(J31="","",J61+J51-J31)</f>
        <v>0</v>
      </c>
      <c r="K62" s="57">
        <f t="shared" si="27"/>
        <v>0</v>
      </c>
      <c r="L62" s="57">
        <f t="shared" si="27"/>
        <v>0</v>
      </c>
      <c r="M62" s="57">
        <f t="shared" si="27"/>
        <v>0</v>
      </c>
      <c r="N62" s="57">
        <f t="shared" si="27"/>
        <v>0</v>
      </c>
      <c r="O62" s="57">
        <f t="shared" si="27"/>
        <v>114</v>
      </c>
      <c r="P62" s="57">
        <f t="shared" si="27"/>
        <v>0</v>
      </c>
      <c r="Q62" s="57">
        <f t="shared" si="27"/>
        <v>0</v>
      </c>
      <c r="R62" s="57">
        <f t="shared" si="27"/>
        <v>0</v>
      </c>
      <c r="S62" s="57">
        <f t="shared" si="27"/>
        <v>0</v>
      </c>
      <c r="T62" s="57">
        <f t="shared" si="27"/>
        <v>0</v>
      </c>
      <c r="U62" s="57">
        <f t="shared" si="27"/>
        <v>0</v>
      </c>
      <c r="V62" s="57">
        <f t="shared" si="27"/>
        <v>0</v>
      </c>
    </row>
    <row r="63" spans="1:22" ht="14.25" customHeight="1" x14ac:dyDescent="0.45">
      <c r="A63" s="16"/>
      <c r="B63" s="16"/>
      <c r="C63" s="16"/>
      <c r="D63" s="16"/>
      <c r="E63" s="16"/>
      <c r="F63" s="16"/>
      <c r="G63" s="16"/>
      <c r="H63" s="16"/>
      <c r="I63" s="16"/>
    </row>
    <row r="64" spans="1:22" ht="14.25" customHeight="1" x14ac:dyDescent="0.45">
      <c r="A64" s="16"/>
      <c r="B64" s="16"/>
      <c r="C64" s="16"/>
      <c r="D64" s="16"/>
      <c r="E64" s="16"/>
      <c r="F64" s="16"/>
      <c r="G64" s="16"/>
      <c r="H64" s="16"/>
      <c r="I64" s="16"/>
    </row>
    <row r="65" spans="2:22" ht="14.25" customHeight="1" x14ac:dyDescent="0.45">
      <c r="B65" s="35" t="s">
        <v>159</v>
      </c>
      <c r="C65" s="36"/>
      <c r="D65" s="36"/>
      <c r="E65" s="36"/>
      <c r="F65" s="36"/>
      <c r="G65" s="36"/>
      <c r="H65" s="36"/>
      <c r="J65" s="36"/>
      <c r="K65" s="36"/>
      <c r="L65" s="36"/>
      <c r="M65" s="36"/>
      <c r="N65" s="36"/>
      <c r="O65" s="36"/>
      <c r="P65" s="36"/>
      <c r="Q65" s="36"/>
      <c r="R65" s="36"/>
      <c r="S65" s="36"/>
      <c r="T65" s="36"/>
      <c r="U65" s="36"/>
      <c r="V65" s="36"/>
    </row>
    <row r="66" spans="2:22" ht="14.25" customHeight="1" x14ac:dyDescent="0.45">
      <c r="B66" s="16" t="s">
        <v>160</v>
      </c>
      <c r="C66" s="17">
        <f>IF(M66="","",M66)</f>
        <v>2868.9</v>
      </c>
      <c r="D66" s="17">
        <f>IF(Q66="","",Q66)</f>
        <v>3719.7</v>
      </c>
      <c r="E66" s="17" t="str">
        <f>IF(U66="","",U66)</f>
        <v/>
      </c>
      <c r="F66" s="33"/>
      <c r="G66" s="33"/>
      <c r="H66" s="33"/>
      <c r="J66" s="33"/>
      <c r="K66" s="33"/>
      <c r="L66" s="33"/>
      <c r="M66" s="18">
        <v>2868.9</v>
      </c>
      <c r="N66" s="33"/>
      <c r="O66" s="18">
        <v>3064.2</v>
      </c>
      <c r="P66" s="18">
        <v>4419.5</v>
      </c>
      <c r="Q66" s="18">
        <v>3719.7</v>
      </c>
      <c r="R66" s="18">
        <v>3043</v>
      </c>
      <c r="S66" s="18">
        <v>2807.3150000000001</v>
      </c>
      <c r="T66" s="33"/>
      <c r="U66" s="33"/>
      <c r="V66" s="33"/>
    </row>
    <row r="67" spans="2:22" ht="14.25" customHeight="1" x14ac:dyDescent="0.45">
      <c r="B67" s="16" t="s">
        <v>161</v>
      </c>
      <c r="C67" s="17">
        <f>IF(M67="","",M67)</f>
        <v>1696.1</v>
      </c>
      <c r="D67" s="17">
        <f>IF(Q67="","",Q67)</f>
        <v>2859.7</v>
      </c>
      <c r="E67" s="17" t="str">
        <f>IF(U67="","",U67)</f>
        <v/>
      </c>
      <c r="F67" s="33"/>
      <c r="G67" s="33"/>
      <c r="H67" s="33"/>
      <c r="J67" s="33"/>
      <c r="K67" s="33"/>
      <c r="L67" s="33"/>
      <c r="M67" s="18">
        <v>1696.1</v>
      </c>
      <c r="N67" s="33"/>
      <c r="O67" s="18">
        <v>2179.3000000000002</v>
      </c>
      <c r="P67" s="18">
        <v>3485</v>
      </c>
      <c r="Q67" s="18">
        <v>2859.7</v>
      </c>
      <c r="R67" s="18">
        <v>2271.8000000000002</v>
      </c>
      <c r="S67" s="18">
        <v>2101.5709999999999</v>
      </c>
      <c r="T67" s="33"/>
      <c r="U67" s="33"/>
      <c r="V67" s="33"/>
    </row>
    <row r="69" spans="2:22" ht="14.25" customHeight="1" x14ac:dyDescent="0.45">
      <c r="B69" s="41" t="s">
        <v>105</v>
      </c>
    </row>
    <row r="70" spans="2:22" ht="27.75" customHeight="1" x14ac:dyDescent="0.45">
      <c r="B70" s="42" t="s">
        <v>162</v>
      </c>
    </row>
    <row r="71" spans="2:22" ht="27.75" customHeight="1" x14ac:dyDescent="0.45">
      <c r="B71" s="42" t="s">
        <v>163</v>
      </c>
    </row>
    <row r="72" spans="2:22" ht="27.75" customHeight="1" x14ac:dyDescent="0.45">
      <c r="B72" s="42" t="s">
        <v>164</v>
      </c>
    </row>
    <row r="73" spans="2:22" ht="27.75" customHeight="1" x14ac:dyDescent="0.45">
      <c r="B73" s="42" t="s">
        <v>165</v>
      </c>
    </row>
    <row r="74" spans="2:22" ht="27.75" customHeight="1" x14ac:dyDescent="0.45">
      <c r="B74" s="42" t="s">
        <v>166</v>
      </c>
    </row>
    <row r="75" spans="2:22" ht="54.75" customHeight="1" x14ac:dyDescent="0.45">
      <c r="B75" s="42" t="s">
        <v>167</v>
      </c>
    </row>
    <row r="76" spans="2:22" ht="18.75" customHeight="1" x14ac:dyDescent="0.45">
      <c r="B76" s="42" t="s">
        <v>168</v>
      </c>
    </row>
    <row r="78" spans="2:22" ht="53.25" customHeight="1" x14ac:dyDescent="0.45">
      <c r="B78" s="8" t="s">
        <v>169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V76"/>
  <sheetViews>
    <sheetView zoomScale="73" zoomScaleNormal="85" workbookViewId="0"/>
  </sheetViews>
  <sheetFormatPr defaultColWidth="8.6640625" defaultRowHeight="14.25" outlineLevelRow="1" x14ac:dyDescent="0.45"/>
  <cols>
    <col min="1" max="1" width="3" customWidth="1"/>
    <col min="2" max="2" width="46" customWidth="1"/>
    <col min="3" max="11" width="11" customWidth="1"/>
    <col min="12" max="12" width="13" customWidth="1"/>
    <col min="13" max="13" width="10.19921875" customWidth="1"/>
    <col min="14" max="14" width="9.19921875" customWidth="1"/>
    <col min="15" max="16" width="13" customWidth="1"/>
    <col min="17" max="17" width="10.19921875" customWidth="1"/>
    <col min="18" max="18" width="9.19921875" customWidth="1"/>
    <col min="19" max="20" width="13" customWidth="1"/>
    <col min="21" max="21" width="10.19921875" customWidth="1"/>
    <col min="22" max="22" width="9.19921875" customWidth="1"/>
  </cols>
  <sheetData>
    <row r="1" spans="1:22" ht="14.25" customHeight="1" x14ac:dyDescent="0.45">
      <c r="A1" s="16"/>
      <c r="B1" s="16"/>
      <c r="C1" s="16"/>
      <c r="D1" s="16"/>
      <c r="E1" s="16"/>
      <c r="F1" s="16"/>
      <c r="G1" s="16"/>
      <c r="H1" s="16"/>
      <c r="I1" s="16"/>
      <c r="J1" s="16"/>
      <c r="K1" s="16"/>
      <c r="L1" s="16"/>
    </row>
    <row r="2" spans="1:22" ht="20.25" customHeight="1" x14ac:dyDescent="0.6">
      <c r="A2" s="16"/>
      <c r="B2" s="7" t="s">
        <v>170</v>
      </c>
      <c r="C2" s="16"/>
      <c r="D2" s="16"/>
      <c r="E2" s="16"/>
      <c r="F2" s="16"/>
      <c r="G2" s="16"/>
      <c r="H2" s="16"/>
      <c r="I2" s="16"/>
      <c r="J2" s="16"/>
      <c r="K2" s="16"/>
      <c r="L2" s="16"/>
    </row>
    <row r="3" spans="1:22" ht="39.75" customHeight="1" x14ac:dyDescent="0.45">
      <c r="A3" s="16"/>
      <c r="B3" s="43" t="s">
        <v>171</v>
      </c>
      <c r="C3" s="16"/>
      <c r="D3" s="16"/>
      <c r="E3" s="16"/>
      <c r="F3" s="16"/>
      <c r="G3" s="16"/>
      <c r="H3" s="16"/>
      <c r="I3" s="16"/>
      <c r="J3" s="16"/>
      <c r="K3" s="16"/>
      <c r="L3" s="16"/>
    </row>
    <row r="4" spans="1:22" ht="14.25" customHeight="1" x14ac:dyDescent="0.45">
      <c r="A4" s="16"/>
      <c r="B4" s="16"/>
      <c r="C4" s="16"/>
      <c r="D4" s="16"/>
      <c r="E4" s="16"/>
      <c r="F4" s="16"/>
      <c r="G4" s="16"/>
      <c r="H4" s="16"/>
      <c r="I4" s="16"/>
      <c r="J4" s="16"/>
      <c r="K4" s="16"/>
      <c r="L4" s="16"/>
    </row>
    <row r="5" spans="1:22" ht="14.25" customHeight="1" x14ac:dyDescent="0.45">
      <c r="A5" s="16"/>
      <c r="B5" s="16"/>
      <c r="C5" s="16"/>
      <c r="D5" s="16"/>
      <c r="E5" s="16"/>
      <c r="F5" s="16"/>
      <c r="G5" s="16"/>
      <c r="H5" s="16"/>
      <c r="I5" s="16"/>
      <c r="J5">
        <f t="shared" ref="J5:V5" si="0">YEAR(J6)</f>
        <v>2024</v>
      </c>
      <c r="K5">
        <f t="shared" si="0"/>
        <v>2024</v>
      </c>
      <c r="L5">
        <f t="shared" si="0"/>
        <v>2024</v>
      </c>
      <c r="M5">
        <f t="shared" si="0"/>
        <v>2024</v>
      </c>
      <c r="N5">
        <f t="shared" si="0"/>
        <v>2025</v>
      </c>
      <c r="O5">
        <f t="shared" si="0"/>
        <v>2025</v>
      </c>
      <c r="P5">
        <f t="shared" si="0"/>
        <v>2025</v>
      </c>
      <c r="Q5">
        <f t="shared" si="0"/>
        <v>2025</v>
      </c>
      <c r="R5">
        <f t="shared" si="0"/>
        <v>2026</v>
      </c>
      <c r="S5">
        <f t="shared" si="0"/>
        <v>2026</v>
      </c>
      <c r="T5">
        <f t="shared" si="0"/>
        <v>2026</v>
      </c>
      <c r="U5">
        <f t="shared" si="0"/>
        <v>2026</v>
      </c>
      <c r="V5">
        <f t="shared" si="0"/>
        <v>2027</v>
      </c>
    </row>
    <row r="6" spans="1:22" ht="18" customHeight="1" x14ac:dyDescent="0.45">
      <c r="A6" s="16"/>
      <c r="B6" s="58"/>
      <c r="C6" s="16"/>
      <c r="D6" s="16"/>
      <c r="E6" s="16"/>
      <c r="F6" s="16"/>
      <c r="G6" s="16"/>
      <c r="H6" s="16"/>
      <c r="I6" s="16"/>
      <c r="J6" s="9">
        <v>45354</v>
      </c>
      <c r="K6" s="9">
        <f t="shared" ref="K6" si="1">EOMONTH(J6,3)</f>
        <v>45473</v>
      </c>
      <c r="L6" s="9">
        <f t="shared" ref="L6" si="2">EOMONTH(K6,3)</f>
        <v>45565</v>
      </c>
      <c r="M6" s="9">
        <f t="shared" ref="M6" si="3">EOMONTH(L6,3)</f>
        <v>45657</v>
      </c>
      <c r="N6" s="9">
        <f t="shared" ref="N6" si="4">EOMONTH(M6,3)</f>
        <v>45747</v>
      </c>
      <c r="O6" s="9">
        <f t="shared" ref="O6" si="5">EOMONTH(N6,3)</f>
        <v>45838</v>
      </c>
      <c r="P6" s="9">
        <f t="shared" ref="P6" si="6">EOMONTH(O6,3)</f>
        <v>45930</v>
      </c>
      <c r="Q6" s="9">
        <f t="shared" ref="Q6" si="7">EOMONTH(P6,3)</f>
        <v>46022</v>
      </c>
      <c r="R6" s="9">
        <f t="shared" ref="R6" si="8">EOMONTH(Q6,3)</f>
        <v>46112</v>
      </c>
      <c r="S6" s="9">
        <f t="shared" ref="S6" si="9">EOMONTH(R6,3)</f>
        <v>46203</v>
      </c>
      <c r="T6" s="9">
        <f t="shared" ref="T6" si="10">EOMONTH(S6,3)</f>
        <v>46295</v>
      </c>
      <c r="U6" s="9">
        <f t="shared" ref="U6" si="11">EOMONTH(T6,3)</f>
        <v>46387</v>
      </c>
      <c r="V6" s="9">
        <f t="shared" ref="V6" si="12">EOMONTH(U6,3)</f>
        <v>46477</v>
      </c>
    </row>
    <row r="7" spans="1:22" ht="15" customHeight="1" x14ac:dyDescent="0.45">
      <c r="A7" s="16"/>
      <c r="B7" s="28" t="s">
        <v>172</v>
      </c>
      <c r="C7" s="59"/>
      <c r="D7" s="59"/>
      <c r="E7" s="59"/>
      <c r="F7" s="59"/>
      <c r="G7" s="59"/>
      <c r="H7" s="59"/>
      <c r="I7" s="44"/>
      <c r="J7" s="59"/>
      <c r="K7" s="59"/>
      <c r="L7" s="59"/>
      <c r="M7" s="59"/>
      <c r="N7" s="59"/>
      <c r="O7" s="59"/>
      <c r="P7" s="59"/>
      <c r="Q7" s="59"/>
      <c r="R7" s="59"/>
      <c r="S7" s="59"/>
      <c r="T7" s="59"/>
      <c r="U7" s="59"/>
      <c r="V7" s="59"/>
    </row>
    <row r="8" spans="1:22" ht="14.25" customHeight="1" x14ac:dyDescent="0.45">
      <c r="A8" s="16"/>
      <c r="B8" s="12" t="s">
        <v>109</v>
      </c>
      <c r="C8" s="45">
        <v>2024</v>
      </c>
      <c r="D8" s="45">
        <v>2025</v>
      </c>
      <c r="E8" s="46">
        <f>D8+1</f>
        <v>2026</v>
      </c>
      <c r="F8" s="46">
        <f>E8+1</f>
        <v>2027</v>
      </c>
      <c r="G8" s="46">
        <f>F8+1</f>
        <v>2028</v>
      </c>
      <c r="H8" s="46">
        <f>G8+1</f>
        <v>2029</v>
      </c>
      <c r="I8" s="16"/>
      <c r="J8" s="15" t="str">
        <f>"Q" &amp; INT((MONTH(J6)-1)/3)+1 &amp; " " &amp; YEAR(J6)</f>
        <v>Q1 2024</v>
      </c>
      <c r="K8" s="15" t="str">
        <f t="shared" ref="K8" si="13">"Q" &amp; INT((MONTH(K6)-1)/3)+1 &amp; " " &amp; YEAR(K6)</f>
        <v>Q2 2024</v>
      </c>
      <c r="L8" s="15" t="str">
        <f t="shared" ref="L8:V8" si="14">"Q" &amp; INT((MONTH(L6)-1)/3)+1 &amp; " " &amp; YEAR(L6)</f>
        <v>Q3 2024</v>
      </c>
      <c r="M8" s="15" t="str">
        <f t="shared" si="14"/>
        <v>Q4 2024</v>
      </c>
      <c r="N8" s="15" t="str">
        <f t="shared" si="14"/>
        <v>Q1 2025</v>
      </c>
      <c r="O8" s="15" t="str">
        <f t="shared" si="14"/>
        <v>Q2 2025</v>
      </c>
      <c r="P8" s="15" t="str">
        <f t="shared" si="14"/>
        <v>Q3 2025</v>
      </c>
      <c r="Q8" s="15" t="str">
        <f t="shared" si="14"/>
        <v>Q4 2025</v>
      </c>
      <c r="R8" s="15" t="str">
        <f t="shared" si="14"/>
        <v>Q1 2026</v>
      </c>
      <c r="S8" s="15" t="str">
        <f t="shared" si="14"/>
        <v>Q2 2026</v>
      </c>
      <c r="T8" s="15" t="str">
        <f t="shared" si="14"/>
        <v>Q3 2026</v>
      </c>
      <c r="U8" s="15" t="str">
        <f t="shared" si="14"/>
        <v>Q4 2026</v>
      </c>
      <c r="V8" s="15" t="str">
        <f t="shared" si="14"/>
        <v>Q1 2027</v>
      </c>
    </row>
    <row r="9" spans="1:22" ht="14.25" customHeight="1" x14ac:dyDescent="0.45">
      <c r="A9" s="16"/>
      <c r="B9" s="35" t="s">
        <v>173</v>
      </c>
      <c r="C9" s="48"/>
      <c r="D9" s="48"/>
      <c r="E9" s="48"/>
      <c r="F9" s="48"/>
      <c r="G9" s="48"/>
      <c r="H9" s="48"/>
      <c r="I9" s="16"/>
      <c r="J9" s="48"/>
      <c r="K9" s="48"/>
      <c r="L9" s="48"/>
      <c r="M9" s="36"/>
      <c r="N9" s="36"/>
      <c r="O9" s="36"/>
      <c r="P9" s="36"/>
      <c r="Q9" s="36"/>
      <c r="R9" s="36"/>
      <c r="S9" s="36"/>
      <c r="T9" s="36"/>
      <c r="U9" s="36"/>
      <c r="V9" s="36"/>
    </row>
    <row r="10" spans="1:22" ht="14.25" customHeight="1" x14ac:dyDescent="0.45">
      <c r="A10" s="16"/>
      <c r="B10" s="16" t="s">
        <v>59</v>
      </c>
      <c r="C10" s="49">
        <f t="shared" ref="C10:H10" si="15">SUMIFS($J10:$V10,$J$5:$V$5,C$8)</f>
        <v>-183666</v>
      </c>
      <c r="D10" s="49">
        <f t="shared" si="15"/>
        <v>-221903</v>
      </c>
      <c r="E10" s="49">
        <f t="shared" si="15"/>
        <v>-604862</v>
      </c>
      <c r="F10" s="49">
        <f t="shared" si="15"/>
        <v>0</v>
      </c>
      <c r="G10" s="49">
        <f t="shared" si="15"/>
        <v>0</v>
      </c>
      <c r="H10" s="49">
        <f t="shared" si="15"/>
        <v>0</v>
      </c>
      <c r="I10" s="16"/>
      <c r="J10" s="52">
        <v>-116394</v>
      </c>
      <c r="K10" s="52"/>
      <c r="L10" s="52">
        <v>-67272</v>
      </c>
      <c r="M10" s="51"/>
      <c r="N10" s="52">
        <v>-348622</v>
      </c>
      <c r="O10" s="52">
        <v>108268</v>
      </c>
      <c r="P10" s="52">
        <v>18451</v>
      </c>
      <c r="Q10" s="51"/>
      <c r="R10" s="52">
        <v>-604862</v>
      </c>
      <c r="S10" s="51"/>
      <c r="T10" s="51"/>
      <c r="U10" s="51"/>
      <c r="V10" s="51"/>
    </row>
    <row r="11" spans="1:22" ht="14.25" customHeight="1" x14ac:dyDescent="0.45">
      <c r="A11" s="16"/>
      <c r="B11" s="12" t="s">
        <v>174</v>
      </c>
      <c r="C11" s="16"/>
      <c r="D11" s="16"/>
      <c r="E11" s="16"/>
      <c r="F11" s="16"/>
      <c r="G11" s="16"/>
      <c r="H11" s="16"/>
      <c r="I11" s="16"/>
      <c r="J11" s="16"/>
      <c r="K11" s="16"/>
      <c r="L11" s="16"/>
    </row>
    <row r="12" spans="1:22" ht="14.25" customHeight="1" outlineLevel="1" x14ac:dyDescent="0.45">
      <c r="A12" s="16"/>
      <c r="B12" s="16" t="s">
        <v>175</v>
      </c>
      <c r="C12" s="49">
        <f t="shared" ref="C12:H24" si="16">SUMIFS($J12:$V12,$J$5:$V$5,C$8)</f>
        <v>-4038</v>
      </c>
      <c r="D12" s="49">
        <f t="shared" si="16"/>
        <v>-10329</v>
      </c>
      <c r="E12" s="49">
        <f t="shared" si="16"/>
        <v>-5686</v>
      </c>
      <c r="F12" s="49">
        <f t="shared" si="16"/>
        <v>0</v>
      </c>
      <c r="G12" s="49">
        <f t="shared" si="16"/>
        <v>0</v>
      </c>
      <c r="H12" s="49">
        <f t="shared" si="16"/>
        <v>0</v>
      </c>
      <c r="I12" s="16"/>
      <c r="J12" s="52">
        <v>-1958</v>
      </c>
      <c r="K12" s="52"/>
      <c r="L12" s="52">
        <v>-2080</v>
      </c>
      <c r="M12" s="51"/>
      <c r="N12" s="52">
        <v>-2632</v>
      </c>
      <c r="O12" s="52">
        <v>-3394</v>
      </c>
      <c r="P12" s="52">
        <v>-4303</v>
      </c>
      <c r="Q12" s="51"/>
      <c r="R12" s="52">
        <v>-5686</v>
      </c>
      <c r="S12" s="51"/>
      <c r="T12" s="51"/>
      <c r="U12" s="51"/>
      <c r="V12" s="51"/>
    </row>
    <row r="13" spans="1:22" ht="14.25" customHeight="1" outlineLevel="1" x14ac:dyDescent="0.45">
      <c r="A13" s="16"/>
      <c r="B13" s="16" t="s">
        <v>176</v>
      </c>
      <c r="C13" s="49">
        <f t="shared" si="16"/>
        <v>18314</v>
      </c>
      <c r="D13" s="49">
        <f t="shared" si="16"/>
        <v>36654</v>
      </c>
      <c r="E13" s="49">
        <f t="shared" si="16"/>
        <v>13777</v>
      </c>
      <c r="F13" s="49">
        <f t="shared" si="16"/>
        <v>0</v>
      </c>
      <c r="G13" s="49">
        <f t="shared" si="16"/>
        <v>0</v>
      </c>
      <c r="H13" s="49">
        <f t="shared" si="16"/>
        <v>0</v>
      </c>
      <c r="I13" s="16"/>
      <c r="J13" s="52">
        <v>8715</v>
      </c>
      <c r="K13" s="52"/>
      <c r="L13" s="52">
        <v>9599</v>
      </c>
      <c r="M13" s="51"/>
      <c r="N13" s="52">
        <v>9987</v>
      </c>
      <c r="O13" s="52">
        <v>13013</v>
      </c>
      <c r="P13" s="52">
        <v>13654</v>
      </c>
      <c r="Q13" s="51"/>
      <c r="R13" s="52">
        <v>13777</v>
      </c>
      <c r="S13" s="51"/>
      <c r="T13" s="51"/>
      <c r="U13" s="51"/>
      <c r="V13" s="51"/>
    </row>
    <row r="14" spans="1:22" ht="14.25" customHeight="1" outlineLevel="1" x14ac:dyDescent="0.45">
      <c r="A14" s="16"/>
      <c r="B14" s="16" t="s">
        <v>177</v>
      </c>
      <c r="C14" s="49">
        <f t="shared" si="16"/>
        <v>627</v>
      </c>
      <c r="D14" s="49">
        <f t="shared" si="16"/>
        <v>783</v>
      </c>
      <c r="E14" s="49">
        <f t="shared" si="16"/>
        <v>311</v>
      </c>
      <c r="F14" s="49">
        <f t="shared" si="16"/>
        <v>0</v>
      </c>
      <c r="G14" s="49">
        <f t="shared" si="16"/>
        <v>0</v>
      </c>
      <c r="H14" s="49">
        <f t="shared" si="16"/>
        <v>0</v>
      </c>
      <c r="I14" s="16"/>
      <c r="J14" s="52">
        <v>348</v>
      </c>
      <c r="K14" s="52"/>
      <c r="L14" s="52">
        <v>279</v>
      </c>
      <c r="M14" s="51"/>
      <c r="N14" s="52">
        <v>253</v>
      </c>
      <c r="O14" s="52">
        <v>278</v>
      </c>
      <c r="P14" s="52">
        <v>252</v>
      </c>
      <c r="Q14" s="51"/>
      <c r="R14" s="52">
        <v>311</v>
      </c>
      <c r="S14" s="51"/>
      <c r="T14" s="51"/>
      <c r="U14" s="51"/>
      <c r="V14" s="51"/>
    </row>
    <row r="15" spans="1:22" ht="14.25" customHeight="1" outlineLevel="1" x14ac:dyDescent="0.45">
      <c r="A15" s="16"/>
      <c r="B15" s="16" t="s">
        <v>178</v>
      </c>
      <c r="C15" s="49">
        <f t="shared" si="16"/>
        <v>58</v>
      </c>
      <c r="D15" s="49">
        <f t="shared" si="16"/>
        <v>0</v>
      </c>
      <c r="E15" s="49">
        <f t="shared" si="16"/>
        <v>0</v>
      </c>
      <c r="F15" s="49">
        <f t="shared" si="16"/>
        <v>0</v>
      </c>
      <c r="G15" s="49">
        <f t="shared" si="16"/>
        <v>0</v>
      </c>
      <c r="H15" s="49">
        <f t="shared" si="16"/>
        <v>0</v>
      </c>
      <c r="I15" s="16"/>
      <c r="J15" s="52">
        <v>29</v>
      </c>
      <c r="K15" s="52"/>
      <c r="L15" s="52">
        <v>29</v>
      </c>
      <c r="M15" s="51"/>
      <c r="N15" s="52">
        <v>-262</v>
      </c>
      <c r="O15" s="52">
        <v>218</v>
      </c>
      <c r="P15" s="52">
        <v>44</v>
      </c>
      <c r="Q15" s="51"/>
      <c r="R15" s="52">
        <v>0</v>
      </c>
      <c r="S15" s="51"/>
      <c r="T15" s="51"/>
      <c r="U15" s="51"/>
      <c r="V15" s="51"/>
    </row>
    <row r="16" spans="1:22" ht="14.25" customHeight="1" outlineLevel="1" x14ac:dyDescent="0.45">
      <c r="A16" s="16"/>
      <c r="B16" s="16" t="s">
        <v>179</v>
      </c>
      <c r="C16" s="49">
        <f t="shared" si="16"/>
        <v>14598</v>
      </c>
      <c r="D16" s="49">
        <f t="shared" si="16"/>
        <v>11519</v>
      </c>
      <c r="E16" s="49">
        <f t="shared" si="16"/>
        <v>5603</v>
      </c>
      <c r="F16" s="49">
        <f t="shared" si="16"/>
        <v>0</v>
      </c>
      <c r="G16" s="49">
        <f t="shared" si="16"/>
        <v>0</v>
      </c>
      <c r="H16" s="49">
        <f t="shared" si="16"/>
        <v>0</v>
      </c>
      <c r="I16" s="16"/>
      <c r="J16" s="52">
        <v>8900</v>
      </c>
      <c r="K16" s="52"/>
      <c r="L16" s="52">
        <v>5698</v>
      </c>
      <c r="M16" s="51"/>
      <c r="N16" s="52">
        <v>5133</v>
      </c>
      <c r="O16" s="52">
        <v>3256</v>
      </c>
      <c r="P16" s="52">
        <v>3130</v>
      </c>
      <c r="Q16" s="51"/>
      <c r="R16" s="52">
        <v>5603</v>
      </c>
      <c r="S16" s="51"/>
      <c r="T16" s="51"/>
      <c r="U16" s="51"/>
      <c r="V16" s="51"/>
    </row>
    <row r="17" spans="1:22" ht="14.25" customHeight="1" outlineLevel="1" x14ac:dyDescent="0.45">
      <c r="A17" s="16"/>
      <c r="B17" s="16" t="s">
        <v>180</v>
      </c>
      <c r="C17" s="49">
        <f t="shared" si="16"/>
        <v>3254</v>
      </c>
      <c r="D17" s="49">
        <f t="shared" si="16"/>
        <v>4431</v>
      </c>
      <c r="E17" s="49">
        <f t="shared" si="16"/>
        <v>1670</v>
      </c>
      <c r="F17" s="49">
        <f t="shared" si="16"/>
        <v>0</v>
      </c>
      <c r="G17" s="49">
        <f t="shared" si="16"/>
        <v>0</v>
      </c>
      <c r="H17" s="49">
        <f t="shared" si="16"/>
        <v>0</v>
      </c>
      <c r="I17" s="16"/>
      <c r="J17" s="52">
        <v>1752</v>
      </c>
      <c r="K17" s="52"/>
      <c r="L17" s="52">
        <v>1502</v>
      </c>
      <c r="M17" s="51"/>
      <c r="N17" s="52">
        <v>1498</v>
      </c>
      <c r="O17" s="52">
        <v>1632</v>
      </c>
      <c r="P17" s="52">
        <v>1301</v>
      </c>
      <c r="Q17" s="51"/>
      <c r="R17" s="52">
        <v>1670</v>
      </c>
      <c r="S17" s="51"/>
      <c r="T17" s="51"/>
      <c r="U17" s="51"/>
      <c r="V17" s="51"/>
    </row>
    <row r="18" spans="1:22" ht="14.25" customHeight="1" outlineLevel="1" x14ac:dyDescent="0.45">
      <c r="A18" s="16"/>
      <c r="B18" s="16" t="s">
        <v>181</v>
      </c>
      <c r="C18" s="49">
        <f t="shared" si="16"/>
        <v>1084</v>
      </c>
      <c r="D18" s="49">
        <f t="shared" si="16"/>
        <v>1687</v>
      </c>
      <c r="E18" s="49">
        <f t="shared" si="16"/>
        <v>557</v>
      </c>
      <c r="F18" s="49">
        <f t="shared" si="16"/>
        <v>0</v>
      </c>
      <c r="G18" s="49">
        <f t="shared" si="16"/>
        <v>0</v>
      </c>
      <c r="H18" s="49">
        <f t="shared" si="16"/>
        <v>0</v>
      </c>
      <c r="I18" s="16"/>
      <c r="J18" s="52">
        <v>542</v>
      </c>
      <c r="K18" s="52"/>
      <c r="L18" s="52">
        <v>542</v>
      </c>
      <c r="M18" s="51"/>
      <c r="N18" s="52">
        <v>616</v>
      </c>
      <c r="O18" s="52">
        <v>557</v>
      </c>
      <c r="P18" s="52">
        <v>514</v>
      </c>
      <c r="Q18" s="51"/>
      <c r="R18" s="52">
        <v>557</v>
      </c>
      <c r="S18" s="51"/>
      <c r="T18" s="51"/>
      <c r="U18" s="51"/>
      <c r="V18" s="51"/>
    </row>
    <row r="19" spans="1:22" ht="14.25" customHeight="1" outlineLevel="1" x14ac:dyDescent="0.45">
      <c r="A19" s="16"/>
      <c r="B19" s="16" t="s">
        <v>182</v>
      </c>
      <c r="C19" s="49">
        <f t="shared" si="16"/>
        <v>956</v>
      </c>
      <c r="D19" s="49">
        <f t="shared" si="16"/>
        <v>0</v>
      </c>
      <c r="E19" s="49">
        <f t="shared" si="16"/>
        <v>591</v>
      </c>
      <c r="F19" s="49">
        <f t="shared" si="16"/>
        <v>0</v>
      </c>
      <c r="G19" s="49">
        <f t="shared" si="16"/>
        <v>0</v>
      </c>
      <c r="H19" s="49">
        <f t="shared" si="16"/>
        <v>0</v>
      </c>
      <c r="I19" s="16"/>
      <c r="J19" s="52">
        <v>956</v>
      </c>
      <c r="K19" s="52"/>
      <c r="L19" s="52">
        <v>0</v>
      </c>
      <c r="M19" s="51"/>
      <c r="N19" s="52">
        <v>0</v>
      </c>
      <c r="O19" s="52">
        <v>0</v>
      </c>
      <c r="P19" s="52">
        <v>0</v>
      </c>
      <c r="Q19" s="51"/>
      <c r="R19" s="52">
        <v>591</v>
      </c>
      <c r="S19" s="51"/>
      <c r="T19" s="51"/>
      <c r="U19" s="51"/>
      <c r="V19" s="51"/>
    </row>
    <row r="20" spans="1:22" ht="14.25" customHeight="1" outlineLevel="1" x14ac:dyDescent="0.45">
      <c r="A20" s="16"/>
      <c r="B20" s="16" t="s">
        <v>183</v>
      </c>
      <c r="C20" s="49">
        <f t="shared" si="16"/>
        <v>112545</v>
      </c>
      <c r="D20" s="49">
        <f t="shared" si="16"/>
        <v>-50050</v>
      </c>
      <c r="E20" s="49">
        <f t="shared" si="16"/>
        <v>226419</v>
      </c>
      <c r="F20" s="49">
        <f t="shared" si="16"/>
        <v>0</v>
      </c>
      <c r="G20" s="49">
        <f t="shared" si="16"/>
        <v>0</v>
      </c>
      <c r="H20" s="49">
        <f t="shared" si="16"/>
        <v>0</v>
      </c>
      <c r="I20" s="16"/>
      <c r="J20" s="52">
        <v>95445</v>
      </c>
      <c r="K20" s="52"/>
      <c r="L20" s="52">
        <v>17100</v>
      </c>
      <c r="M20" s="51"/>
      <c r="N20" s="52">
        <v>176484</v>
      </c>
      <c r="O20" s="52">
        <v>-159120</v>
      </c>
      <c r="P20" s="52">
        <v>-67414</v>
      </c>
      <c r="Q20" s="51"/>
      <c r="R20" s="52">
        <v>226419</v>
      </c>
      <c r="S20" s="51"/>
      <c r="T20" s="51"/>
      <c r="U20" s="51"/>
      <c r="V20" s="51"/>
    </row>
    <row r="21" spans="1:22" ht="14.25" customHeight="1" outlineLevel="1" x14ac:dyDescent="0.45">
      <c r="A21" s="16"/>
      <c r="B21" s="16" t="s">
        <v>184</v>
      </c>
      <c r="C21" s="49">
        <f t="shared" si="16"/>
        <v>0</v>
      </c>
      <c r="D21" s="49">
        <f t="shared" si="16"/>
        <v>-416</v>
      </c>
      <c r="E21" s="49">
        <f t="shared" si="16"/>
        <v>0</v>
      </c>
      <c r="F21" s="49">
        <f t="shared" si="16"/>
        <v>0</v>
      </c>
      <c r="G21" s="49">
        <f t="shared" si="16"/>
        <v>0</v>
      </c>
      <c r="H21" s="49">
        <f t="shared" si="16"/>
        <v>0</v>
      </c>
      <c r="I21" s="16"/>
      <c r="J21" s="50"/>
      <c r="K21" s="50"/>
      <c r="L21" s="50"/>
      <c r="M21" s="51"/>
      <c r="N21" s="51"/>
      <c r="O21" s="51"/>
      <c r="P21" s="52">
        <v>-416</v>
      </c>
      <c r="Q21" s="51"/>
      <c r="R21" s="51"/>
      <c r="S21" s="51"/>
      <c r="T21" s="51"/>
      <c r="U21" s="51"/>
      <c r="V21" s="51"/>
    </row>
    <row r="22" spans="1:22" ht="14.25" customHeight="1" outlineLevel="1" x14ac:dyDescent="0.45">
      <c r="A22" s="16"/>
      <c r="B22" s="16" t="s">
        <v>185</v>
      </c>
      <c r="C22" s="49">
        <f t="shared" si="16"/>
        <v>-6200</v>
      </c>
      <c r="D22" s="49">
        <f t="shared" si="16"/>
        <v>27000</v>
      </c>
      <c r="E22" s="49">
        <f t="shared" si="16"/>
        <v>-8482</v>
      </c>
      <c r="F22" s="49">
        <f t="shared" si="16"/>
        <v>0</v>
      </c>
      <c r="G22" s="49">
        <f t="shared" si="16"/>
        <v>0</v>
      </c>
      <c r="H22" s="49">
        <f t="shared" si="16"/>
        <v>0</v>
      </c>
      <c r="I22" s="16"/>
      <c r="J22" s="52">
        <v>-6100</v>
      </c>
      <c r="K22" s="52"/>
      <c r="L22" s="52">
        <v>-100</v>
      </c>
      <c r="M22" s="51"/>
      <c r="N22" s="52">
        <v>900</v>
      </c>
      <c r="O22" s="52">
        <v>15250</v>
      </c>
      <c r="P22" s="52">
        <v>10850</v>
      </c>
      <c r="Q22" s="51"/>
      <c r="R22" s="52">
        <v>-8482</v>
      </c>
      <c r="S22" s="51"/>
      <c r="T22" s="51"/>
      <c r="U22" s="51"/>
      <c r="V22" s="51"/>
    </row>
    <row r="23" spans="1:22" ht="14.25" customHeight="1" outlineLevel="1" x14ac:dyDescent="0.45">
      <c r="A23" s="16"/>
      <c r="B23" s="58" t="s">
        <v>186</v>
      </c>
      <c r="C23" s="49">
        <f t="shared" si="16"/>
        <v>25677</v>
      </c>
      <c r="D23" s="49">
        <f t="shared" si="16"/>
        <v>178234</v>
      </c>
      <c r="E23" s="49">
        <f t="shared" si="16"/>
        <v>359209</v>
      </c>
      <c r="F23" s="49">
        <f t="shared" si="16"/>
        <v>0</v>
      </c>
      <c r="G23" s="49">
        <f t="shared" si="16"/>
        <v>0</v>
      </c>
      <c r="H23" s="49">
        <f t="shared" si="16"/>
        <v>0</v>
      </c>
      <c r="I23" s="16"/>
      <c r="J23" s="52">
        <v>4490</v>
      </c>
      <c r="K23" s="52"/>
      <c r="L23" s="52">
        <v>21187</v>
      </c>
      <c r="M23" s="51"/>
      <c r="N23" s="52">
        <v>142088</v>
      </c>
      <c r="O23" s="52">
        <v>6731</v>
      </c>
      <c r="P23" s="52">
        <v>29415</v>
      </c>
      <c r="Q23" s="51"/>
      <c r="R23" s="52">
        <v>359209</v>
      </c>
      <c r="S23" s="51"/>
      <c r="T23" s="51"/>
      <c r="U23" s="51"/>
      <c r="V23" s="51"/>
    </row>
    <row r="24" spans="1:22" ht="14.25" customHeight="1" x14ac:dyDescent="0.45">
      <c r="A24" s="16"/>
      <c r="B24" s="12" t="s">
        <v>187</v>
      </c>
      <c r="C24" s="53">
        <f t="shared" si="16"/>
        <v>-16791</v>
      </c>
      <c r="D24" s="53">
        <f t="shared" si="16"/>
        <v>-22390</v>
      </c>
      <c r="E24" s="53">
        <f t="shared" si="16"/>
        <v>-10893</v>
      </c>
      <c r="F24" s="53">
        <f t="shared" si="16"/>
        <v>0</v>
      </c>
      <c r="G24" s="53">
        <f t="shared" si="16"/>
        <v>0</v>
      </c>
      <c r="H24" s="53">
        <f t="shared" si="16"/>
        <v>0</v>
      </c>
      <c r="I24" s="16"/>
      <c r="J24" s="53">
        <f t="shared" ref="J24:V24" si="17">J10+J12+J13+J14+J15+J16+J17+J18+J19+J20+J21+J22+J23</f>
        <v>-3275</v>
      </c>
      <c r="K24" s="53">
        <f>K10+K12+K13+K14+K15+K16+K17+K18+K19+K20+K21+K22+K23</f>
        <v>0</v>
      </c>
      <c r="L24" s="53">
        <f t="shared" si="17"/>
        <v>-13516</v>
      </c>
      <c r="M24" s="53">
        <f t="shared" si="17"/>
        <v>0</v>
      </c>
      <c r="N24" s="53">
        <f t="shared" si="17"/>
        <v>-14557</v>
      </c>
      <c r="O24" s="53">
        <f t="shared" si="17"/>
        <v>-13311</v>
      </c>
      <c r="P24" s="53">
        <f t="shared" si="17"/>
        <v>5478</v>
      </c>
      <c r="Q24" s="53">
        <f t="shared" si="17"/>
        <v>0</v>
      </c>
      <c r="R24" s="53">
        <f t="shared" si="17"/>
        <v>-10893</v>
      </c>
      <c r="S24" s="53">
        <f t="shared" si="17"/>
        <v>0</v>
      </c>
      <c r="T24" s="53">
        <f t="shared" si="17"/>
        <v>0</v>
      </c>
      <c r="U24" s="53">
        <f t="shared" si="17"/>
        <v>0</v>
      </c>
      <c r="V24" s="53">
        <f t="shared" si="17"/>
        <v>0</v>
      </c>
    </row>
    <row r="25" spans="1:22" ht="14.25" customHeight="1" x14ac:dyDescent="0.45">
      <c r="A25" s="16"/>
      <c r="B25" s="12" t="s">
        <v>188</v>
      </c>
      <c r="C25" s="16"/>
      <c r="D25" s="16"/>
      <c r="E25" s="16"/>
      <c r="F25" s="16"/>
      <c r="G25" s="16"/>
      <c r="H25" s="16"/>
      <c r="I25" s="16"/>
      <c r="J25" s="16"/>
      <c r="K25" s="16"/>
      <c r="L25" s="16"/>
    </row>
    <row r="26" spans="1:22" ht="14.25" customHeight="1" outlineLevel="1" x14ac:dyDescent="0.45">
      <c r="A26" s="16"/>
      <c r="B26" s="16" t="s">
        <v>189</v>
      </c>
      <c r="C26" s="49">
        <f t="shared" ref="C26:H35" si="18">SUMIFS($J26:$V26,$J$5:$V$5,C$8)</f>
        <v>1297</v>
      </c>
      <c r="D26" s="49">
        <f t="shared" si="18"/>
        <v>-15147</v>
      </c>
      <c r="E26" s="49">
        <f t="shared" si="18"/>
        <v>-21737</v>
      </c>
      <c r="F26" s="49">
        <f t="shared" si="18"/>
        <v>0</v>
      </c>
      <c r="G26" s="49">
        <f t="shared" si="18"/>
        <v>0</v>
      </c>
      <c r="H26" s="49">
        <f t="shared" si="18"/>
        <v>0</v>
      </c>
      <c r="I26" s="16"/>
      <c r="J26" s="50"/>
      <c r="K26" s="52">
        <v>2007</v>
      </c>
      <c r="L26" s="52">
        <v>-710</v>
      </c>
      <c r="M26" s="51"/>
      <c r="N26" s="52">
        <v>1184</v>
      </c>
      <c r="O26" s="52">
        <v>1835</v>
      </c>
      <c r="P26" s="52">
        <v>-18166</v>
      </c>
      <c r="Q26" s="51"/>
      <c r="R26" s="52">
        <v>-21737</v>
      </c>
      <c r="S26" s="51"/>
      <c r="T26" s="51"/>
      <c r="U26" s="51"/>
      <c r="V26" s="51"/>
    </row>
    <row r="27" spans="1:22" ht="14.25" customHeight="1" outlineLevel="1" x14ac:dyDescent="0.45">
      <c r="A27" s="16"/>
      <c r="B27" s="16" t="s">
        <v>190</v>
      </c>
      <c r="C27" s="49">
        <f t="shared" si="18"/>
        <v>-1502</v>
      </c>
      <c r="D27" s="49">
        <f t="shared" si="18"/>
        <v>-806</v>
      </c>
      <c r="E27" s="49">
        <f t="shared" si="18"/>
        <v>-130</v>
      </c>
      <c r="F27" s="49">
        <f t="shared" si="18"/>
        <v>0</v>
      </c>
      <c r="G27" s="49">
        <f t="shared" si="18"/>
        <v>0</v>
      </c>
      <c r="H27" s="49">
        <f t="shared" si="18"/>
        <v>0</v>
      </c>
      <c r="I27" s="16"/>
      <c r="J27" s="50"/>
      <c r="K27" s="52">
        <v>-1129</v>
      </c>
      <c r="L27" s="52">
        <v>-373</v>
      </c>
      <c r="M27" s="51"/>
      <c r="N27" s="52">
        <v>-268</v>
      </c>
      <c r="O27" s="52">
        <v>-163</v>
      </c>
      <c r="P27" s="52">
        <v>-375</v>
      </c>
      <c r="Q27" s="51"/>
      <c r="R27" s="52">
        <v>-130</v>
      </c>
      <c r="S27" s="51"/>
      <c r="T27" s="51"/>
      <c r="U27" s="51"/>
      <c r="V27" s="51"/>
    </row>
    <row r="28" spans="1:22" ht="14.25" customHeight="1" outlineLevel="1" x14ac:dyDescent="0.45">
      <c r="A28" s="16"/>
      <c r="B28" s="16" t="s">
        <v>191</v>
      </c>
      <c r="C28" s="49">
        <f t="shared" si="18"/>
        <v>-5037</v>
      </c>
      <c r="D28" s="49">
        <f t="shared" si="18"/>
        <v>261774</v>
      </c>
      <c r="E28" s="49">
        <f t="shared" si="18"/>
        <v>6005</v>
      </c>
      <c r="F28" s="49">
        <f t="shared" si="18"/>
        <v>0</v>
      </c>
      <c r="G28" s="49">
        <f t="shared" si="18"/>
        <v>0</v>
      </c>
      <c r="H28" s="49">
        <f t="shared" si="18"/>
        <v>0</v>
      </c>
      <c r="I28" s="16"/>
      <c r="J28" s="50"/>
      <c r="K28" s="52">
        <v>-31825</v>
      </c>
      <c r="L28" s="52">
        <v>26788</v>
      </c>
      <c r="M28" s="51"/>
      <c r="N28" s="52">
        <v>282844</v>
      </c>
      <c r="O28" s="52">
        <v>-9464</v>
      </c>
      <c r="P28" s="52">
        <v>-11606</v>
      </c>
      <c r="Q28" s="51"/>
      <c r="R28" s="52">
        <v>6005</v>
      </c>
      <c r="S28" s="51"/>
      <c r="T28" s="51"/>
      <c r="U28" s="51"/>
      <c r="V28" s="51"/>
    </row>
    <row r="29" spans="1:22" ht="14.25" customHeight="1" outlineLevel="1" x14ac:dyDescent="0.45">
      <c r="A29" s="16"/>
      <c r="B29" s="58" t="s">
        <v>192</v>
      </c>
      <c r="C29" s="49">
        <f t="shared" si="18"/>
        <v>-17503</v>
      </c>
      <c r="D29" s="49">
        <f t="shared" si="18"/>
        <v>-2645719</v>
      </c>
      <c r="E29" s="49">
        <f t="shared" si="18"/>
        <v>-307298</v>
      </c>
      <c r="F29" s="49">
        <f t="shared" si="18"/>
        <v>0</v>
      </c>
      <c r="G29" s="49">
        <f t="shared" si="18"/>
        <v>0</v>
      </c>
      <c r="H29" s="49">
        <f t="shared" si="18"/>
        <v>0</v>
      </c>
      <c r="I29" s="16"/>
      <c r="J29" s="50"/>
      <c r="K29" s="52">
        <v>13104</v>
      </c>
      <c r="L29" s="52">
        <v>-30607</v>
      </c>
      <c r="M29" s="51"/>
      <c r="N29" s="52">
        <v>-264599</v>
      </c>
      <c r="O29" s="52">
        <v>-560705</v>
      </c>
      <c r="P29" s="52">
        <v>-1820415</v>
      </c>
      <c r="Q29" s="51"/>
      <c r="R29" s="52">
        <v>-307298</v>
      </c>
      <c r="S29" s="51"/>
      <c r="T29" s="51"/>
      <c r="U29" s="51"/>
      <c r="V29" s="51"/>
    </row>
    <row r="30" spans="1:22" ht="24" customHeight="1" outlineLevel="1" x14ac:dyDescent="0.45">
      <c r="A30" s="16"/>
      <c r="B30" s="16" t="s">
        <v>193</v>
      </c>
      <c r="C30" s="49">
        <f t="shared" si="18"/>
        <v>28746</v>
      </c>
      <c r="D30" s="49">
        <f t="shared" si="18"/>
        <v>2375485</v>
      </c>
      <c r="E30" s="49">
        <f t="shared" si="18"/>
        <v>391604</v>
      </c>
      <c r="F30" s="49">
        <f t="shared" si="18"/>
        <v>0</v>
      </c>
      <c r="G30" s="49">
        <f t="shared" si="18"/>
        <v>0</v>
      </c>
      <c r="H30" s="49">
        <f t="shared" si="18"/>
        <v>0</v>
      </c>
      <c r="I30" s="16"/>
      <c r="J30" s="50"/>
      <c r="K30" s="52">
        <v>33157</v>
      </c>
      <c r="L30" s="52">
        <v>-4411</v>
      </c>
      <c r="M30" s="51"/>
      <c r="N30" s="52">
        <v>-3123</v>
      </c>
      <c r="O30" s="52">
        <v>596379</v>
      </c>
      <c r="P30" s="52">
        <v>1782229</v>
      </c>
      <c r="Q30" s="51"/>
      <c r="R30" s="52">
        <v>391604</v>
      </c>
      <c r="S30" s="51"/>
      <c r="T30" s="51"/>
      <c r="U30" s="51"/>
      <c r="V30" s="51"/>
    </row>
    <row r="31" spans="1:22" ht="24" customHeight="1" outlineLevel="1" x14ac:dyDescent="0.45">
      <c r="A31" s="16"/>
      <c r="B31" s="16" t="s">
        <v>194</v>
      </c>
      <c r="C31" s="49">
        <f t="shared" si="18"/>
        <v>3494</v>
      </c>
      <c r="D31" s="49">
        <f t="shared" si="18"/>
        <v>-1807</v>
      </c>
      <c r="E31" s="49">
        <f t="shared" si="18"/>
        <v>-4292</v>
      </c>
      <c r="F31" s="49">
        <f t="shared" si="18"/>
        <v>0</v>
      </c>
      <c r="G31" s="49">
        <f t="shared" si="18"/>
        <v>0</v>
      </c>
      <c r="H31" s="49">
        <f t="shared" si="18"/>
        <v>0</v>
      </c>
      <c r="I31" s="16"/>
      <c r="J31" s="50"/>
      <c r="K31" s="52">
        <v>-6046</v>
      </c>
      <c r="L31" s="52">
        <v>9540</v>
      </c>
      <c r="M31" s="51"/>
      <c r="N31" s="52">
        <v>-7438</v>
      </c>
      <c r="O31" s="52">
        <v>2165</v>
      </c>
      <c r="P31" s="52">
        <v>3466</v>
      </c>
      <c r="Q31" s="51"/>
      <c r="R31" s="52">
        <v>-4292</v>
      </c>
      <c r="S31" s="51"/>
      <c r="T31" s="51"/>
      <c r="U31" s="51"/>
      <c r="V31" s="51"/>
    </row>
    <row r="32" spans="1:22" ht="24" customHeight="1" outlineLevel="1" x14ac:dyDescent="0.45">
      <c r="A32" s="16"/>
      <c r="B32" s="16" t="s">
        <v>195</v>
      </c>
      <c r="C32" s="49">
        <f t="shared" si="18"/>
        <v>6961</v>
      </c>
      <c r="D32" s="49">
        <f t="shared" si="18"/>
        <v>8168</v>
      </c>
      <c r="E32" s="49">
        <f t="shared" si="18"/>
        <v>35596</v>
      </c>
      <c r="F32" s="49">
        <f t="shared" si="18"/>
        <v>0</v>
      </c>
      <c r="G32" s="49">
        <f t="shared" si="18"/>
        <v>0</v>
      </c>
      <c r="H32" s="49">
        <f t="shared" si="18"/>
        <v>0</v>
      </c>
      <c r="I32" s="16"/>
      <c r="J32" s="50"/>
      <c r="K32" s="52">
        <v>5525</v>
      </c>
      <c r="L32" s="52">
        <v>1436</v>
      </c>
      <c r="M32" s="51"/>
      <c r="N32" s="52">
        <v>216</v>
      </c>
      <c r="O32" s="52">
        <v>-2460</v>
      </c>
      <c r="P32" s="52">
        <v>10412</v>
      </c>
      <c r="Q32" s="51"/>
      <c r="R32" s="52">
        <v>35596</v>
      </c>
      <c r="S32" s="51"/>
      <c r="T32" s="51"/>
      <c r="U32" s="51"/>
      <c r="V32" s="51"/>
    </row>
    <row r="33" spans="1:22" ht="24" customHeight="1" outlineLevel="1" x14ac:dyDescent="0.45">
      <c r="A33" s="16"/>
      <c r="B33" s="16" t="s">
        <v>196</v>
      </c>
      <c r="C33" s="49">
        <f t="shared" si="18"/>
        <v>-16</v>
      </c>
      <c r="D33" s="49">
        <f t="shared" si="18"/>
        <v>-6</v>
      </c>
      <c r="E33" s="49">
        <f t="shared" si="18"/>
        <v>1</v>
      </c>
      <c r="F33" s="49">
        <f t="shared" si="18"/>
        <v>0</v>
      </c>
      <c r="G33" s="49">
        <f t="shared" si="18"/>
        <v>0</v>
      </c>
      <c r="H33" s="49">
        <f t="shared" si="18"/>
        <v>0</v>
      </c>
      <c r="I33" s="16"/>
      <c r="J33" s="50"/>
      <c r="K33" s="52">
        <v>-14</v>
      </c>
      <c r="L33" s="52">
        <v>-2</v>
      </c>
      <c r="M33" s="51"/>
      <c r="N33" s="52">
        <v>10</v>
      </c>
      <c r="O33" s="52">
        <v>-4</v>
      </c>
      <c r="P33" s="52">
        <v>-12</v>
      </c>
      <c r="Q33" s="51"/>
      <c r="R33" s="52">
        <v>1</v>
      </c>
      <c r="S33" s="51"/>
      <c r="T33" s="51"/>
      <c r="U33" s="51"/>
      <c r="V33" s="51"/>
    </row>
    <row r="34" spans="1:22" ht="14.25" customHeight="1" outlineLevel="1" x14ac:dyDescent="0.45">
      <c r="A34" s="16"/>
      <c r="B34" s="16" t="s">
        <v>197</v>
      </c>
      <c r="C34" s="49">
        <f t="shared" si="18"/>
        <v>4038</v>
      </c>
      <c r="D34" s="49">
        <f t="shared" si="18"/>
        <v>7251</v>
      </c>
      <c r="E34" s="49">
        <f t="shared" si="18"/>
        <v>2067</v>
      </c>
      <c r="F34" s="49">
        <f t="shared" si="18"/>
        <v>0</v>
      </c>
      <c r="G34" s="49">
        <f t="shared" si="18"/>
        <v>0</v>
      </c>
      <c r="H34" s="49">
        <f t="shared" si="18"/>
        <v>0</v>
      </c>
      <c r="I34" s="16"/>
      <c r="J34" s="50"/>
      <c r="K34" s="52">
        <v>1958</v>
      </c>
      <c r="L34" s="52">
        <v>2080</v>
      </c>
      <c r="M34" s="51"/>
      <c r="N34" s="52">
        <v>2152</v>
      </c>
      <c r="O34" s="52">
        <v>2733</v>
      </c>
      <c r="P34" s="52">
        <v>2366</v>
      </c>
      <c r="Q34" s="51"/>
      <c r="R34" s="52">
        <v>2067</v>
      </c>
      <c r="S34" s="51"/>
      <c r="T34" s="51"/>
      <c r="U34" s="51"/>
      <c r="V34" s="51"/>
    </row>
    <row r="35" spans="1:22" ht="14.25" customHeight="1" x14ac:dyDescent="0.45">
      <c r="A35" s="16"/>
      <c r="B35" s="12" t="s">
        <v>198</v>
      </c>
      <c r="C35" s="53">
        <f t="shared" si="18"/>
        <v>3687</v>
      </c>
      <c r="D35" s="53">
        <f t="shared" si="18"/>
        <v>-33197</v>
      </c>
      <c r="E35" s="53">
        <f t="shared" si="18"/>
        <v>90923</v>
      </c>
      <c r="F35" s="53">
        <f t="shared" si="18"/>
        <v>0</v>
      </c>
      <c r="G35" s="53">
        <f t="shared" si="18"/>
        <v>0</v>
      </c>
      <c r="H35" s="53">
        <f t="shared" si="18"/>
        <v>0</v>
      </c>
      <c r="I35" s="16"/>
      <c r="J35" s="53">
        <f t="shared" ref="J35:V35" si="19">J24+J26+J27+J28+J29+J30+J31+J32+J33+J34</f>
        <v>-3275</v>
      </c>
      <c r="K35" s="53">
        <f t="shared" si="19"/>
        <v>16737</v>
      </c>
      <c r="L35" s="53">
        <f t="shared" si="19"/>
        <v>-9775</v>
      </c>
      <c r="M35" s="53">
        <f t="shared" si="19"/>
        <v>0</v>
      </c>
      <c r="N35" s="53">
        <f t="shared" si="19"/>
        <v>-3579</v>
      </c>
      <c r="O35" s="53">
        <f t="shared" si="19"/>
        <v>17005</v>
      </c>
      <c r="P35" s="53">
        <f t="shared" si="19"/>
        <v>-46623</v>
      </c>
      <c r="Q35" s="53">
        <f t="shared" si="19"/>
        <v>0</v>
      </c>
      <c r="R35" s="53">
        <f t="shared" si="19"/>
        <v>90923</v>
      </c>
      <c r="S35" s="53">
        <f t="shared" si="19"/>
        <v>0</v>
      </c>
      <c r="T35" s="53">
        <f t="shared" si="19"/>
        <v>0</v>
      </c>
      <c r="U35" s="53">
        <f t="shared" si="19"/>
        <v>0</v>
      </c>
      <c r="V35" s="53">
        <f t="shared" si="19"/>
        <v>0</v>
      </c>
    </row>
    <row r="37" spans="1:22" ht="14.25" customHeight="1" x14ac:dyDescent="0.45">
      <c r="B37" s="35" t="s">
        <v>199</v>
      </c>
      <c r="C37" s="36"/>
      <c r="D37" s="36"/>
      <c r="E37" s="36"/>
      <c r="F37" s="36"/>
      <c r="G37" s="36"/>
      <c r="H37" s="36"/>
      <c r="J37" s="36"/>
      <c r="K37" s="36"/>
      <c r="L37" s="36"/>
      <c r="M37" s="36"/>
      <c r="N37" s="36"/>
      <c r="O37" s="36"/>
      <c r="P37" s="36"/>
      <c r="Q37" s="36"/>
      <c r="R37" s="36"/>
      <c r="S37" s="36"/>
      <c r="T37" s="36"/>
      <c r="U37" s="36"/>
      <c r="V37" s="36"/>
    </row>
    <row r="38" spans="1:22" ht="14.25" customHeight="1" outlineLevel="1" x14ac:dyDescent="0.45">
      <c r="B38" s="16" t="s">
        <v>200</v>
      </c>
      <c r="C38" s="49">
        <f t="shared" ref="C38:H46" si="20">SUMIFS($J38:$V38,$J$5:$V$5,C$8)</f>
        <v>0</v>
      </c>
      <c r="D38" s="49">
        <f t="shared" si="20"/>
        <v>-4620</v>
      </c>
      <c r="E38" s="49">
        <f t="shared" si="20"/>
        <v>-6449</v>
      </c>
      <c r="F38" s="49">
        <f t="shared" si="20"/>
        <v>0</v>
      </c>
      <c r="G38" s="49">
        <f t="shared" si="20"/>
        <v>0</v>
      </c>
      <c r="H38" s="49">
        <f t="shared" si="20"/>
        <v>0</v>
      </c>
      <c r="J38" s="51"/>
      <c r="K38" s="51"/>
      <c r="L38" s="51"/>
      <c r="M38" s="51"/>
      <c r="N38" s="52">
        <v>-1275</v>
      </c>
      <c r="O38" s="52">
        <v>0</v>
      </c>
      <c r="P38" s="52">
        <v>-3345</v>
      </c>
      <c r="Q38" s="51"/>
      <c r="R38" s="52">
        <v>-6449</v>
      </c>
      <c r="S38" s="51"/>
      <c r="T38" s="51"/>
      <c r="U38" s="51"/>
      <c r="V38" s="51"/>
    </row>
    <row r="39" spans="1:22" ht="14.25" customHeight="1" outlineLevel="1" x14ac:dyDescent="0.45">
      <c r="B39" s="16" t="s">
        <v>201</v>
      </c>
      <c r="C39" s="49">
        <f t="shared" si="20"/>
        <v>6</v>
      </c>
      <c r="D39" s="49">
        <f t="shared" si="20"/>
        <v>48213</v>
      </c>
      <c r="E39" s="49">
        <f t="shared" si="20"/>
        <v>0</v>
      </c>
      <c r="F39" s="49">
        <f t="shared" si="20"/>
        <v>0</v>
      </c>
      <c r="G39" s="49">
        <f t="shared" si="20"/>
        <v>0</v>
      </c>
      <c r="H39" s="49">
        <f t="shared" si="20"/>
        <v>0</v>
      </c>
      <c r="J39" s="51"/>
      <c r="K39" s="51"/>
      <c r="L39" s="52">
        <v>6</v>
      </c>
      <c r="M39" s="51"/>
      <c r="N39" s="52">
        <v>0</v>
      </c>
      <c r="O39" s="52">
        <v>0</v>
      </c>
      <c r="P39" s="52">
        <v>48213</v>
      </c>
      <c r="Q39" s="51"/>
      <c r="R39" s="52">
        <v>0</v>
      </c>
      <c r="S39" s="51"/>
      <c r="T39" s="51"/>
      <c r="U39" s="51"/>
      <c r="V39" s="51"/>
    </row>
    <row r="40" spans="1:22" ht="14.25" customHeight="1" outlineLevel="1" x14ac:dyDescent="0.45">
      <c r="B40" s="16" t="s">
        <v>202</v>
      </c>
      <c r="C40" s="49">
        <f t="shared" si="20"/>
        <v>1654</v>
      </c>
      <c r="D40" s="49">
        <f t="shared" si="20"/>
        <v>0</v>
      </c>
      <c r="E40" s="49">
        <f t="shared" si="20"/>
        <v>0</v>
      </c>
      <c r="F40" s="49">
        <f t="shared" si="20"/>
        <v>0</v>
      </c>
      <c r="G40" s="49">
        <f t="shared" si="20"/>
        <v>0</v>
      </c>
      <c r="H40" s="49">
        <f t="shared" si="20"/>
        <v>0</v>
      </c>
      <c r="J40" s="51"/>
      <c r="K40" s="52">
        <v>192</v>
      </c>
      <c r="L40" s="52">
        <v>1462</v>
      </c>
      <c r="M40" s="51"/>
      <c r="N40" s="52">
        <v>0</v>
      </c>
      <c r="O40" s="52">
        <v>0</v>
      </c>
      <c r="P40" s="52">
        <v>0</v>
      </c>
      <c r="Q40" s="51"/>
      <c r="R40" s="52">
        <v>0</v>
      </c>
      <c r="S40" s="51"/>
      <c r="T40" s="51"/>
      <c r="U40" s="51"/>
      <c r="V40" s="51"/>
    </row>
    <row r="41" spans="1:22" ht="14.25" customHeight="1" outlineLevel="1" x14ac:dyDescent="0.45">
      <c r="B41" s="16" t="s">
        <v>203</v>
      </c>
      <c r="C41" s="49">
        <f t="shared" si="20"/>
        <v>-134</v>
      </c>
      <c r="D41" s="49">
        <f t="shared" si="20"/>
        <v>-2344</v>
      </c>
      <c r="E41" s="49">
        <f t="shared" si="20"/>
        <v>-412</v>
      </c>
      <c r="F41" s="49">
        <f t="shared" si="20"/>
        <v>0</v>
      </c>
      <c r="G41" s="49">
        <f t="shared" si="20"/>
        <v>0</v>
      </c>
      <c r="H41" s="49">
        <f t="shared" si="20"/>
        <v>0</v>
      </c>
      <c r="J41" s="51"/>
      <c r="K41" s="52">
        <v>-42</v>
      </c>
      <c r="L41" s="52">
        <v>-92</v>
      </c>
      <c r="M41" s="51"/>
      <c r="N41" s="52">
        <v>-196</v>
      </c>
      <c r="O41" s="52">
        <v>-54</v>
      </c>
      <c r="P41" s="52">
        <v>-2094</v>
      </c>
      <c r="Q41" s="51"/>
      <c r="R41" s="52">
        <v>-412</v>
      </c>
      <c r="S41" s="51"/>
      <c r="T41" s="51"/>
      <c r="U41" s="51"/>
      <c r="V41" s="51"/>
    </row>
    <row r="42" spans="1:22" ht="14.25" customHeight="1" outlineLevel="1" x14ac:dyDescent="0.45">
      <c r="B42" s="16" t="s">
        <v>204</v>
      </c>
      <c r="C42" s="49">
        <f t="shared" si="20"/>
        <v>0</v>
      </c>
      <c r="D42" s="49">
        <f t="shared" si="20"/>
        <v>0</v>
      </c>
      <c r="E42" s="49">
        <f t="shared" si="20"/>
        <v>20</v>
      </c>
      <c r="F42" s="49">
        <f t="shared" si="20"/>
        <v>0</v>
      </c>
      <c r="G42" s="49">
        <f t="shared" si="20"/>
        <v>0</v>
      </c>
      <c r="H42" s="49">
        <f t="shared" si="20"/>
        <v>0</v>
      </c>
      <c r="J42" s="51"/>
      <c r="K42" s="51"/>
      <c r="L42" s="51"/>
      <c r="M42" s="51"/>
      <c r="N42" s="52">
        <v>0</v>
      </c>
      <c r="O42" s="51"/>
      <c r="P42" s="51"/>
      <c r="Q42" s="51"/>
      <c r="R42" s="52">
        <v>20</v>
      </c>
      <c r="S42" s="51"/>
      <c r="T42" s="51"/>
      <c r="U42" s="51"/>
      <c r="V42" s="51"/>
    </row>
    <row r="43" spans="1:22" ht="14.25" customHeight="1" outlineLevel="1" x14ac:dyDescent="0.45">
      <c r="B43" s="16" t="s">
        <v>205</v>
      </c>
      <c r="C43" s="49">
        <f t="shared" si="20"/>
        <v>-80</v>
      </c>
      <c r="D43" s="49">
        <f t="shared" si="20"/>
        <v>-41666</v>
      </c>
      <c r="E43" s="49">
        <f t="shared" si="20"/>
        <v>-907</v>
      </c>
      <c r="F43" s="49">
        <f t="shared" si="20"/>
        <v>0</v>
      </c>
      <c r="G43" s="49">
        <f t="shared" si="20"/>
        <v>0</v>
      </c>
      <c r="H43" s="49">
        <f t="shared" si="20"/>
        <v>0</v>
      </c>
      <c r="J43" s="51"/>
      <c r="K43" s="52">
        <v>0</v>
      </c>
      <c r="L43" s="52">
        <v>-80</v>
      </c>
      <c r="M43" s="51"/>
      <c r="N43" s="52">
        <v>-41491</v>
      </c>
      <c r="O43" s="52">
        <v>-173</v>
      </c>
      <c r="P43" s="52">
        <v>-2</v>
      </c>
      <c r="Q43" s="51"/>
      <c r="R43" s="52">
        <v>-907</v>
      </c>
      <c r="S43" s="51"/>
      <c r="T43" s="51"/>
      <c r="U43" s="51"/>
      <c r="V43" s="51"/>
    </row>
    <row r="44" spans="1:22" ht="14.25" customHeight="1" outlineLevel="1" x14ac:dyDescent="0.45">
      <c r="B44" s="16" t="s">
        <v>206</v>
      </c>
      <c r="C44" s="49">
        <f t="shared" si="20"/>
        <v>0</v>
      </c>
      <c r="D44" s="49">
        <f t="shared" si="20"/>
        <v>30549</v>
      </c>
      <c r="E44" s="49">
        <f t="shared" si="20"/>
        <v>4345</v>
      </c>
      <c r="F44" s="49">
        <f t="shared" si="20"/>
        <v>0</v>
      </c>
      <c r="G44" s="49">
        <f t="shared" si="20"/>
        <v>0</v>
      </c>
      <c r="H44" s="49">
        <f t="shared" si="20"/>
        <v>0</v>
      </c>
      <c r="J44" s="51"/>
      <c r="K44" s="52">
        <v>0</v>
      </c>
      <c r="L44" s="52">
        <v>0</v>
      </c>
      <c r="M44" s="51"/>
      <c r="N44" s="52">
        <v>30448</v>
      </c>
      <c r="O44" s="52">
        <v>0</v>
      </c>
      <c r="P44" s="52">
        <v>101</v>
      </c>
      <c r="Q44" s="51"/>
      <c r="R44" s="52">
        <v>4345</v>
      </c>
      <c r="S44" s="51"/>
      <c r="T44" s="51"/>
      <c r="U44" s="51"/>
      <c r="V44" s="51"/>
    </row>
    <row r="45" spans="1:22" ht="14.25" customHeight="1" outlineLevel="1" x14ac:dyDescent="0.45">
      <c r="B45" s="16" t="s">
        <v>207</v>
      </c>
      <c r="C45" s="49">
        <f t="shared" si="20"/>
        <v>-10001</v>
      </c>
      <c r="D45" s="49">
        <f t="shared" si="20"/>
        <v>0</v>
      </c>
      <c r="E45" s="49">
        <f t="shared" si="20"/>
        <v>0</v>
      </c>
      <c r="F45" s="49">
        <f t="shared" si="20"/>
        <v>0</v>
      </c>
      <c r="G45" s="49">
        <f t="shared" si="20"/>
        <v>0</v>
      </c>
      <c r="H45" s="49">
        <f t="shared" si="20"/>
        <v>0</v>
      </c>
      <c r="J45" s="51"/>
      <c r="K45" s="52">
        <v>-10001</v>
      </c>
      <c r="L45" s="52">
        <v>0</v>
      </c>
      <c r="M45" s="51"/>
      <c r="N45" s="52">
        <v>0</v>
      </c>
      <c r="O45" s="52">
        <v>0</v>
      </c>
      <c r="P45" s="52">
        <v>0</v>
      </c>
      <c r="Q45" s="51"/>
      <c r="R45" s="52">
        <v>0</v>
      </c>
      <c r="S45" s="51"/>
      <c r="T45" s="51"/>
      <c r="U45" s="51"/>
      <c r="V45" s="51"/>
    </row>
    <row r="46" spans="1:22" ht="14.25" customHeight="1" x14ac:dyDescent="0.45">
      <c r="B46" s="12" t="s">
        <v>208</v>
      </c>
      <c r="C46" s="53">
        <f t="shared" si="20"/>
        <v>-8555</v>
      </c>
      <c r="D46" s="53">
        <f t="shared" si="20"/>
        <v>30132</v>
      </c>
      <c r="E46" s="53">
        <f t="shared" si="20"/>
        <v>-3403</v>
      </c>
      <c r="F46" s="53">
        <f t="shared" si="20"/>
        <v>0</v>
      </c>
      <c r="G46" s="53">
        <f t="shared" si="20"/>
        <v>0</v>
      </c>
      <c r="H46" s="53">
        <f t="shared" si="20"/>
        <v>0</v>
      </c>
      <c r="J46" s="53">
        <f t="shared" ref="J46:V46" si="21">J38+J39+J40+J41+J42+J43+J44+J45</f>
        <v>0</v>
      </c>
      <c r="K46" s="53">
        <f t="shared" si="21"/>
        <v>-9851</v>
      </c>
      <c r="L46" s="53">
        <f t="shared" si="21"/>
        <v>1296</v>
      </c>
      <c r="M46" s="53">
        <f t="shared" si="21"/>
        <v>0</v>
      </c>
      <c r="N46" s="53">
        <f t="shared" si="21"/>
        <v>-12514</v>
      </c>
      <c r="O46" s="53">
        <f t="shared" si="21"/>
        <v>-227</v>
      </c>
      <c r="P46" s="53">
        <f t="shared" si="21"/>
        <v>42873</v>
      </c>
      <c r="Q46" s="53">
        <f t="shared" si="21"/>
        <v>0</v>
      </c>
      <c r="R46" s="53">
        <f t="shared" si="21"/>
        <v>-3403</v>
      </c>
      <c r="S46" s="53">
        <f t="shared" si="21"/>
        <v>0</v>
      </c>
      <c r="T46" s="53">
        <f t="shared" si="21"/>
        <v>0</v>
      </c>
      <c r="U46" s="53">
        <f t="shared" si="21"/>
        <v>0</v>
      </c>
      <c r="V46" s="53">
        <f t="shared" si="21"/>
        <v>0</v>
      </c>
    </row>
    <row r="48" spans="1:22" ht="14.25" customHeight="1" x14ac:dyDescent="0.45">
      <c r="B48" s="35" t="s">
        <v>209</v>
      </c>
      <c r="C48" s="36"/>
      <c r="D48" s="36"/>
      <c r="E48" s="36"/>
      <c r="F48" s="36"/>
      <c r="G48" s="36"/>
      <c r="H48" s="36"/>
      <c r="J48" s="36"/>
      <c r="K48" s="36"/>
      <c r="L48" s="36"/>
      <c r="M48" s="36"/>
      <c r="N48" s="36"/>
      <c r="O48" s="36"/>
      <c r="P48" s="36"/>
      <c r="Q48" s="36"/>
      <c r="R48" s="36"/>
      <c r="S48" s="36"/>
      <c r="T48" s="36"/>
      <c r="U48" s="36"/>
      <c r="V48" s="36"/>
    </row>
    <row r="49" spans="2:22" ht="14.25" customHeight="1" outlineLevel="1" x14ac:dyDescent="0.45">
      <c r="B49" s="16" t="s">
        <v>210</v>
      </c>
      <c r="C49" s="49">
        <f t="shared" ref="C49:H54" si="22">SUMIFS($J49:$V49,$J$5:$V$5,C$8)</f>
        <v>0</v>
      </c>
      <c r="D49" s="49">
        <f t="shared" si="22"/>
        <v>59194</v>
      </c>
      <c r="E49" s="49">
        <f t="shared" si="22"/>
        <v>1349</v>
      </c>
      <c r="F49" s="49">
        <f t="shared" si="22"/>
        <v>0</v>
      </c>
      <c r="G49" s="49">
        <f t="shared" si="22"/>
        <v>0</v>
      </c>
      <c r="H49" s="49">
        <f t="shared" si="22"/>
        <v>0</v>
      </c>
      <c r="J49" s="51"/>
      <c r="K49" s="52">
        <v>0</v>
      </c>
      <c r="L49" s="52">
        <v>0</v>
      </c>
      <c r="M49" s="51"/>
      <c r="N49" s="52">
        <v>0</v>
      </c>
      <c r="O49" s="52">
        <v>0</v>
      </c>
      <c r="P49" s="52">
        <v>59194</v>
      </c>
      <c r="Q49" s="51"/>
      <c r="R49" s="52">
        <v>1349</v>
      </c>
      <c r="S49" s="51"/>
      <c r="T49" s="51"/>
      <c r="U49" s="51"/>
      <c r="V49" s="51"/>
    </row>
    <row r="50" spans="2:22" ht="14.25" customHeight="1" outlineLevel="1" x14ac:dyDescent="0.45">
      <c r="B50" s="16" t="s">
        <v>211</v>
      </c>
      <c r="C50" s="49">
        <f t="shared" si="22"/>
        <v>-18941</v>
      </c>
      <c r="D50" s="49">
        <f t="shared" si="22"/>
        <v>-30554</v>
      </c>
      <c r="E50" s="49">
        <f t="shared" si="22"/>
        <v>-13777</v>
      </c>
      <c r="F50" s="49">
        <f t="shared" si="22"/>
        <v>0</v>
      </c>
      <c r="G50" s="49">
        <f t="shared" si="22"/>
        <v>0</v>
      </c>
      <c r="H50" s="49">
        <f t="shared" si="22"/>
        <v>0</v>
      </c>
      <c r="J50" s="51"/>
      <c r="K50" s="52">
        <v>-9063</v>
      </c>
      <c r="L50" s="52">
        <v>-9878</v>
      </c>
      <c r="M50" s="51"/>
      <c r="N50" s="52">
        <v>-10240</v>
      </c>
      <c r="O50" s="52">
        <v>-10399</v>
      </c>
      <c r="P50" s="52">
        <v>-9915</v>
      </c>
      <c r="Q50" s="51"/>
      <c r="R50" s="52">
        <v>-13777</v>
      </c>
      <c r="S50" s="51"/>
      <c r="T50" s="51"/>
      <c r="U50" s="51"/>
      <c r="V50" s="51"/>
    </row>
    <row r="51" spans="2:22" ht="14.25" customHeight="1" outlineLevel="1" x14ac:dyDescent="0.45">
      <c r="B51" s="16" t="s">
        <v>212</v>
      </c>
      <c r="C51" s="49">
        <f t="shared" si="22"/>
        <v>25000</v>
      </c>
      <c r="D51" s="49">
        <f t="shared" si="22"/>
        <v>174300</v>
      </c>
      <c r="E51" s="49">
        <f t="shared" si="22"/>
        <v>0</v>
      </c>
      <c r="F51" s="49">
        <f t="shared" si="22"/>
        <v>0</v>
      </c>
      <c r="G51" s="49">
        <f t="shared" si="22"/>
        <v>0</v>
      </c>
      <c r="H51" s="49">
        <f t="shared" si="22"/>
        <v>0</v>
      </c>
      <c r="J51" s="51"/>
      <c r="K51" s="52">
        <v>25000</v>
      </c>
      <c r="L51" s="52">
        <v>0</v>
      </c>
      <c r="M51" s="51"/>
      <c r="N51" s="52">
        <v>74300</v>
      </c>
      <c r="O51" s="52">
        <v>100000</v>
      </c>
      <c r="P51" s="52">
        <v>0</v>
      </c>
      <c r="Q51" s="51"/>
      <c r="R51" s="52">
        <v>0</v>
      </c>
      <c r="S51" s="51"/>
      <c r="T51" s="51"/>
      <c r="U51" s="51"/>
      <c r="V51" s="51"/>
    </row>
    <row r="52" spans="2:22" ht="14.25" customHeight="1" outlineLevel="1" x14ac:dyDescent="0.45">
      <c r="B52" s="16" t="s">
        <v>213</v>
      </c>
      <c r="C52" s="49">
        <f t="shared" si="22"/>
        <v>0</v>
      </c>
      <c r="D52" s="49">
        <f t="shared" si="22"/>
        <v>-149300</v>
      </c>
      <c r="E52" s="49">
        <f t="shared" si="22"/>
        <v>-50000</v>
      </c>
      <c r="F52" s="49">
        <f t="shared" si="22"/>
        <v>0</v>
      </c>
      <c r="G52" s="49">
        <f t="shared" si="22"/>
        <v>0</v>
      </c>
      <c r="H52" s="49">
        <f t="shared" si="22"/>
        <v>0</v>
      </c>
      <c r="J52" s="51"/>
      <c r="K52" s="52">
        <v>0</v>
      </c>
      <c r="L52" s="52">
        <v>0</v>
      </c>
      <c r="M52" s="51"/>
      <c r="N52" s="52">
        <v>-49300</v>
      </c>
      <c r="O52" s="52">
        <v>-100000</v>
      </c>
      <c r="P52" s="52">
        <v>0</v>
      </c>
      <c r="Q52" s="51"/>
      <c r="R52" s="52">
        <v>-50000</v>
      </c>
      <c r="S52" s="51"/>
      <c r="T52" s="51"/>
      <c r="U52" s="51"/>
      <c r="V52" s="51"/>
    </row>
    <row r="53" spans="2:22" ht="14.25" customHeight="1" outlineLevel="1" x14ac:dyDescent="0.45">
      <c r="B53" s="16" t="s">
        <v>214</v>
      </c>
      <c r="C53" s="49">
        <f t="shared" si="22"/>
        <v>-2639</v>
      </c>
      <c r="D53" s="49">
        <f t="shared" si="22"/>
        <v>-4064</v>
      </c>
      <c r="E53" s="49">
        <f t="shared" si="22"/>
        <v>-1126</v>
      </c>
      <c r="F53" s="49">
        <f t="shared" si="22"/>
        <v>0</v>
      </c>
      <c r="G53" s="49">
        <f t="shared" si="22"/>
        <v>0</v>
      </c>
      <c r="H53" s="49">
        <f t="shared" si="22"/>
        <v>0</v>
      </c>
      <c r="J53" s="51"/>
      <c r="K53" s="52">
        <v>-1181</v>
      </c>
      <c r="L53" s="52">
        <v>-1458</v>
      </c>
      <c r="M53" s="51"/>
      <c r="N53" s="52">
        <v>-1331</v>
      </c>
      <c r="O53" s="52">
        <v>-1532</v>
      </c>
      <c r="P53" s="52">
        <v>-1201</v>
      </c>
      <c r="Q53" s="51"/>
      <c r="R53" s="52">
        <v>-1126</v>
      </c>
      <c r="S53" s="51"/>
      <c r="T53" s="51"/>
      <c r="U53" s="51"/>
      <c r="V53" s="51"/>
    </row>
    <row r="54" spans="2:22" ht="14.25" customHeight="1" x14ac:dyDescent="0.45">
      <c r="B54" s="12" t="s">
        <v>215</v>
      </c>
      <c r="C54" s="53">
        <f t="shared" si="22"/>
        <v>3420</v>
      </c>
      <c r="D54" s="53">
        <f t="shared" si="22"/>
        <v>49576</v>
      </c>
      <c r="E54" s="53">
        <f t="shared" si="22"/>
        <v>-63554</v>
      </c>
      <c r="F54" s="53">
        <f t="shared" si="22"/>
        <v>0</v>
      </c>
      <c r="G54" s="53">
        <f t="shared" si="22"/>
        <v>0</v>
      </c>
      <c r="H54" s="53">
        <f t="shared" si="22"/>
        <v>0</v>
      </c>
      <c r="J54" s="53">
        <f t="shared" ref="J54:V54" si="23">J49+J50+J51+J52+J53</f>
        <v>0</v>
      </c>
      <c r="K54" s="53">
        <f t="shared" si="23"/>
        <v>14756</v>
      </c>
      <c r="L54" s="53">
        <f t="shared" si="23"/>
        <v>-11336</v>
      </c>
      <c r="M54" s="53">
        <f t="shared" si="23"/>
        <v>0</v>
      </c>
      <c r="N54" s="53">
        <f t="shared" si="23"/>
        <v>13429</v>
      </c>
      <c r="O54" s="53">
        <f t="shared" si="23"/>
        <v>-11931</v>
      </c>
      <c r="P54" s="53">
        <f t="shared" si="23"/>
        <v>48078</v>
      </c>
      <c r="Q54" s="53">
        <f t="shared" si="23"/>
        <v>0</v>
      </c>
      <c r="R54" s="53">
        <f t="shared" si="23"/>
        <v>-63554</v>
      </c>
      <c r="S54" s="53">
        <f t="shared" si="23"/>
        <v>0</v>
      </c>
      <c r="T54" s="53">
        <f t="shared" si="23"/>
        <v>0</v>
      </c>
      <c r="U54" s="53">
        <f t="shared" si="23"/>
        <v>0</v>
      </c>
      <c r="V54" s="53">
        <f t="shared" si="23"/>
        <v>0</v>
      </c>
    </row>
    <row r="56" spans="2:22" ht="14.25" customHeight="1" x14ac:dyDescent="0.45">
      <c r="B56" s="12" t="s">
        <v>216</v>
      </c>
      <c r="C56" s="53">
        <f t="shared" ref="C56:H59" si="24">SUMIFS($J56:$V56,$J$5:$V$5,C$8)</f>
        <v>-1448</v>
      </c>
      <c r="D56" s="53">
        <f t="shared" si="24"/>
        <v>46511</v>
      </c>
      <c r="E56" s="53">
        <f t="shared" si="24"/>
        <v>23966</v>
      </c>
      <c r="F56" s="53">
        <f t="shared" si="24"/>
        <v>0</v>
      </c>
      <c r="G56" s="53">
        <f t="shared" si="24"/>
        <v>0</v>
      </c>
      <c r="H56" s="53">
        <f t="shared" si="24"/>
        <v>0</v>
      </c>
      <c r="J56" s="53">
        <f t="shared" ref="J56:V56" si="25">J35+J46+J54</f>
        <v>-3275</v>
      </c>
      <c r="K56" s="53">
        <f t="shared" si="25"/>
        <v>21642</v>
      </c>
      <c r="L56" s="53">
        <f t="shared" si="25"/>
        <v>-19815</v>
      </c>
      <c r="M56" s="53">
        <f t="shared" si="25"/>
        <v>0</v>
      </c>
      <c r="N56" s="53">
        <f t="shared" si="25"/>
        <v>-2664</v>
      </c>
      <c r="O56" s="53">
        <f t="shared" si="25"/>
        <v>4847</v>
      </c>
      <c r="P56" s="53">
        <f t="shared" si="25"/>
        <v>44328</v>
      </c>
      <c r="Q56" s="53">
        <f t="shared" si="25"/>
        <v>0</v>
      </c>
      <c r="R56" s="53">
        <f t="shared" si="25"/>
        <v>23966</v>
      </c>
      <c r="S56" s="53">
        <f t="shared" si="25"/>
        <v>0</v>
      </c>
      <c r="T56" s="53">
        <f t="shared" si="25"/>
        <v>0</v>
      </c>
      <c r="U56" s="53">
        <f t="shared" si="25"/>
        <v>0</v>
      </c>
      <c r="V56" s="53">
        <f t="shared" si="25"/>
        <v>0</v>
      </c>
    </row>
    <row r="57" spans="2:22" ht="14.25" customHeight="1" x14ac:dyDescent="0.45">
      <c r="B57" s="16" t="s">
        <v>217</v>
      </c>
      <c r="C57" s="49">
        <f t="shared" si="24"/>
        <v>133125</v>
      </c>
      <c r="D57" s="49">
        <f t="shared" si="24"/>
        <v>166530</v>
      </c>
      <c r="E57" s="49">
        <f t="shared" si="24"/>
        <v>130502</v>
      </c>
      <c r="F57" s="49">
        <f t="shared" si="24"/>
        <v>0</v>
      </c>
      <c r="G57" s="49">
        <f t="shared" si="24"/>
        <v>0</v>
      </c>
      <c r="H57" s="49">
        <f t="shared" si="24"/>
        <v>0</v>
      </c>
      <c r="J57" s="51"/>
      <c r="K57" s="52">
        <v>57379</v>
      </c>
      <c r="L57" s="52">
        <v>75746</v>
      </c>
      <c r="M57" s="51"/>
      <c r="N57" s="52">
        <v>55783</v>
      </c>
      <c r="O57" s="52">
        <v>52888</v>
      </c>
      <c r="P57" s="52">
        <v>57859</v>
      </c>
      <c r="Q57" s="51"/>
      <c r="R57" s="52">
        <v>130502</v>
      </c>
      <c r="S57" s="51"/>
      <c r="T57" s="51"/>
      <c r="U57" s="51"/>
      <c r="V57" s="51"/>
    </row>
    <row r="58" spans="2:22" ht="14.25" customHeight="1" x14ac:dyDescent="0.45">
      <c r="B58" s="16" t="s">
        <v>218</v>
      </c>
      <c r="C58" s="49">
        <f t="shared" si="24"/>
        <v>0</v>
      </c>
      <c r="D58" s="49">
        <f t="shared" si="24"/>
        <v>208</v>
      </c>
      <c r="E58" s="49">
        <f t="shared" si="24"/>
        <v>67</v>
      </c>
      <c r="F58" s="49">
        <f t="shared" si="24"/>
        <v>0</v>
      </c>
      <c r="G58" s="49">
        <f t="shared" si="24"/>
        <v>0</v>
      </c>
      <c r="H58" s="49">
        <f t="shared" si="24"/>
        <v>0</v>
      </c>
      <c r="J58" s="51"/>
      <c r="K58" s="52">
        <v>0</v>
      </c>
      <c r="L58" s="52">
        <v>0</v>
      </c>
      <c r="M58" s="51"/>
      <c r="N58" s="52">
        <v>-231</v>
      </c>
      <c r="O58" s="52">
        <v>124</v>
      </c>
      <c r="P58" s="52">
        <v>315</v>
      </c>
      <c r="Q58" s="51"/>
      <c r="R58" s="52">
        <v>67</v>
      </c>
      <c r="S58" s="51"/>
      <c r="T58" s="51"/>
      <c r="U58" s="51"/>
      <c r="V58" s="51"/>
    </row>
    <row r="59" spans="2:22" ht="14.25" customHeight="1" x14ac:dyDescent="0.45">
      <c r="B59" s="12" t="s">
        <v>219</v>
      </c>
      <c r="C59" s="53">
        <f t="shared" si="24"/>
        <v>131677</v>
      </c>
      <c r="D59" s="53">
        <f t="shared" si="24"/>
        <v>213249</v>
      </c>
      <c r="E59" s="53">
        <f t="shared" si="24"/>
        <v>154535</v>
      </c>
      <c r="F59" s="53">
        <f t="shared" si="24"/>
        <v>0</v>
      </c>
      <c r="G59" s="53">
        <f t="shared" si="24"/>
        <v>0</v>
      </c>
      <c r="H59" s="53">
        <f t="shared" si="24"/>
        <v>0</v>
      </c>
      <c r="J59" s="53">
        <f t="shared" ref="J59:V59" si="26">J56+J57+J58</f>
        <v>-3275</v>
      </c>
      <c r="K59" s="53">
        <f t="shared" si="26"/>
        <v>79021</v>
      </c>
      <c r="L59" s="53">
        <f t="shared" si="26"/>
        <v>55931</v>
      </c>
      <c r="M59" s="53">
        <f t="shared" si="26"/>
        <v>0</v>
      </c>
      <c r="N59" s="53">
        <f t="shared" si="26"/>
        <v>52888</v>
      </c>
      <c r="O59" s="53">
        <f t="shared" si="26"/>
        <v>57859</v>
      </c>
      <c r="P59" s="53">
        <f t="shared" si="26"/>
        <v>102502</v>
      </c>
      <c r="Q59" s="53">
        <f t="shared" si="26"/>
        <v>0</v>
      </c>
      <c r="R59" s="53">
        <f t="shared" si="26"/>
        <v>154535</v>
      </c>
      <c r="S59" s="53">
        <f t="shared" si="26"/>
        <v>0</v>
      </c>
      <c r="T59" s="53">
        <f t="shared" si="26"/>
        <v>0</v>
      </c>
      <c r="U59" s="53">
        <f t="shared" si="26"/>
        <v>0</v>
      </c>
      <c r="V59" s="53">
        <f t="shared" si="26"/>
        <v>0</v>
      </c>
    </row>
    <row r="61" spans="2:22" ht="14.25" customHeight="1" x14ac:dyDescent="0.45">
      <c r="B61" s="35" t="s">
        <v>220</v>
      </c>
      <c r="C61" s="36"/>
      <c r="D61" s="36"/>
      <c r="E61" s="36"/>
      <c r="F61" s="36"/>
      <c r="G61" s="36"/>
      <c r="H61" s="36"/>
      <c r="J61" s="36"/>
      <c r="K61" s="36"/>
      <c r="L61" s="36"/>
      <c r="M61" s="36"/>
      <c r="N61" s="36"/>
      <c r="O61" s="36"/>
      <c r="P61" s="36"/>
      <c r="Q61" s="36"/>
      <c r="R61" s="36"/>
      <c r="S61" s="36"/>
      <c r="T61" s="36"/>
      <c r="U61" s="36"/>
      <c r="V61" s="36"/>
    </row>
    <row r="62" spans="2:22" ht="14.25" customHeight="1" x14ac:dyDescent="0.45">
      <c r="B62" s="16" t="s">
        <v>221</v>
      </c>
      <c r="C62" s="49">
        <f t="shared" ref="C62:H62" si="27">C35</f>
        <v>3687</v>
      </c>
      <c r="D62" s="49">
        <f t="shared" si="27"/>
        <v>-33197</v>
      </c>
      <c r="E62" s="49">
        <f t="shared" si="27"/>
        <v>90923</v>
      </c>
      <c r="F62" s="49">
        <f t="shared" si="27"/>
        <v>0</v>
      </c>
      <c r="G62" s="49">
        <f t="shared" si="27"/>
        <v>0</v>
      </c>
      <c r="H62" s="49">
        <f t="shared" si="27"/>
        <v>0</v>
      </c>
      <c r="J62" s="49">
        <f t="shared" ref="J62:V62" si="28">J35</f>
        <v>-3275</v>
      </c>
      <c r="K62" s="49">
        <f t="shared" si="28"/>
        <v>16737</v>
      </c>
      <c r="L62" s="49">
        <f t="shared" si="28"/>
        <v>-9775</v>
      </c>
      <c r="M62" s="49">
        <f t="shared" si="28"/>
        <v>0</v>
      </c>
      <c r="N62" s="49">
        <f t="shared" si="28"/>
        <v>-3579</v>
      </c>
      <c r="O62" s="49">
        <f t="shared" si="28"/>
        <v>17005</v>
      </c>
      <c r="P62" s="49">
        <f t="shared" si="28"/>
        <v>-46623</v>
      </c>
      <c r="Q62" s="49">
        <f t="shared" si="28"/>
        <v>0</v>
      </c>
      <c r="R62" s="49">
        <f t="shared" si="28"/>
        <v>90923</v>
      </c>
      <c r="S62" s="49">
        <f t="shared" si="28"/>
        <v>0</v>
      </c>
      <c r="T62" s="49">
        <f t="shared" si="28"/>
        <v>0</v>
      </c>
      <c r="U62" s="49">
        <f t="shared" si="28"/>
        <v>0</v>
      </c>
      <c r="V62" s="49">
        <f t="shared" si="28"/>
        <v>0</v>
      </c>
    </row>
    <row r="63" spans="2:22" ht="14.25" customHeight="1" x14ac:dyDescent="0.45">
      <c r="B63" s="16" t="s">
        <v>222</v>
      </c>
      <c r="C63" s="49">
        <f t="shared" ref="C63:H64" si="29">SUMIFS($J63:$V63,$J$5:$V$5,C$8)</f>
        <v>-134</v>
      </c>
      <c r="D63" s="49">
        <f t="shared" si="29"/>
        <v>-2344</v>
      </c>
      <c r="E63" s="49">
        <f t="shared" si="29"/>
        <v>-412</v>
      </c>
      <c r="F63" s="49">
        <f t="shared" si="29"/>
        <v>0</v>
      </c>
      <c r="G63" s="49">
        <f t="shared" si="29"/>
        <v>0</v>
      </c>
      <c r="H63" s="49">
        <f t="shared" si="29"/>
        <v>0</v>
      </c>
      <c r="J63" s="52"/>
      <c r="K63" s="52">
        <v>-42</v>
      </c>
      <c r="L63" s="52">
        <v>-92</v>
      </c>
      <c r="M63" s="52"/>
      <c r="N63" s="52">
        <v>-196</v>
      </c>
      <c r="O63" s="52">
        <v>-54</v>
      </c>
      <c r="P63" s="52">
        <v>-2094</v>
      </c>
      <c r="Q63" s="52"/>
      <c r="R63" s="52">
        <v>-412</v>
      </c>
      <c r="S63" s="52"/>
      <c r="T63" s="52"/>
      <c r="U63" s="52"/>
      <c r="V63" s="52"/>
    </row>
    <row r="64" spans="2:22" ht="14.25" customHeight="1" x14ac:dyDescent="0.45">
      <c r="B64" s="12" t="s">
        <v>223</v>
      </c>
      <c r="C64" s="53">
        <f t="shared" si="29"/>
        <v>3553</v>
      </c>
      <c r="D64" s="53">
        <f t="shared" si="29"/>
        <v>-35541</v>
      </c>
      <c r="E64" s="53">
        <f t="shared" si="29"/>
        <v>90511</v>
      </c>
      <c r="F64" s="53">
        <f t="shared" si="29"/>
        <v>0</v>
      </c>
      <c r="G64" s="53">
        <f t="shared" si="29"/>
        <v>0</v>
      </c>
      <c r="H64" s="53">
        <f t="shared" si="29"/>
        <v>0</v>
      </c>
      <c r="J64" s="53">
        <f t="shared" ref="J64:V64" si="30">J35+J63</f>
        <v>-3275</v>
      </c>
      <c r="K64" s="53">
        <f t="shared" si="30"/>
        <v>16695</v>
      </c>
      <c r="L64" s="53">
        <f t="shared" si="30"/>
        <v>-9867</v>
      </c>
      <c r="M64" s="53">
        <f t="shared" si="30"/>
        <v>0</v>
      </c>
      <c r="N64" s="53">
        <f t="shared" si="30"/>
        <v>-3775</v>
      </c>
      <c r="O64" s="53">
        <f t="shared" si="30"/>
        <v>16951</v>
      </c>
      <c r="P64" s="53">
        <f t="shared" si="30"/>
        <v>-48717</v>
      </c>
      <c r="Q64" s="53">
        <f t="shared" si="30"/>
        <v>0</v>
      </c>
      <c r="R64" s="53">
        <f t="shared" si="30"/>
        <v>90511</v>
      </c>
      <c r="S64" s="53">
        <f t="shared" si="30"/>
        <v>0</v>
      </c>
      <c r="T64" s="53">
        <f t="shared" si="30"/>
        <v>0</v>
      </c>
      <c r="U64" s="53">
        <f t="shared" si="30"/>
        <v>0</v>
      </c>
      <c r="V64" s="53">
        <f t="shared" si="30"/>
        <v>0</v>
      </c>
    </row>
    <row r="66" spans="2:2" ht="14.25" customHeight="1" x14ac:dyDescent="0.45">
      <c r="B66" s="41" t="s">
        <v>105</v>
      </c>
    </row>
    <row r="67" spans="2:2" ht="27.75" customHeight="1" x14ac:dyDescent="0.45">
      <c r="B67" s="42" t="s">
        <v>224</v>
      </c>
    </row>
    <row r="68" spans="2:2" ht="36.75" customHeight="1" x14ac:dyDescent="0.45">
      <c r="B68" s="42" t="s">
        <v>225</v>
      </c>
    </row>
    <row r="69" spans="2:2" ht="36.75" customHeight="1" x14ac:dyDescent="0.45">
      <c r="B69" s="42" t="s">
        <v>226</v>
      </c>
    </row>
    <row r="70" spans="2:2" ht="54.75" customHeight="1" x14ac:dyDescent="0.45">
      <c r="B70" s="42" t="s">
        <v>227</v>
      </c>
    </row>
    <row r="71" spans="2:2" ht="54.75" customHeight="1" x14ac:dyDescent="0.45">
      <c r="B71" s="42" t="s">
        <v>228</v>
      </c>
    </row>
    <row r="72" spans="2:2" ht="63.75" customHeight="1" x14ac:dyDescent="0.45">
      <c r="B72" s="42" t="s">
        <v>229</v>
      </c>
    </row>
    <row r="73" spans="2:2" ht="27.75" customHeight="1" x14ac:dyDescent="0.45">
      <c r="B73" s="42" t="s">
        <v>230</v>
      </c>
    </row>
    <row r="74" spans="2:2" ht="18.75" customHeight="1" x14ac:dyDescent="0.45">
      <c r="B74" s="42" t="s">
        <v>168</v>
      </c>
    </row>
    <row r="76" spans="2:2" ht="53.25" customHeight="1" x14ac:dyDescent="0.45">
      <c r="B76" s="8" t="s">
        <v>169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D149C-43E5-45DE-AEA8-7D159EAA4D4E}">
  <sheetPr>
    <tabColor theme="9" tint="-0.249977111117893"/>
  </sheetPr>
  <dimension ref="A1"/>
  <sheetViews>
    <sheetView workbookViewId="0"/>
  </sheetViews>
  <sheetFormatPr defaultRowHeight="14.25" x14ac:dyDescent="0.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5378-FF51-405B-BE00-BCB7545F1B9F}">
  <sheetPr>
    <tabColor theme="9" tint="0.39997558519241921"/>
    <pageSetUpPr autoPageBreaks="0" fitToPage="1"/>
  </sheetPr>
  <dimension ref="B2:BJ71"/>
  <sheetViews>
    <sheetView showGridLines="0" zoomScale="85" zoomScaleNormal="85" workbookViewId="0">
      <selection activeCell="A18" sqref="A18"/>
    </sheetView>
  </sheetViews>
  <sheetFormatPr defaultColWidth="8.73046875" defaultRowHeight="12.75" x14ac:dyDescent="0.35"/>
  <cols>
    <col min="1" max="1" width="3.73046875" style="67" customWidth="1"/>
    <col min="2" max="2" width="39.46484375" style="67" customWidth="1"/>
    <col min="3" max="3" width="11.53125" style="68" bestFit="1" customWidth="1"/>
    <col min="4" max="6" width="10.46484375" style="68" bestFit="1" customWidth="1"/>
    <col min="7" max="12" width="11.53125" style="68" bestFit="1" customWidth="1"/>
    <col min="13" max="13" width="10.46484375" style="68" bestFit="1" customWidth="1"/>
    <col min="14" max="20" width="10.46484375" style="67" bestFit="1" customWidth="1"/>
    <col min="21" max="23" width="8.73046875" style="67"/>
    <col min="24" max="54" width="9.796875" style="67" bestFit="1" customWidth="1"/>
    <col min="55" max="59" width="8.796875" style="67" bestFit="1" customWidth="1"/>
    <col min="60" max="62" width="9.796875" style="67" bestFit="1" customWidth="1"/>
    <col min="63" max="16384" width="8.73046875" style="67"/>
  </cols>
  <sheetData>
    <row r="2" spans="2:62" ht="13.15" x14ac:dyDescent="0.35">
      <c r="B2" s="69"/>
    </row>
    <row r="3" spans="2:62" ht="13.15" x14ac:dyDescent="0.35">
      <c r="B3" s="69"/>
    </row>
    <row r="4" spans="2:62" ht="13.15" x14ac:dyDescent="0.35">
      <c r="B4" s="69" t="s">
        <v>301</v>
      </c>
    </row>
    <row r="5" spans="2:62" ht="13.15" x14ac:dyDescent="0.35">
      <c r="B5" s="69" t="s">
        <v>302</v>
      </c>
    </row>
    <row r="6" spans="2:62" ht="13.15" x14ac:dyDescent="0.35">
      <c r="B6" s="69"/>
      <c r="C6" s="68">
        <f>+YEAR(C8)</f>
        <v>2025</v>
      </c>
      <c r="D6" s="68">
        <f t="shared" ref="D6:T6" si="0">+YEAR(D8)</f>
        <v>2025</v>
      </c>
      <c r="E6" s="68">
        <f t="shared" si="0"/>
        <v>2025</v>
      </c>
      <c r="F6" s="68">
        <f t="shared" si="0"/>
        <v>2025</v>
      </c>
      <c r="G6" s="68">
        <f t="shared" si="0"/>
        <v>2025</v>
      </c>
      <c r="H6" s="68">
        <f t="shared" si="0"/>
        <v>2025</v>
      </c>
      <c r="I6" s="68">
        <f t="shared" si="0"/>
        <v>2025</v>
      </c>
      <c r="J6" s="68">
        <f t="shared" si="0"/>
        <v>2025</v>
      </c>
      <c r="K6" s="68">
        <f t="shared" si="0"/>
        <v>2025</v>
      </c>
      <c r="L6" s="68">
        <f t="shared" si="0"/>
        <v>2025</v>
      </c>
      <c r="M6" s="68">
        <f t="shared" si="0"/>
        <v>2025</v>
      </c>
      <c r="N6" s="68">
        <f t="shared" si="0"/>
        <v>2025</v>
      </c>
      <c r="O6" s="68">
        <f t="shared" si="0"/>
        <v>2026</v>
      </c>
      <c r="P6" s="68">
        <f t="shared" si="0"/>
        <v>2026</v>
      </c>
      <c r="Q6" s="68">
        <f t="shared" si="0"/>
        <v>2026</v>
      </c>
      <c r="R6" s="68">
        <f t="shared" si="0"/>
        <v>2026</v>
      </c>
      <c r="S6" s="68">
        <f t="shared" si="0"/>
        <v>2026</v>
      </c>
      <c r="T6" s="68">
        <f t="shared" si="0"/>
        <v>2026</v>
      </c>
      <c r="U6" s="68">
        <f t="shared" ref="U6:Z6" si="1">+YEAR(U8)</f>
        <v>2026</v>
      </c>
      <c r="V6" s="68">
        <f t="shared" si="1"/>
        <v>2026</v>
      </c>
      <c r="W6" s="68">
        <f t="shared" si="1"/>
        <v>2026</v>
      </c>
      <c r="X6" s="68">
        <f t="shared" si="1"/>
        <v>2026</v>
      </c>
      <c r="Y6" s="68">
        <f t="shared" si="1"/>
        <v>2026</v>
      </c>
      <c r="Z6" s="68">
        <f t="shared" si="1"/>
        <v>2026</v>
      </c>
      <c r="AA6" s="68">
        <f t="shared" ref="AA6:BC6" si="2">+YEAR(AA8)</f>
        <v>2027</v>
      </c>
      <c r="AB6" s="68">
        <f t="shared" si="2"/>
        <v>2027</v>
      </c>
      <c r="AC6" s="68">
        <f t="shared" si="2"/>
        <v>2027</v>
      </c>
      <c r="AD6" s="68">
        <f t="shared" si="2"/>
        <v>2027</v>
      </c>
      <c r="AE6" s="68">
        <f t="shared" si="2"/>
        <v>2027</v>
      </c>
      <c r="AF6" s="68">
        <f t="shared" si="2"/>
        <v>2027</v>
      </c>
      <c r="AG6" s="68">
        <f t="shared" si="2"/>
        <v>2027</v>
      </c>
      <c r="AH6" s="68">
        <f t="shared" si="2"/>
        <v>2027</v>
      </c>
      <c r="AI6" s="68">
        <f t="shared" si="2"/>
        <v>2027</v>
      </c>
      <c r="AJ6" s="68">
        <f t="shared" si="2"/>
        <v>2027</v>
      </c>
      <c r="AK6" s="68">
        <f t="shared" si="2"/>
        <v>2027</v>
      </c>
      <c r="AL6" s="68">
        <f t="shared" si="2"/>
        <v>2027</v>
      </c>
      <c r="AM6" s="68">
        <f t="shared" si="2"/>
        <v>2028</v>
      </c>
      <c r="AN6" s="68">
        <f t="shared" si="2"/>
        <v>2028</v>
      </c>
      <c r="AO6" s="68">
        <f t="shared" si="2"/>
        <v>2028</v>
      </c>
      <c r="AP6" s="68">
        <f t="shared" si="2"/>
        <v>2028</v>
      </c>
      <c r="AQ6" s="68">
        <f t="shared" si="2"/>
        <v>2028</v>
      </c>
      <c r="AR6" s="68">
        <f t="shared" si="2"/>
        <v>2028</v>
      </c>
      <c r="AS6" s="68">
        <f t="shared" si="2"/>
        <v>2028</v>
      </c>
      <c r="AT6" s="68">
        <f t="shared" si="2"/>
        <v>2028</v>
      </c>
      <c r="AU6" s="68">
        <f t="shared" si="2"/>
        <v>2028</v>
      </c>
      <c r="AV6" s="68">
        <f t="shared" si="2"/>
        <v>2028</v>
      </c>
      <c r="AW6" s="68">
        <f t="shared" si="2"/>
        <v>2028</v>
      </c>
      <c r="AX6" s="68">
        <f t="shared" si="2"/>
        <v>2028</v>
      </c>
      <c r="AY6" s="68">
        <f t="shared" si="2"/>
        <v>2029</v>
      </c>
      <c r="AZ6" s="68">
        <f t="shared" si="2"/>
        <v>2029</v>
      </c>
      <c r="BA6" s="68">
        <f t="shared" si="2"/>
        <v>2029</v>
      </c>
      <c r="BB6" s="68">
        <f t="shared" si="2"/>
        <v>2029</v>
      </c>
      <c r="BC6" s="68">
        <f t="shared" si="2"/>
        <v>2029</v>
      </c>
      <c r="BD6" s="68">
        <f t="shared" ref="BD6:BJ6" si="3">+YEAR(BD8)</f>
        <v>2029</v>
      </c>
      <c r="BE6" s="68">
        <f t="shared" si="3"/>
        <v>2029</v>
      </c>
      <c r="BF6" s="68">
        <f t="shared" si="3"/>
        <v>2029</v>
      </c>
      <c r="BG6" s="68">
        <f t="shared" si="3"/>
        <v>2029</v>
      </c>
      <c r="BH6" s="68">
        <f t="shared" si="3"/>
        <v>2029</v>
      </c>
      <c r="BI6" s="68">
        <f t="shared" si="3"/>
        <v>2029</v>
      </c>
      <c r="BJ6" s="68">
        <f t="shared" si="3"/>
        <v>2029</v>
      </c>
    </row>
    <row r="7" spans="2:62" ht="13.15" x14ac:dyDescent="0.35">
      <c r="B7" s="69"/>
      <c r="C7" s="68" t="str">
        <f>"Q"&amp;ROUNDUP(MONTH(C8)/3,0)</f>
        <v>Q1</v>
      </c>
      <c r="D7" s="68" t="str">
        <f t="shared" ref="D7:T7" si="4">"Q"&amp;ROUNDUP(MONTH(D8)/3,0)</f>
        <v>Q1</v>
      </c>
      <c r="E7" s="68" t="str">
        <f t="shared" si="4"/>
        <v>Q1</v>
      </c>
      <c r="F7" s="68" t="str">
        <f t="shared" si="4"/>
        <v>Q2</v>
      </c>
      <c r="G7" s="68" t="str">
        <f t="shared" si="4"/>
        <v>Q2</v>
      </c>
      <c r="H7" s="68" t="str">
        <f t="shared" si="4"/>
        <v>Q2</v>
      </c>
      <c r="I7" s="68" t="str">
        <f t="shared" si="4"/>
        <v>Q3</v>
      </c>
      <c r="J7" s="68" t="str">
        <f t="shared" si="4"/>
        <v>Q3</v>
      </c>
      <c r="K7" s="68" t="str">
        <f t="shared" si="4"/>
        <v>Q3</v>
      </c>
      <c r="L7" s="68" t="str">
        <f t="shared" si="4"/>
        <v>Q4</v>
      </c>
      <c r="M7" s="68" t="str">
        <f t="shared" si="4"/>
        <v>Q4</v>
      </c>
      <c r="N7" s="68" t="str">
        <f t="shared" si="4"/>
        <v>Q4</v>
      </c>
      <c r="O7" s="68" t="str">
        <f t="shared" si="4"/>
        <v>Q1</v>
      </c>
      <c r="P7" s="68" t="str">
        <f t="shared" si="4"/>
        <v>Q1</v>
      </c>
      <c r="Q7" s="68" t="str">
        <f t="shared" si="4"/>
        <v>Q1</v>
      </c>
      <c r="R7" s="68" t="str">
        <f t="shared" si="4"/>
        <v>Q2</v>
      </c>
      <c r="S7" s="68" t="str">
        <f t="shared" si="4"/>
        <v>Q2</v>
      </c>
      <c r="T7" s="68" t="str">
        <f t="shared" si="4"/>
        <v>Q2</v>
      </c>
      <c r="U7" s="68" t="str">
        <f t="shared" ref="U7" si="5">"Q"&amp;ROUNDUP(MONTH(U8)/3,0)</f>
        <v>Q3</v>
      </c>
      <c r="V7" s="68" t="str">
        <f t="shared" ref="V7" si="6">"Q"&amp;ROUNDUP(MONTH(V8)/3,0)</f>
        <v>Q3</v>
      </c>
      <c r="W7" s="68" t="str">
        <f t="shared" ref="W7" si="7">"Q"&amp;ROUNDUP(MONTH(W8)/3,0)</f>
        <v>Q3</v>
      </c>
      <c r="X7" s="68" t="str">
        <f t="shared" ref="X7" si="8">"Q"&amp;ROUNDUP(MONTH(X8)/3,0)</f>
        <v>Q4</v>
      </c>
      <c r="Y7" s="68" t="str">
        <f t="shared" ref="Y7" si="9">"Q"&amp;ROUNDUP(MONTH(Y8)/3,0)</f>
        <v>Q4</v>
      </c>
      <c r="Z7" s="68" t="str">
        <f t="shared" ref="Z7" si="10">"Q"&amp;ROUNDUP(MONTH(Z8)/3,0)</f>
        <v>Q4</v>
      </c>
      <c r="AA7" s="68" t="str">
        <f t="shared" ref="AA7" si="11">"Q"&amp;ROUNDUP(MONTH(AA8)/3,0)</f>
        <v>Q1</v>
      </c>
      <c r="AB7" s="68" t="str">
        <f t="shared" ref="AB7" si="12">"Q"&amp;ROUNDUP(MONTH(AB8)/3,0)</f>
        <v>Q1</v>
      </c>
      <c r="AC7" s="68" t="str">
        <f t="shared" ref="AC7" si="13">"Q"&amp;ROUNDUP(MONTH(AC8)/3,0)</f>
        <v>Q1</v>
      </c>
      <c r="AD7" s="68" t="str">
        <f t="shared" ref="AD7" si="14">"Q"&amp;ROUNDUP(MONTH(AD8)/3,0)</f>
        <v>Q2</v>
      </c>
      <c r="AE7" s="68" t="str">
        <f t="shared" ref="AE7" si="15">"Q"&amp;ROUNDUP(MONTH(AE8)/3,0)</f>
        <v>Q2</v>
      </c>
      <c r="AF7" s="68" t="str">
        <f t="shared" ref="AF7" si="16">"Q"&amp;ROUNDUP(MONTH(AF8)/3,0)</f>
        <v>Q2</v>
      </c>
      <c r="AG7" s="68" t="str">
        <f t="shared" ref="AG7" si="17">"Q"&amp;ROUNDUP(MONTH(AG8)/3,0)</f>
        <v>Q3</v>
      </c>
      <c r="AH7" s="68" t="str">
        <f t="shared" ref="AH7" si="18">"Q"&amp;ROUNDUP(MONTH(AH8)/3,0)</f>
        <v>Q3</v>
      </c>
      <c r="AI7" s="68" t="str">
        <f t="shared" ref="AI7" si="19">"Q"&amp;ROUNDUP(MONTH(AI8)/3,0)</f>
        <v>Q3</v>
      </c>
      <c r="AJ7" s="68" t="str">
        <f t="shared" ref="AJ7" si="20">"Q"&amp;ROUNDUP(MONTH(AJ8)/3,0)</f>
        <v>Q4</v>
      </c>
      <c r="AK7" s="68" t="str">
        <f t="shared" ref="AK7" si="21">"Q"&amp;ROUNDUP(MONTH(AK8)/3,0)</f>
        <v>Q4</v>
      </c>
      <c r="AL7" s="68" t="str">
        <f t="shared" ref="AL7" si="22">"Q"&amp;ROUNDUP(MONTH(AL8)/3,0)</f>
        <v>Q4</v>
      </c>
      <c r="AM7" s="68" t="str">
        <f t="shared" ref="AM7" si="23">"Q"&amp;ROUNDUP(MONTH(AM8)/3,0)</f>
        <v>Q1</v>
      </c>
      <c r="AN7" s="68" t="str">
        <f t="shared" ref="AN7" si="24">"Q"&amp;ROUNDUP(MONTH(AN8)/3,0)</f>
        <v>Q1</v>
      </c>
      <c r="AO7" s="68" t="str">
        <f t="shared" ref="AO7" si="25">"Q"&amp;ROUNDUP(MONTH(AO8)/3,0)</f>
        <v>Q1</v>
      </c>
      <c r="AP7" s="68" t="str">
        <f t="shared" ref="AP7" si="26">"Q"&amp;ROUNDUP(MONTH(AP8)/3,0)</f>
        <v>Q2</v>
      </c>
      <c r="AQ7" s="68" t="str">
        <f t="shared" ref="AQ7" si="27">"Q"&amp;ROUNDUP(MONTH(AQ8)/3,0)</f>
        <v>Q2</v>
      </c>
      <c r="AR7" s="68" t="str">
        <f t="shared" ref="AR7" si="28">"Q"&amp;ROUNDUP(MONTH(AR8)/3,0)</f>
        <v>Q2</v>
      </c>
      <c r="AS7" s="68" t="str">
        <f t="shared" ref="AS7" si="29">"Q"&amp;ROUNDUP(MONTH(AS8)/3,0)</f>
        <v>Q3</v>
      </c>
      <c r="AT7" s="68" t="str">
        <f t="shared" ref="AT7" si="30">"Q"&amp;ROUNDUP(MONTH(AT8)/3,0)</f>
        <v>Q3</v>
      </c>
      <c r="AU7" s="68" t="str">
        <f t="shared" ref="AU7" si="31">"Q"&amp;ROUNDUP(MONTH(AU8)/3,0)</f>
        <v>Q3</v>
      </c>
      <c r="AV7" s="68" t="str">
        <f t="shared" ref="AV7" si="32">"Q"&amp;ROUNDUP(MONTH(AV8)/3,0)</f>
        <v>Q4</v>
      </c>
      <c r="AW7" s="68" t="str">
        <f t="shared" ref="AW7" si="33">"Q"&amp;ROUNDUP(MONTH(AW8)/3,0)</f>
        <v>Q4</v>
      </c>
      <c r="AX7" s="68" t="str">
        <f t="shared" ref="AX7" si="34">"Q"&amp;ROUNDUP(MONTH(AX8)/3,0)</f>
        <v>Q4</v>
      </c>
      <c r="AY7" s="68" t="str">
        <f t="shared" ref="AY7" si="35">"Q"&amp;ROUNDUP(MONTH(AY8)/3,0)</f>
        <v>Q1</v>
      </c>
      <c r="AZ7" s="68" t="str">
        <f t="shared" ref="AZ7" si="36">"Q"&amp;ROUNDUP(MONTH(AZ8)/3,0)</f>
        <v>Q1</v>
      </c>
      <c r="BA7" s="68" t="str">
        <f t="shared" ref="BA7" si="37">"Q"&amp;ROUNDUP(MONTH(BA8)/3,0)</f>
        <v>Q1</v>
      </c>
      <c r="BB7" s="68" t="str">
        <f t="shared" ref="BB7" si="38">"Q"&amp;ROUNDUP(MONTH(BB8)/3,0)</f>
        <v>Q2</v>
      </c>
      <c r="BC7" s="68" t="str">
        <f t="shared" ref="BC7" si="39">"Q"&amp;ROUNDUP(MONTH(BC8)/3,0)</f>
        <v>Q2</v>
      </c>
      <c r="BD7" s="68" t="str">
        <f t="shared" ref="BD7" si="40">"Q"&amp;ROUNDUP(MONTH(BD8)/3,0)</f>
        <v>Q2</v>
      </c>
      <c r="BE7" s="68" t="str">
        <f t="shared" ref="BE7" si="41">"Q"&amp;ROUNDUP(MONTH(BE8)/3,0)</f>
        <v>Q3</v>
      </c>
      <c r="BF7" s="68" t="str">
        <f t="shared" ref="BF7" si="42">"Q"&amp;ROUNDUP(MONTH(BF8)/3,0)</f>
        <v>Q3</v>
      </c>
      <c r="BG7" s="68" t="str">
        <f t="shared" ref="BG7" si="43">"Q"&amp;ROUNDUP(MONTH(BG8)/3,0)</f>
        <v>Q3</v>
      </c>
      <c r="BH7" s="68" t="str">
        <f t="shared" ref="BH7" si="44">"Q"&amp;ROUNDUP(MONTH(BH8)/3,0)</f>
        <v>Q4</v>
      </c>
      <c r="BI7" s="68" t="str">
        <f t="shared" ref="BI7" si="45">"Q"&amp;ROUNDUP(MONTH(BI8)/3,0)</f>
        <v>Q4</v>
      </c>
      <c r="BJ7" s="68" t="str">
        <f t="shared" ref="BJ7" si="46">"Q"&amp;ROUNDUP(MONTH(BJ8)/3,0)</f>
        <v>Q4</v>
      </c>
    </row>
    <row r="8" spans="2:62" ht="13.15" x14ac:dyDescent="0.35">
      <c r="B8" s="69"/>
      <c r="C8" s="97">
        <v>45688</v>
      </c>
      <c r="D8" s="97">
        <f>+EOMONTH(C8,1)</f>
        <v>45716</v>
      </c>
      <c r="E8" s="97">
        <f t="shared" ref="E8:Z8" si="47">+EOMONTH(D8,1)</f>
        <v>45747</v>
      </c>
      <c r="F8" s="97">
        <f t="shared" si="47"/>
        <v>45777</v>
      </c>
      <c r="G8" s="97">
        <f t="shared" si="47"/>
        <v>45808</v>
      </c>
      <c r="H8" s="97">
        <f t="shared" si="47"/>
        <v>45838</v>
      </c>
      <c r="I8" s="97">
        <f t="shared" si="47"/>
        <v>45869</v>
      </c>
      <c r="J8" s="97">
        <f t="shared" si="47"/>
        <v>45900</v>
      </c>
      <c r="K8" s="97">
        <f t="shared" si="47"/>
        <v>45930</v>
      </c>
      <c r="L8" s="97">
        <f t="shared" si="47"/>
        <v>45961</v>
      </c>
      <c r="M8" s="97">
        <f t="shared" si="47"/>
        <v>45991</v>
      </c>
      <c r="N8" s="97">
        <f t="shared" si="47"/>
        <v>46022</v>
      </c>
      <c r="O8" s="97">
        <f t="shared" si="47"/>
        <v>46053</v>
      </c>
      <c r="P8" s="97">
        <f t="shared" si="47"/>
        <v>46081</v>
      </c>
      <c r="Q8" s="97">
        <f t="shared" si="47"/>
        <v>46112</v>
      </c>
      <c r="R8" s="97">
        <f t="shared" si="47"/>
        <v>46142</v>
      </c>
      <c r="S8" s="97">
        <f t="shared" si="47"/>
        <v>46173</v>
      </c>
      <c r="T8" s="97">
        <f t="shared" si="47"/>
        <v>46203</v>
      </c>
      <c r="U8" s="97">
        <f t="shared" si="47"/>
        <v>46234</v>
      </c>
      <c r="V8" s="97">
        <f t="shared" si="47"/>
        <v>46265</v>
      </c>
      <c r="W8" s="97">
        <f t="shared" si="47"/>
        <v>46295</v>
      </c>
      <c r="X8" s="97">
        <f t="shared" si="47"/>
        <v>46326</v>
      </c>
      <c r="Y8" s="97">
        <f t="shared" si="47"/>
        <v>46356</v>
      </c>
      <c r="Z8" s="97">
        <f t="shared" si="47"/>
        <v>46387</v>
      </c>
      <c r="AA8" s="97">
        <f t="shared" ref="AA8:BC8" si="48">+EOMONTH(Z8,1)</f>
        <v>46418</v>
      </c>
      <c r="AB8" s="97">
        <f t="shared" si="48"/>
        <v>46446</v>
      </c>
      <c r="AC8" s="97">
        <f t="shared" si="48"/>
        <v>46477</v>
      </c>
      <c r="AD8" s="97">
        <f t="shared" si="48"/>
        <v>46507</v>
      </c>
      <c r="AE8" s="97">
        <f t="shared" si="48"/>
        <v>46538</v>
      </c>
      <c r="AF8" s="97">
        <f t="shared" si="48"/>
        <v>46568</v>
      </c>
      <c r="AG8" s="97">
        <f t="shared" si="48"/>
        <v>46599</v>
      </c>
      <c r="AH8" s="97">
        <f t="shared" si="48"/>
        <v>46630</v>
      </c>
      <c r="AI8" s="97">
        <f t="shared" si="48"/>
        <v>46660</v>
      </c>
      <c r="AJ8" s="97">
        <f t="shared" si="48"/>
        <v>46691</v>
      </c>
      <c r="AK8" s="97">
        <f t="shared" si="48"/>
        <v>46721</v>
      </c>
      <c r="AL8" s="97">
        <f t="shared" si="48"/>
        <v>46752</v>
      </c>
      <c r="AM8" s="97">
        <f t="shared" si="48"/>
        <v>46783</v>
      </c>
      <c r="AN8" s="97">
        <f t="shared" si="48"/>
        <v>46812</v>
      </c>
      <c r="AO8" s="97">
        <f t="shared" si="48"/>
        <v>46843</v>
      </c>
      <c r="AP8" s="97">
        <f t="shared" si="48"/>
        <v>46873</v>
      </c>
      <c r="AQ8" s="97">
        <f t="shared" si="48"/>
        <v>46904</v>
      </c>
      <c r="AR8" s="97">
        <f t="shared" si="48"/>
        <v>46934</v>
      </c>
      <c r="AS8" s="97">
        <f t="shared" si="48"/>
        <v>46965</v>
      </c>
      <c r="AT8" s="97">
        <f t="shared" si="48"/>
        <v>46996</v>
      </c>
      <c r="AU8" s="97">
        <f t="shared" si="48"/>
        <v>47026</v>
      </c>
      <c r="AV8" s="97">
        <f t="shared" si="48"/>
        <v>47057</v>
      </c>
      <c r="AW8" s="97">
        <f t="shared" si="48"/>
        <v>47087</v>
      </c>
      <c r="AX8" s="97">
        <f t="shared" si="48"/>
        <v>47118</v>
      </c>
      <c r="AY8" s="97">
        <f t="shared" si="48"/>
        <v>47149</v>
      </c>
      <c r="AZ8" s="97">
        <f t="shared" si="48"/>
        <v>47177</v>
      </c>
      <c r="BA8" s="97">
        <f t="shared" si="48"/>
        <v>47208</v>
      </c>
      <c r="BB8" s="97">
        <f t="shared" si="48"/>
        <v>47238</v>
      </c>
      <c r="BC8" s="97">
        <f t="shared" si="48"/>
        <v>47269</v>
      </c>
      <c r="BD8" s="97">
        <f t="shared" ref="BD8:BJ8" si="49">+EOMONTH(BC8,1)</f>
        <v>47299</v>
      </c>
      <c r="BE8" s="97">
        <f t="shared" si="49"/>
        <v>47330</v>
      </c>
      <c r="BF8" s="97">
        <f t="shared" si="49"/>
        <v>47361</v>
      </c>
      <c r="BG8" s="97">
        <f t="shared" si="49"/>
        <v>47391</v>
      </c>
      <c r="BH8" s="97">
        <f t="shared" si="49"/>
        <v>47422</v>
      </c>
      <c r="BI8" s="97">
        <f t="shared" si="49"/>
        <v>47452</v>
      </c>
      <c r="BJ8" s="97">
        <f t="shared" si="49"/>
        <v>47483</v>
      </c>
    </row>
    <row r="9" spans="2:62" ht="13.15" x14ac:dyDescent="0.4">
      <c r="B9" s="70"/>
      <c r="C9" s="107">
        <v>2025</v>
      </c>
      <c r="D9" s="107"/>
      <c r="E9" s="107"/>
      <c r="F9" s="107"/>
      <c r="G9" s="107"/>
      <c r="H9" s="107"/>
      <c r="I9" s="107"/>
      <c r="J9" s="107"/>
      <c r="K9" s="107"/>
      <c r="L9" s="107"/>
      <c r="M9" s="107"/>
      <c r="N9" s="107"/>
      <c r="O9" s="108">
        <v>2026</v>
      </c>
      <c r="P9" s="108"/>
      <c r="Q9" s="108"/>
      <c r="R9" s="108"/>
      <c r="S9" s="108"/>
      <c r="T9" s="108"/>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row>
    <row r="10" spans="2:62" x14ac:dyDescent="0.35">
      <c r="B10" s="70"/>
      <c r="C10" s="71" t="s">
        <v>303</v>
      </c>
      <c r="D10" s="71" t="s">
        <v>304</v>
      </c>
      <c r="E10" s="71" t="s">
        <v>305</v>
      </c>
      <c r="F10" s="71" t="s">
        <v>306</v>
      </c>
      <c r="G10" s="71" t="s">
        <v>307</v>
      </c>
      <c r="H10" s="71" t="s">
        <v>308</v>
      </c>
      <c r="I10" s="71" t="s">
        <v>309</v>
      </c>
      <c r="J10" s="71" t="s">
        <v>310</v>
      </c>
      <c r="K10" s="71" t="s">
        <v>311</v>
      </c>
      <c r="L10" s="71" t="s">
        <v>312</v>
      </c>
      <c r="M10" s="71" t="s">
        <v>313</v>
      </c>
      <c r="N10" s="71" t="s">
        <v>314</v>
      </c>
      <c r="O10" s="72" t="s">
        <v>303</v>
      </c>
      <c r="P10" s="72" t="s">
        <v>304</v>
      </c>
      <c r="Q10" s="72" t="s">
        <v>305</v>
      </c>
      <c r="R10" s="71" t="s">
        <v>306</v>
      </c>
      <c r="S10" s="72" t="s">
        <v>307</v>
      </c>
      <c r="T10" s="72" t="s">
        <v>308</v>
      </c>
      <c r="U10" s="122" t="s">
        <v>309</v>
      </c>
      <c r="V10" s="122" t="s">
        <v>310</v>
      </c>
      <c r="W10" s="122" t="s">
        <v>311</v>
      </c>
      <c r="X10" s="122" t="s">
        <v>312</v>
      </c>
      <c r="Y10" s="122" t="s">
        <v>313</v>
      </c>
      <c r="Z10" s="122" t="s">
        <v>314</v>
      </c>
      <c r="AA10" s="238" t="s">
        <v>303</v>
      </c>
      <c r="AB10" s="238" t="s">
        <v>304</v>
      </c>
      <c r="AC10" s="238" t="s">
        <v>305</v>
      </c>
      <c r="AD10" s="122" t="s">
        <v>306</v>
      </c>
      <c r="AE10" s="238" t="s">
        <v>307</v>
      </c>
      <c r="AF10" s="238" t="s">
        <v>308</v>
      </c>
      <c r="AG10" s="122" t="s">
        <v>309</v>
      </c>
      <c r="AH10" s="122" t="s">
        <v>310</v>
      </c>
      <c r="AI10" s="122" t="s">
        <v>311</v>
      </c>
      <c r="AJ10" s="122" t="s">
        <v>312</v>
      </c>
      <c r="AK10" s="122" t="s">
        <v>313</v>
      </c>
      <c r="AL10" s="122" t="s">
        <v>314</v>
      </c>
      <c r="AM10" s="238" t="s">
        <v>303</v>
      </c>
      <c r="AN10" s="238" t="s">
        <v>304</v>
      </c>
      <c r="AO10" s="238" t="s">
        <v>305</v>
      </c>
      <c r="AP10" s="122" t="s">
        <v>306</v>
      </c>
      <c r="AQ10" s="238" t="s">
        <v>307</v>
      </c>
      <c r="AR10" s="238" t="s">
        <v>308</v>
      </c>
      <c r="AS10" s="122" t="s">
        <v>309</v>
      </c>
      <c r="AT10" s="122" t="s">
        <v>310</v>
      </c>
      <c r="AU10" s="122" t="s">
        <v>311</v>
      </c>
      <c r="AV10" s="122" t="s">
        <v>312</v>
      </c>
      <c r="AW10" s="122" t="s">
        <v>313</v>
      </c>
      <c r="AX10" s="122" t="s">
        <v>314</v>
      </c>
      <c r="AY10" s="238" t="s">
        <v>303</v>
      </c>
      <c r="AZ10" s="238" t="s">
        <v>304</v>
      </c>
      <c r="BA10" s="238" t="s">
        <v>305</v>
      </c>
      <c r="BB10" s="122" t="s">
        <v>306</v>
      </c>
      <c r="BC10" s="238" t="s">
        <v>307</v>
      </c>
      <c r="BD10" s="238" t="s">
        <v>308</v>
      </c>
      <c r="BE10" s="122" t="s">
        <v>309</v>
      </c>
      <c r="BF10" s="122" t="s">
        <v>310</v>
      </c>
      <c r="BG10" s="122" t="s">
        <v>311</v>
      </c>
      <c r="BH10" s="122" t="s">
        <v>312</v>
      </c>
      <c r="BI10" s="122" t="s">
        <v>313</v>
      </c>
      <c r="BJ10" s="122" t="s">
        <v>314</v>
      </c>
    </row>
    <row r="11" spans="2:62" x14ac:dyDescent="0.35">
      <c r="B11" s="73" t="s">
        <v>315</v>
      </c>
      <c r="C11" s="74"/>
      <c r="D11" s="74"/>
      <c r="E11" s="74"/>
      <c r="F11" s="74"/>
      <c r="G11" s="74"/>
      <c r="H11" s="74"/>
      <c r="I11" s="74"/>
      <c r="J11" s="74"/>
      <c r="K11" s="74"/>
      <c r="L11" s="74"/>
      <c r="M11" s="74"/>
      <c r="N11" s="74"/>
      <c r="O11" s="75"/>
      <c r="P11" s="75"/>
      <c r="Q11" s="75"/>
      <c r="R11" s="75"/>
      <c r="S11" s="76"/>
    </row>
    <row r="12" spans="2:62" ht="13.15" x14ac:dyDescent="0.4">
      <c r="B12" s="77" t="s">
        <v>316</v>
      </c>
      <c r="C12" s="78"/>
      <c r="D12" s="78"/>
      <c r="E12" s="78"/>
      <c r="F12" s="78"/>
      <c r="G12" s="78"/>
      <c r="H12" s="78"/>
      <c r="I12" s="78"/>
      <c r="J12" s="79"/>
      <c r="K12" s="79"/>
      <c r="L12" s="79"/>
      <c r="M12" s="79"/>
      <c r="N12" s="79"/>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row>
    <row r="13" spans="2:62" x14ac:dyDescent="0.35">
      <c r="B13" s="81" t="s">
        <v>317</v>
      </c>
      <c r="C13" s="82">
        <v>34.6</v>
      </c>
      <c r="D13" s="82">
        <v>30.9</v>
      </c>
      <c r="E13" s="82">
        <v>43.2</v>
      </c>
      <c r="F13" s="82">
        <v>39.200000000000003</v>
      </c>
      <c r="G13" s="82">
        <v>32.799999999999997</v>
      </c>
      <c r="H13" s="82">
        <v>19.899999999999999</v>
      </c>
      <c r="I13" s="82">
        <v>20.8</v>
      </c>
      <c r="J13" s="82">
        <v>18.2</v>
      </c>
      <c r="K13" s="82">
        <v>16.399999999999999</v>
      </c>
      <c r="L13" s="83">
        <v>38.200000000000003</v>
      </c>
      <c r="M13" s="83">
        <v>38.4</v>
      </c>
      <c r="N13" s="83">
        <v>25.9</v>
      </c>
      <c r="O13" s="83">
        <v>22.5</v>
      </c>
      <c r="P13" s="83">
        <v>41.8</v>
      </c>
      <c r="Q13" s="83">
        <v>29.1</v>
      </c>
      <c r="R13" s="83">
        <v>20.9</v>
      </c>
      <c r="S13" s="83">
        <v>16.8</v>
      </c>
      <c r="T13" s="83">
        <v>26.9</v>
      </c>
    </row>
    <row r="14" spans="2:62" ht="14.25" x14ac:dyDescent="0.45">
      <c r="B14" s="81" t="s">
        <v>318</v>
      </c>
      <c r="C14" s="82">
        <v>18.3</v>
      </c>
      <c r="D14" s="82">
        <v>19.2</v>
      </c>
      <c r="E14" s="82">
        <v>14.9</v>
      </c>
      <c r="F14" s="82">
        <v>10.9</v>
      </c>
      <c r="G14" s="82">
        <v>12</v>
      </c>
      <c r="H14" s="82">
        <v>9.5</v>
      </c>
      <c r="I14" s="82">
        <v>11.1</v>
      </c>
      <c r="J14" s="82">
        <v>12.8</v>
      </c>
      <c r="K14" s="82">
        <v>8.8000000000000007</v>
      </c>
      <c r="L14" s="83">
        <v>15.1</v>
      </c>
      <c r="M14" s="83">
        <v>14.1</v>
      </c>
      <c r="N14" s="83">
        <v>9.6</v>
      </c>
      <c r="O14" s="83">
        <v>8.4</v>
      </c>
      <c r="P14" s="83">
        <v>12.9</v>
      </c>
      <c r="Q14" s="83">
        <v>8</v>
      </c>
      <c r="R14" s="83">
        <v>5.4</v>
      </c>
      <c r="S14" s="83">
        <v>3.4</v>
      </c>
      <c r="T14" s="83">
        <v>4.9000000000000004</v>
      </c>
      <c r="V14"/>
    </row>
    <row r="15" spans="2:62" x14ac:dyDescent="0.35">
      <c r="B15" s="81" t="s">
        <v>319</v>
      </c>
      <c r="C15" s="82">
        <v>19.399999999999999</v>
      </c>
      <c r="D15" s="82">
        <v>20.9</v>
      </c>
      <c r="E15" s="82">
        <v>17</v>
      </c>
      <c r="F15" s="82">
        <v>13.3</v>
      </c>
      <c r="G15" s="82">
        <v>10.3</v>
      </c>
      <c r="H15" s="82">
        <v>8.1</v>
      </c>
      <c r="I15" s="82">
        <v>12.9</v>
      </c>
      <c r="J15" s="82">
        <v>8.6</v>
      </c>
      <c r="K15" s="82">
        <v>8.1</v>
      </c>
      <c r="L15" s="83">
        <v>19.600000000000001</v>
      </c>
      <c r="M15" s="83">
        <v>18.399999999999999</v>
      </c>
      <c r="N15" s="83">
        <v>13.8</v>
      </c>
      <c r="O15" s="83">
        <v>11.2</v>
      </c>
      <c r="P15" s="83">
        <v>19</v>
      </c>
      <c r="Q15" s="83">
        <v>13.2</v>
      </c>
      <c r="R15" s="83">
        <v>9.6</v>
      </c>
      <c r="S15" s="83">
        <v>7.4</v>
      </c>
      <c r="T15" s="83">
        <v>10.8</v>
      </c>
    </row>
    <row r="16" spans="2:62" x14ac:dyDescent="0.35">
      <c r="B16" s="81" t="s">
        <v>320</v>
      </c>
      <c r="C16" s="82">
        <v>4.8</v>
      </c>
      <c r="D16" s="82">
        <v>3.8</v>
      </c>
      <c r="E16" s="82">
        <v>2.7</v>
      </c>
      <c r="F16" s="82">
        <v>2.2000000000000002</v>
      </c>
      <c r="G16" s="82">
        <v>2.6</v>
      </c>
      <c r="H16" s="82">
        <v>2.4</v>
      </c>
      <c r="I16" s="82">
        <v>4</v>
      </c>
      <c r="J16" s="82">
        <v>4.5999999999999996</v>
      </c>
      <c r="K16" s="82">
        <v>4.0999999999999996</v>
      </c>
      <c r="L16" s="83">
        <v>4.5999999999999996</v>
      </c>
      <c r="M16" s="83">
        <v>4.4000000000000004</v>
      </c>
      <c r="N16" s="83">
        <v>2.9</v>
      </c>
      <c r="O16" s="83">
        <v>3.4</v>
      </c>
      <c r="P16" s="83">
        <v>3.7</v>
      </c>
      <c r="Q16" s="83">
        <v>2.7</v>
      </c>
      <c r="R16" s="83">
        <v>2.1</v>
      </c>
      <c r="S16" s="83">
        <v>2.5</v>
      </c>
      <c r="T16" s="83">
        <v>2.9</v>
      </c>
    </row>
    <row r="17" spans="2:62" ht="13.15" x14ac:dyDescent="0.4">
      <c r="B17" s="84" t="s">
        <v>321</v>
      </c>
      <c r="C17" s="85">
        <v>77.099999999999994</v>
      </c>
      <c r="D17" s="85">
        <v>74.8</v>
      </c>
      <c r="E17" s="85">
        <v>77.7</v>
      </c>
      <c r="F17" s="85">
        <v>65.5</v>
      </c>
      <c r="G17" s="85">
        <v>57.6</v>
      </c>
      <c r="H17" s="85">
        <v>39.9</v>
      </c>
      <c r="I17" s="85">
        <v>48.8</v>
      </c>
      <c r="J17" s="85">
        <v>44.3</v>
      </c>
      <c r="K17" s="85">
        <v>37.299999999999997</v>
      </c>
      <c r="L17" s="86">
        <v>77.5</v>
      </c>
      <c r="M17" s="86">
        <v>75.3</v>
      </c>
      <c r="N17" s="86">
        <v>52.2</v>
      </c>
      <c r="O17" s="86">
        <v>45.4</v>
      </c>
      <c r="P17" s="86">
        <v>77.400000000000006</v>
      </c>
      <c r="Q17" s="86">
        <v>52.9</v>
      </c>
      <c r="R17" s="86">
        <v>38</v>
      </c>
      <c r="S17" s="86">
        <v>30</v>
      </c>
      <c r="T17" s="86">
        <v>45.5</v>
      </c>
      <c r="U17" s="118">
        <f xml:space="preserve"> T17 * (1+U23) + ((U34-T34)*C49)</f>
        <v>51.405676299169969</v>
      </c>
      <c r="V17" s="118">
        <f t="shared" ref="V17:BJ17" si="50" xml:space="preserve"> U17 * (1+V23) + ((V34-U34)*D49)</f>
        <v>53.172288044319636</v>
      </c>
      <c r="W17" s="118">
        <f t="shared" si="50"/>
        <v>54.999611315564941</v>
      </c>
      <c r="X17" s="118">
        <f t="shared" si="50"/>
        <v>56.889732530258748</v>
      </c>
      <c r="Y17" s="118">
        <f t="shared" si="50"/>
        <v>58.844809807746117</v>
      </c>
      <c r="Z17" s="118">
        <f t="shared" si="50"/>
        <v>60.867075433480942</v>
      </c>
      <c r="AA17" s="118">
        <f t="shared" si="50"/>
        <v>65.722756256599837</v>
      </c>
      <c r="AB17" s="118">
        <f t="shared" si="50"/>
        <v>70.965799805594585</v>
      </c>
      <c r="AC17" s="118">
        <f t="shared" si="50"/>
        <v>76.627108004801642</v>
      </c>
      <c r="AD17" s="118">
        <f t="shared" si="50"/>
        <v>82.740047984587633</v>
      </c>
      <c r="AE17" s="118">
        <f t="shared" si="50"/>
        <v>89.340648743560592</v>
      </c>
      <c r="AF17" s="118">
        <f t="shared" si="50"/>
        <v>96.467813499541023</v>
      </c>
      <c r="AG17" s="118">
        <f t="shared" si="50"/>
        <v>104.16354898086612</v>
      </c>
      <c r="AH17" s="118">
        <f t="shared" si="50"/>
        <v>112.47321300944506</v>
      </c>
      <c r="AI17" s="118">
        <f t="shared" si="50"/>
        <v>121.44578183479261</v>
      </c>
      <c r="AJ17" s="118">
        <f t="shared" si="50"/>
        <v>131.13413879467879</v>
      </c>
      <c r="AK17" s="118">
        <f t="shared" si="50"/>
        <v>141.59538600372869</v>
      </c>
      <c r="AL17" s="118">
        <f t="shared" si="50"/>
        <v>152.89118090703084</v>
      </c>
      <c r="AM17" s="118">
        <f t="shared" si="50"/>
        <v>165.08809968236446</v>
      </c>
      <c r="AN17" s="118">
        <f t="shared" si="50"/>
        <v>178.2580296328982</v>
      </c>
      <c r="AO17" s="118">
        <f t="shared" si="50"/>
        <v>192.47859288308032</v>
      </c>
      <c r="AP17" s="118">
        <f t="shared" si="50"/>
        <v>207.83360387493718</v>
      </c>
      <c r="AQ17" s="118">
        <f t="shared" si="50"/>
        <v>224.41356336121319</v>
      </c>
      <c r="AR17" s="118">
        <f t="shared" si="50"/>
        <v>242.31619180689373</v>
      </c>
      <c r="AS17" s="118">
        <f t="shared" si="50"/>
        <v>261.64700534292109</v>
      </c>
      <c r="AT17" s="118">
        <f t="shared" si="50"/>
        <v>282.51993766671171</v>
      </c>
      <c r="AU17" s="118">
        <f t="shared" si="50"/>
        <v>305.05801155488803</v>
      </c>
      <c r="AV17" s="118">
        <f t="shared" si="50"/>
        <v>329.39406394604754</v>
      </c>
      <c r="AW17" s="118">
        <f t="shared" si="50"/>
        <v>355.67152886712745</v>
      </c>
      <c r="AX17" s="118">
        <f t="shared" si="50"/>
        <v>384.04528281784724</v>
      </c>
      <c r="AY17" s="118">
        <f t="shared" si="50"/>
        <v>414.68255759583218</v>
      </c>
      <c r="AZ17" s="118">
        <f t="shared" si="50"/>
        <v>447.7639259425095</v>
      </c>
      <c r="BA17" s="118">
        <f t="shared" si="50"/>
        <v>483.48436581906577</v>
      </c>
      <c r="BB17" s="118">
        <f t="shared" si="50"/>
        <v>522.05440958519148</v>
      </c>
      <c r="BC17" s="118">
        <f t="shared" si="50"/>
        <v>563.70138485374673</v>
      </c>
      <c r="BD17" s="118">
        <f t="shared" si="50"/>
        <v>608.67075433480909</v>
      </c>
      <c r="BE17" s="118">
        <f t="shared" si="50"/>
        <v>657.22756256599791</v>
      </c>
      <c r="BF17" s="118">
        <f t="shared" si="50"/>
        <v>709.65799805594531</v>
      </c>
      <c r="BG17" s="118">
        <f t="shared" si="50"/>
        <v>766.27108004801585</v>
      </c>
      <c r="BH17" s="118">
        <f t="shared" si="50"/>
        <v>827.40047984587568</v>
      </c>
      <c r="BI17" s="118">
        <f t="shared" si="50"/>
        <v>893.4064874356053</v>
      </c>
      <c r="BJ17" s="118">
        <f t="shared" si="50"/>
        <v>964.67813499540955</v>
      </c>
    </row>
    <row r="18" spans="2:62" x14ac:dyDescent="0.35">
      <c r="B18" s="81" t="s">
        <v>322</v>
      </c>
      <c r="C18" s="82"/>
      <c r="D18" s="82"/>
      <c r="E18" s="82"/>
      <c r="F18" s="82"/>
      <c r="G18" s="82"/>
      <c r="H18" s="82"/>
      <c r="I18" s="82"/>
      <c r="J18" s="82">
        <v>0</v>
      </c>
      <c r="K18" s="82">
        <v>0</v>
      </c>
      <c r="L18" s="83">
        <v>0</v>
      </c>
      <c r="M18" s="83">
        <v>2.8</v>
      </c>
      <c r="N18" s="83">
        <v>6.2</v>
      </c>
      <c r="O18" s="83">
        <v>4.8</v>
      </c>
      <c r="P18" s="83">
        <v>3.6</v>
      </c>
      <c r="Q18" s="83">
        <v>3.2</v>
      </c>
      <c r="R18" s="83">
        <v>5.6</v>
      </c>
      <c r="S18" s="83">
        <v>0.9</v>
      </c>
      <c r="T18" s="83">
        <v>2.2999999999999998</v>
      </c>
      <c r="U18" s="104">
        <f xml:space="preserve"> T18 * (1+U23) + ((U34-T34)*C53)</f>
        <v>2.3456909273736204</v>
      </c>
      <c r="V18" s="104">
        <f t="shared" ref="V18:BJ18" si="51" xml:space="preserve"> U18 * (1+V23) + ((V34-U34)*D53)</f>
        <v>2.4263031367855246</v>
      </c>
      <c r="W18" s="104">
        <f t="shared" si="51"/>
        <v>2.5096856720875258</v>
      </c>
      <c r="X18" s="104">
        <f t="shared" si="51"/>
        <v>2.5959337385294656</v>
      </c>
      <c r="Y18" s="104">
        <f t="shared" si="51"/>
        <v>2.6851458131927162</v>
      </c>
      <c r="Z18" s="104">
        <f t="shared" si="51"/>
        <v>2.7774237574302147</v>
      </c>
      <c r="AA18" s="104">
        <f t="shared" si="51"/>
        <v>2.9989931885320473</v>
      </c>
      <c r="AB18" s="104">
        <f t="shared" si="51"/>
        <v>3.2382383569668871</v>
      </c>
      <c r="AC18" s="104">
        <f t="shared" si="51"/>
        <v>3.4965693475497361</v>
      </c>
      <c r="AD18" s="104">
        <f t="shared" si="51"/>
        <v>3.77550873484061</v>
      </c>
      <c r="AE18" s="104">
        <f t="shared" si="51"/>
        <v>4.076700557032205</v>
      </c>
      <c r="AF18" s="104">
        <f t="shared" si="51"/>
        <v>4.4019200057309131</v>
      </c>
      <c r="AG18" s="104">
        <f t="shared" si="51"/>
        <v>4.7530838887416893</v>
      </c>
      <c r="AH18" s="104">
        <f t="shared" si="51"/>
        <v>5.1322619275232793</v>
      </c>
      <c r="AI18" s="104">
        <f t="shared" si="51"/>
        <v>5.5416889558997733</v>
      </c>
      <c r="AJ18" s="104">
        <f t="shared" si="51"/>
        <v>5.9837780919263537</v>
      </c>
      <c r="AK18" s="104">
        <f t="shared" si="51"/>
        <v>6.461134960542771</v>
      </c>
      <c r="AL18" s="104">
        <f t="shared" si="51"/>
        <v>6.9765730508413109</v>
      </c>
      <c r="AM18" s="104">
        <f t="shared" si="51"/>
        <v>7.5331302984633011</v>
      </c>
      <c r="AN18" s="104">
        <f t="shared" si="51"/>
        <v>8.1340869908589983</v>
      </c>
      <c r="AO18" s="104">
        <f t="shared" si="51"/>
        <v>8.7829851009424864</v>
      </c>
      <c r="AP18" s="104">
        <f t="shared" si="51"/>
        <v>9.4836491630920285</v>
      </c>
      <c r="AQ18" s="104">
        <f t="shared" si="51"/>
        <v>10.240208814536743</v>
      </c>
      <c r="AR18" s="104">
        <f t="shared" si="51"/>
        <v>11.057123134986055</v>
      </c>
      <c r="AS18" s="104">
        <f t="shared" si="51"/>
        <v>11.939206927957041</v>
      </c>
      <c r="AT18" s="104">
        <f t="shared" si="51"/>
        <v>12.891659098698931</v>
      </c>
      <c r="AU18" s="104">
        <f t="shared" si="51"/>
        <v>13.920093295971133</v>
      </c>
      <c r="AV18" s="104">
        <f t="shared" si="51"/>
        <v>15.030570998274094</v>
      </c>
      <c r="AW18" s="104">
        <f t="shared" si="51"/>
        <v>16.229637239539574</v>
      </c>
      <c r="AX18" s="104">
        <f t="shared" si="51"/>
        <v>17.524359184843686</v>
      </c>
      <c r="AY18" s="104">
        <f t="shared" si="51"/>
        <v>18.922367783503681</v>
      </c>
      <c r="AZ18" s="104">
        <f t="shared" si="51"/>
        <v>20.431902745057311</v>
      </c>
      <c r="BA18" s="104">
        <f t="shared" si="51"/>
        <v>22.061861103208233</v>
      </c>
      <c r="BB18" s="104">
        <f t="shared" si="51"/>
        <v>23.821849653968055</v>
      </c>
      <c r="BC18" s="104">
        <f t="shared" si="51"/>
        <v>25.722241577059652</v>
      </c>
      <c r="BD18" s="104">
        <f t="shared" si="51"/>
        <v>27.774237574302148</v>
      </c>
      <c r="BE18" s="104">
        <f t="shared" si="51"/>
        <v>29.989931885320473</v>
      </c>
      <c r="BF18" s="104">
        <f t="shared" si="51"/>
        <v>32.382383569668868</v>
      </c>
      <c r="BG18" s="104">
        <f t="shared" si="51"/>
        <v>34.965693475497361</v>
      </c>
      <c r="BH18" s="104">
        <f t="shared" si="51"/>
        <v>37.7550873484061</v>
      </c>
      <c r="BI18" s="104">
        <f t="shared" si="51"/>
        <v>40.767005570322056</v>
      </c>
      <c r="BJ18" s="104">
        <f t="shared" si="51"/>
        <v>44.019200057309142</v>
      </c>
    </row>
    <row r="19" spans="2:62" x14ac:dyDescent="0.35">
      <c r="B19" s="81" t="s">
        <v>323</v>
      </c>
      <c r="C19" s="82">
        <v>6.6</v>
      </c>
      <c r="D19" s="82">
        <v>7.8</v>
      </c>
      <c r="E19" s="82">
        <v>8</v>
      </c>
      <c r="F19" s="82">
        <v>6.8</v>
      </c>
      <c r="G19" s="82">
        <v>5.8</v>
      </c>
      <c r="H19" s="82">
        <v>4.0999999999999996</v>
      </c>
      <c r="I19" s="82">
        <v>5</v>
      </c>
      <c r="J19" s="82">
        <v>4.5999999999999996</v>
      </c>
      <c r="K19" s="82">
        <v>2.2000000000000002</v>
      </c>
      <c r="L19" s="83">
        <v>3</v>
      </c>
      <c r="M19" s="83">
        <v>2.7</v>
      </c>
      <c r="N19" s="83">
        <v>2.6</v>
      </c>
      <c r="O19" s="83">
        <v>2</v>
      </c>
      <c r="P19" s="83">
        <v>3.1</v>
      </c>
      <c r="Q19" s="83">
        <v>4.4000000000000004</v>
      </c>
      <c r="R19" s="83">
        <v>3.4</v>
      </c>
      <c r="S19" s="83">
        <v>2</v>
      </c>
      <c r="T19" s="83">
        <v>3.1</v>
      </c>
      <c r="U19" s="104">
        <f xml:space="preserve"> T19 * (1+U23) + ((U34-T34)*C57)</f>
        <v>3.5119882600273646</v>
      </c>
      <c r="V19" s="104">
        <f t="shared" ref="V19:BJ19" si="52" xml:space="preserve"> U19 * (1+V23) + ((V34-U34)*D57)</f>
        <v>3.6326815405297803</v>
      </c>
      <c r="W19" s="104">
        <f t="shared" si="52"/>
        <v>3.7575225763434057</v>
      </c>
      <c r="X19" s="104">
        <f t="shared" si="52"/>
        <v>3.8866539095720767</v>
      </c>
      <c r="Y19" s="104">
        <f t="shared" si="52"/>
        <v>4.0202229809334193</v>
      </c>
      <c r="Z19" s="104">
        <f t="shared" si="52"/>
        <v>4.1583822981050185</v>
      </c>
      <c r="AA19" s="104">
        <f t="shared" si="52"/>
        <v>4.4901179209570206</v>
      </c>
      <c r="AB19" s="104">
        <f t="shared" si="52"/>
        <v>4.8483178069719246</v>
      </c>
      <c r="AC19" s="104">
        <f t="shared" si="52"/>
        <v>5.2350931470394348</v>
      </c>
      <c r="AD19" s="104">
        <f t="shared" si="52"/>
        <v>5.6527235526451864</v>
      </c>
      <c r="AE19" s="104">
        <f t="shared" si="52"/>
        <v>6.1036704916511235</v>
      </c>
      <c r="AF19" s="104">
        <f t="shared" si="52"/>
        <v>6.5905917959174429</v>
      </c>
      <c r="AG19" s="104">
        <f t="shared" si="52"/>
        <v>7.1163573262724285</v>
      </c>
      <c r="AH19" s="104">
        <f t="shared" si="52"/>
        <v>7.6840658871577974</v>
      </c>
      <c r="AI19" s="104">
        <f t="shared" si="52"/>
        <v>8.2970634906426266</v>
      </c>
      <c r="AJ19" s="104">
        <f t="shared" si="52"/>
        <v>8.9589630774519549</v>
      </c>
      <c r="AK19" s="104">
        <f t="shared" si="52"/>
        <v>9.6736658112436409</v>
      </c>
      <c r="AL19" s="104">
        <f t="shared" si="52"/>
        <v>10.445384071639618</v>
      </c>
      <c r="AM19" s="104">
        <f t="shared" si="52"/>
        <v>11.27866628152994</v>
      </c>
      <c r="AN19" s="104">
        <f t="shared" si="52"/>
        <v>12.178423714979056</v>
      </c>
      <c r="AO19" s="104">
        <f t="shared" si="52"/>
        <v>13.149959443737139</v>
      </c>
      <c r="AP19" s="104">
        <f t="shared" si="52"/>
        <v>14.198999592964068</v>
      </c>
      <c r="AQ19" s="104">
        <f t="shared" si="52"/>
        <v>15.331727090383859</v>
      </c>
      <c r="AR19" s="104">
        <f t="shared" si="52"/>
        <v>16.554818107783376</v>
      </c>
      <c r="AS19" s="104">
        <f t="shared" si="52"/>
        <v>17.875481409637501</v>
      </c>
      <c r="AT19" s="104">
        <f t="shared" si="52"/>
        <v>19.30150084077729</v>
      </c>
      <c r="AU19" s="104">
        <f t="shared" si="52"/>
        <v>20.841281203518722</v>
      </c>
      <c r="AV19" s="104">
        <f t="shared" si="52"/>
        <v>22.503897794646871</v>
      </c>
      <c r="AW19" s="104">
        <f t="shared" si="52"/>
        <v>24.299149894221014</v>
      </c>
      <c r="AX19" s="104">
        <f t="shared" si="52"/>
        <v>26.237618521457843</v>
      </c>
      <c r="AY19" s="104">
        <f t="shared" si="52"/>
        <v>28.330728798099663</v>
      </c>
      <c r="AZ19" s="104">
        <f t="shared" si="52"/>
        <v>30.590817286830383</v>
      </c>
      <c r="BA19" s="104">
        <f t="shared" si="52"/>
        <v>33.031204701624581</v>
      </c>
      <c r="BB19" s="104">
        <f t="shared" si="52"/>
        <v>35.666274418576485</v>
      </c>
      <c r="BC19" s="104">
        <f t="shared" si="52"/>
        <v>38.51155724994306</v>
      </c>
      <c r="BD19" s="104">
        <f t="shared" si="52"/>
        <v>41.583822981050147</v>
      </c>
      <c r="BE19" s="104">
        <f t="shared" si="52"/>
        <v>44.901179209570167</v>
      </c>
      <c r="BF19" s="104">
        <f t="shared" si="52"/>
        <v>48.483178069719209</v>
      </c>
      <c r="BG19" s="104">
        <f t="shared" si="52"/>
        <v>52.350931470394308</v>
      </c>
      <c r="BH19" s="104">
        <f t="shared" si="52"/>
        <v>56.527235526451818</v>
      </c>
      <c r="BI19" s="104">
        <f t="shared" si="52"/>
        <v>61.036704916511191</v>
      </c>
      <c r="BJ19" s="104">
        <f t="shared" si="52"/>
        <v>65.905917959174388</v>
      </c>
    </row>
    <row r="20" spans="2:62" ht="13.15" x14ac:dyDescent="0.4">
      <c r="B20" s="87" t="s">
        <v>324</v>
      </c>
      <c r="C20" s="88">
        <v>83.7</v>
      </c>
      <c r="D20" s="88">
        <v>82.5</v>
      </c>
      <c r="E20" s="88">
        <v>85.7</v>
      </c>
      <c r="F20" s="88">
        <v>72.3</v>
      </c>
      <c r="G20" s="88">
        <v>63.4</v>
      </c>
      <c r="H20" s="88">
        <v>44</v>
      </c>
      <c r="I20" s="88">
        <v>53.8</v>
      </c>
      <c r="J20" s="88">
        <v>48.8</v>
      </c>
      <c r="K20" s="88">
        <v>39.6</v>
      </c>
      <c r="L20" s="89">
        <v>80.5</v>
      </c>
      <c r="M20" s="89">
        <v>80.8</v>
      </c>
      <c r="N20" s="89">
        <v>61.1</v>
      </c>
      <c r="O20" s="89">
        <v>52.2</v>
      </c>
      <c r="P20" s="89">
        <v>84.1</v>
      </c>
      <c r="Q20" s="89">
        <v>60.4</v>
      </c>
      <c r="R20" s="89">
        <v>46.9</v>
      </c>
      <c r="S20" s="89">
        <v>32.9</v>
      </c>
      <c r="T20" s="89">
        <v>50.9</v>
      </c>
      <c r="U20" s="89">
        <f>SUM(U17:U19)</f>
        <v>57.263355486570951</v>
      </c>
      <c r="V20" s="89">
        <f t="shared" ref="V20:BJ20" si="53">SUM(V17:V19)</f>
        <v>59.231272721634944</v>
      </c>
      <c r="W20" s="89">
        <f t="shared" si="53"/>
        <v>61.266819563995874</v>
      </c>
      <c r="X20" s="89">
        <f t="shared" si="53"/>
        <v>63.37232017836029</v>
      </c>
      <c r="Y20" s="89">
        <f t="shared" si="53"/>
        <v>65.550178601872261</v>
      </c>
      <c r="Z20" s="89">
        <f t="shared" si="53"/>
        <v>67.802881489016173</v>
      </c>
      <c r="AA20" s="89">
        <f t="shared" si="53"/>
        <v>73.211867366088896</v>
      </c>
      <c r="AB20" s="89">
        <f t="shared" si="53"/>
        <v>79.052355969533394</v>
      </c>
      <c r="AC20" s="89">
        <f t="shared" si="53"/>
        <v>85.358770499390815</v>
      </c>
      <c r="AD20" s="89">
        <f t="shared" si="53"/>
        <v>92.168280272073432</v>
      </c>
      <c r="AE20" s="89">
        <f t="shared" si="53"/>
        <v>99.521019792243933</v>
      </c>
      <c r="AF20" s="89">
        <f t="shared" si="53"/>
        <v>107.46032530118939</v>
      </c>
      <c r="AG20" s="89">
        <f t="shared" si="53"/>
        <v>116.03299019588025</v>
      </c>
      <c r="AH20" s="89">
        <f t="shared" si="53"/>
        <v>125.28954082412614</v>
      </c>
      <c r="AI20" s="89">
        <f t="shared" si="53"/>
        <v>135.284534281335</v>
      </c>
      <c r="AJ20" s="89">
        <f t="shared" si="53"/>
        <v>146.0768799640571</v>
      </c>
      <c r="AK20" s="89">
        <f t="shared" si="53"/>
        <v>157.73018677551511</v>
      </c>
      <c r="AL20" s="89">
        <f t="shared" si="53"/>
        <v>170.31313802951178</v>
      </c>
      <c r="AM20" s="89">
        <f t="shared" si="53"/>
        <v>183.89989626235771</v>
      </c>
      <c r="AN20" s="89">
        <f t="shared" si="53"/>
        <v>198.57054033873627</v>
      </c>
      <c r="AO20" s="89">
        <f t="shared" si="53"/>
        <v>214.41153742775995</v>
      </c>
      <c r="AP20" s="89">
        <f t="shared" si="53"/>
        <v>231.51625263099328</v>
      </c>
      <c r="AQ20" s="89">
        <f t="shared" si="53"/>
        <v>249.98549926613379</v>
      </c>
      <c r="AR20" s="89">
        <f t="shared" si="53"/>
        <v>269.92813304966319</v>
      </c>
      <c r="AS20" s="89">
        <f t="shared" si="53"/>
        <v>291.46169368051562</v>
      </c>
      <c r="AT20" s="89">
        <f t="shared" si="53"/>
        <v>314.71309760618794</v>
      </c>
      <c r="AU20" s="89">
        <f t="shared" si="53"/>
        <v>339.8193860543779</v>
      </c>
      <c r="AV20" s="89">
        <f t="shared" si="53"/>
        <v>366.9285327389685</v>
      </c>
      <c r="AW20" s="89">
        <f t="shared" si="53"/>
        <v>396.20031600088799</v>
      </c>
      <c r="AX20" s="89">
        <f t="shared" si="53"/>
        <v>427.80726052414872</v>
      </c>
      <c r="AY20" s="89">
        <f t="shared" si="53"/>
        <v>461.93565417743548</v>
      </c>
      <c r="AZ20" s="89">
        <f t="shared" si="53"/>
        <v>498.78664597439717</v>
      </c>
      <c r="BA20" s="89">
        <f t="shared" si="53"/>
        <v>538.57743162389863</v>
      </c>
      <c r="BB20" s="89">
        <f t="shared" si="53"/>
        <v>581.54253365773593</v>
      </c>
      <c r="BC20" s="89">
        <f t="shared" si="53"/>
        <v>627.93518368074945</v>
      </c>
      <c r="BD20" s="89">
        <f t="shared" si="53"/>
        <v>678.02881489016136</v>
      </c>
      <c r="BE20" s="89">
        <f t="shared" si="53"/>
        <v>732.11867366088859</v>
      </c>
      <c r="BF20" s="89">
        <f t="shared" si="53"/>
        <v>790.52355969533335</v>
      </c>
      <c r="BG20" s="89">
        <f t="shared" si="53"/>
        <v>853.58770499390755</v>
      </c>
      <c r="BH20" s="89">
        <f t="shared" si="53"/>
        <v>921.68280272073355</v>
      </c>
      <c r="BI20" s="89">
        <f t="shared" si="53"/>
        <v>995.21019792243862</v>
      </c>
      <c r="BJ20" s="89">
        <f t="shared" si="53"/>
        <v>1074.603253011893</v>
      </c>
    </row>
    <row r="21" spans="2:62" ht="13.15" x14ac:dyDescent="0.4">
      <c r="B21" s="239"/>
      <c r="C21" s="240"/>
      <c r="D21" s="240"/>
      <c r="E21" s="240"/>
      <c r="F21" s="240"/>
      <c r="G21" s="240"/>
      <c r="H21" s="240"/>
      <c r="I21" s="240"/>
      <c r="J21" s="240"/>
      <c r="K21" s="240"/>
      <c r="L21" s="241"/>
      <c r="M21" s="241"/>
      <c r="N21" s="241"/>
      <c r="O21" s="241"/>
      <c r="P21" s="241"/>
      <c r="Q21" s="241"/>
      <c r="R21" s="241"/>
      <c r="S21" s="241"/>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1"/>
    </row>
    <row r="22" spans="2:62" ht="13.15" x14ac:dyDescent="0.4">
      <c r="B22" s="242" t="s">
        <v>522</v>
      </c>
      <c r="C22" s="240"/>
      <c r="D22" s="240"/>
      <c r="E22" s="240"/>
      <c r="F22" s="240"/>
      <c r="G22" s="240"/>
      <c r="H22" s="240"/>
      <c r="I22" s="240"/>
      <c r="J22" s="240"/>
      <c r="K22" s="240"/>
      <c r="L22" s="241"/>
      <c r="M22" s="241"/>
      <c r="N22" s="241"/>
      <c r="O22" s="241"/>
      <c r="P22" s="241"/>
      <c r="Q22" s="241"/>
      <c r="R22" s="241"/>
      <c r="S22" s="241"/>
      <c r="T22" s="241"/>
      <c r="U22" s="203">
        <f>INDEX('Scenario &amp; Sensitivity'!$C$7:$F$9,MATCH(Summary!$C$18,'Scenario &amp; Sensitivity'!$B$7:$B$9,0),MATCH('Monthly Metrics'!U$6,'Scenario &amp; Sensitivity'!$C$6:$F$6,0))</f>
        <v>0.5</v>
      </c>
      <c r="V22" s="203">
        <f>INDEX('Scenario &amp; Sensitivity'!$C$7:$F$9,MATCH(Summary!$C$18,'Scenario &amp; Sensitivity'!$B$7:$B$9,0),MATCH('Monthly Metrics'!V$6,'Scenario &amp; Sensitivity'!$C$6:$F$6,0))</f>
        <v>0.5</v>
      </c>
      <c r="W22" s="203">
        <f>INDEX('Scenario &amp; Sensitivity'!$C$7:$F$9,MATCH(Summary!$C$18,'Scenario &amp; Sensitivity'!$B$7:$B$9,0),MATCH('Monthly Metrics'!W$6,'Scenario &amp; Sensitivity'!$C$6:$F$6,0))</f>
        <v>0.5</v>
      </c>
      <c r="X22" s="203">
        <f>INDEX('Scenario &amp; Sensitivity'!$C$7:$F$9,MATCH(Summary!$C$18,'Scenario &amp; Sensitivity'!$B$7:$B$9,0),MATCH('Monthly Metrics'!X$6,'Scenario &amp; Sensitivity'!$C$6:$F$6,0))</f>
        <v>0.5</v>
      </c>
      <c r="Y22" s="203">
        <f>INDEX('Scenario &amp; Sensitivity'!$C$7:$F$9,MATCH(Summary!$C$18,'Scenario &amp; Sensitivity'!$B$7:$B$9,0),MATCH('Monthly Metrics'!Y$6,'Scenario &amp; Sensitivity'!$C$6:$F$6,0))</f>
        <v>0.5</v>
      </c>
      <c r="Z22" s="203">
        <f>INDEX('Scenario &amp; Sensitivity'!$C$7:$F$9,MATCH(Summary!$C$18,'Scenario &amp; Sensitivity'!$B$7:$B$9,0),MATCH('Monthly Metrics'!Z$6,'Scenario &amp; Sensitivity'!$C$6:$F$6,0))</f>
        <v>0.5</v>
      </c>
      <c r="AA22" s="203">
        <f>INDEX('Scenario &amp; Sensitivity'!$C$7:$F$9,MATCH(Summary!$C$18,'Scenario &amp; Sensitivity'!$B$7:$B$9,0),MATCH('Monthly Metrics'!AA$6,'Scenario &amp; Sensitivity'!$C$6:$F$6,0))</f>
        <v>1.5118864315095806</v>
      </c>
      <c r="AB22" s="203">
        <f>INDEX('Scenario &amp; Sensitivity'!$C$7:$F$9,MATCH(Summary!$C$18,'Scenario &amp; Sensitivity'!$B$7:$B$9,0),MATCH('Monthly Metrics'!AB$6,'Scenario &amp; Sensitivity'!$C$6:$F$6,0))</f>
        <v>1.5118864315095806</v>
      </c>
      <c r="AC22" s="203">
        <f>INDEX('Scenario &amp; Sensitivity'!$C$7:$F$9,MATCH(Summary!$C$18,'Scenario &amp; Sensitivity'!$B$7:$B$9,0),MATCH('Monthly Metrics'!AC$6,'Scenario &amp; Sensitivity'!$C$6:$F$6,0))</f>
        <v>1.5118864315095806</v>
      </c>
      <c r="AD22" s="203">
        <f>INDEX('Scenario &amp; Sensitivity'!$C$7:$F$9,MATCH(Summary!$C$18,'Scenario &amp; Sensitivity'!$B$7:$B$9,0),MATCH('Monthly Metrics'!AD$6,'Scenario &amp; Sensitivity'!$C$6:$F$6,0))</f>
        <v>1.5118864315095806</v>
      </c>
      <c r="AE22" s="203">
        <f>INDEX('Scenario &amp; Sensitivity'!$C$7:$F$9,MATCH(Summary!$C$18,'Scenario &amp; Sensitivity'!$B$7:$B$9,0),MATCH('Monthly Metrics'!AE$6,'Scenario &amp; Sensitivity'!$C$6:$F$6,0))</f>
        <v>1.5118864315095806</v>
      </c>
      <c r="AF22" s="203">
        <f>INDEX('Scenario &amp; Sensitivity'!$C$7:$F$9,MATCH(Summary!$C$18,'Scenario &amp; Sensitivity'!$B$7:$B$9,0),MATCH('Monthly Metrics'!AF$6,'Scenario &amp; Sensitivity'!$C$6:$F$6,0))</f>
        <v>1.5118864315095806</v>
      </c>
      <c r="AG22" s="203">
        <f>INDEX('Scenario &amp; Sensitivity'!$C$7:$F$9,MATCH(Summary!$C$18,'Scenario &amp; Sensitivity'!$B$7:$B$9,0),MATCH('Monthly Metrics'!AG$6,'Scenario &amp; Sensitivity'!$C$6:$F$6,0))</f>
        <v>1.5118864315095806</v>
      </c>
      <c r="AH22" s="203">
        <f>INDEX('Scenario &amp; Sensitivity'!$C$7:$F$9,MATCH(Summary!$C$18,'Scenario &amp; Sensitivity'!$B$7:$B$9,0),MATCH('Monthly Metrics'!AH$6,'Scenario &amp; Sensitivity'!$C$6:$F$6,0))</f>
        <v>1.5118864315095806</v>
      </c>
      <c r="AI22" s="203">
        <f>INDEX('Scenario &amp; Sensitivity'!$C$7:$F$9,MATCH(Summary!$C$18,'Scenario &amp; Sensitivity'!$B$7:$B$9,0),MATCH('Monthly Metrics'!AI$6,'Scenario &amp; Sensitivity'!$C$6:$F$6,0))</f>
        <v>1.5118864315095806</v>
      </c>
      <c r="AJ22" s="203">
        <f>INDEX('Scenario &amp; Sensitivity'!$C$7:$F$9,MATCH(Summary!$C$18,'Scenario &amp; Sensitivity'!$B$7:$B$9,0),MATCH('Monthly Metrics'!AJ$6,'Scenario &amp; Sensitivity'!$C$6:$F$6,0))</f>
        <v>1.5118864315095806</v>
      </c>
      <c r="AK22" s="203">
        <f>INDEX('Scenario &amp; Sensitivity'!$C$7:$F$9,MATCH(Summary!$C$18,'Scenario &amp; Sensitivity'!$B$7:$B$9,0),MATCH('Monthly Metrics'!AK$6,'Scenario &amp; Sensitivity'!$C$6:$F$6,0))</f>
        <v>1.5118864315095806</v>
      </c>
      <c r="AL22" s="203">
        <f>INDEX('Scenario &amp; Sensitivity'!$C$7:$F$9,MATCH(Summary!$C$18,'Scenario &amp; Sensitivity'!$B$7:$B$9,0),MATCH('Monthly Metrics'!AL$6,'Scenario &amp; Sensitivity'!$C$6:$F$6,0))</f>
        <v>1.5118864315095806</v>
      </c>
      <c r="AM22" s="203">
        <f>INDEX('Scenario &amp; Sensitivity'!$C$7:$F$9,MATCH(Summary!$C$18,'Scenario &amp; Sensitivity'!$B$7:$B$9,0),MATCH('Monthly Metrics'!AM$6,'Scenario &amp; Sensitivity'!$C$6:$F$6,0))</f>
        <v>1.5118864315095806</v>
      </c>
      <c r="AN22" s="203">
        <f>INDEX('Scenario &amp; Sensitivity'!$C$7:$F$9,MATCH(Summary!$C$18,'Scenario &amp; Sensitivity'!$B$7:$B$9,0),MATCH('Monthly Metrics'!AN$6,'Scenario &amp; Sensitivity'!$C$6:$F$6,0))</f>
        <v>1.5118864315095806</v>
      </c>
      <c r="AO22" s="203">
        <f>INDEX('Scenario &amp; Sensitivity'!$C$7:$F$9,MATCH(Summary!$C$18,'Scenario &amp; Sensitivity'!$B$7:$B$9,0),MATCH('Monthly Metrics'!AO$6,'Scenario &amp; Sensitivity'!$C$6:$F$6,0))</f>
        <v>1.5118864315095806</v>
      </c>
      <c r="AP22" s="203">
        <f>INDEX('Scenario &amp; Sensitivity'!$C$7:$F$9,MATCH(Summary!$C$18,'Scenario &amp; Sensitivity'!$B$7:$B$9,0),MATCH('Monthly Metrics'!AP$6,'Scenario &amp; Sensitivity'!$C$6:$F$6,0))</f>
        <v>1.5118864315095806</v>
      </c>
      <c r="AQ22" s="203">
        <f>INDEX('Scenario &amp; Sensitivity'!$C$7:$F$9,MATCH(Summary!$C$18,'Scenario &amp; Sensitivity'!$B$7:$B$9,0),MATCH('Monthly Metrics'!AQ$6,'Scenario &amp; Sensitivity'!$C$6:$F$6,0))</f>
        <v>1.5118864315095806</v>
      </c>
      <c r="AR22" s="203">
        <f>INDEX('Scenario &amp; Sensitivity'!$C$7:$F$9,MATCH(Summary!$C$18,'Scenario &amp; Sensitivity'!$B$7:$B$9,0),MATCH('Monthly Metrics'!AR$6,'Scenario &amp; Sensitivity'!$C$6:$F$6,0))</f>
        <v>1.5118864315095806</v>
      </c>
      <c r="AS22" s="203">
        <f>INDEX('Scenario &amp; Sensitivity'!$C$7:$F$9,MATCH(Summary!$C$18,'Scenario &amp; Sensitivity'!$B$7:$B$9,0),MATCH('Monthly Metrics'!AS$6,'Scenario &amp; Sensitivity'!$C$6:$F$6,0))</f>
        <v>1.5118864315095806</v>
      </c>
      <c r="AT22" s="203">
        <f>INDEX('Scenario &amp; Sensitivity'!$C$7:$F$9,MATCH(Summary!$C$18,'Scenario &amp; Sensitivity'!$B$7:$B$9,0),MATCH('Monthly Metrics'!AT$6,'Scenario &amp; Sensitivity'!$C$6:$F$6,0))</f>
        <v>1.5118864315095806</v>
      </c>
      <c r="AU22" s="203">
        <f>INDEX('Scenario &amp; Sensitivity'!$C$7:$F$9,MATCH(Summary!$C$18,'Scenario &amp; Sensitivity'!$B$7:$B$9,0),MATCH('Monthly Metrics'!AU$6,'Scenario &amp; Sensitivity'!$C$6:$F$6,0))</f>
        <v>1.5118864315095806</v>
      </c>
      <c r="AV22" s="203">
        <f>INDEX('Scenario &amp; Sensitivity'!$C$7:$F$9,MATCH(Summary!$C$18,'Scenario &amp; Sensitivity'!$B$7:$B$9,0),MATCH('Monthly Metrics'!AV$6,'Scenario &amp; Sensitivity'!$C$6:$F$6,0))</f>
        <v>1.5118864315095806</v>
      </c>
      <c r="AW22" s="203">
        <f>INDEX('Scenario &amp; Sensitivity'!$C$7:$F$9,MATCH(Summary!$C$18,'Scenario &amp; Sensitivity'!$B$7:$B$9,0),MATCH('Monthly Metrics'!AW$6,'Scenario &amp; Sensitivity'!$C$6:$F$6,0))</f>
        <v>1.5118864315095806</v>
      </c>
      <c r="AX22" s="203">
        <f>INDEX('Scenario &amp; Sensitivity'!$C$7:$F$9,MATCH(Summary!$C$18,'Scenario &amp; Sensitivity'!$B$7:$B$9,0),MATCH('Monthly Metrics'!AX$6,'Scenario &amp; Sensitivity'!$C$6:$F$6,0))</f>
        <v>1.5118864315095806</v>
      </c>
      <c r="AY22" s="203">
        <f>INDEX('Scenario &amp; Sensitivity'!$C$7:$F$9,MATCH(Summary!$C$18,'Scenario &amp; Sensitivity'!$B$7:$B$9,0),MATCH('Monthly Metrics'!AY$6,'Scenario &amp; Sensitivity'!$C$6:$F$6,0))</f>
        <v>1.5118864315095806</v>
      </c>
      <c r="AZ22" s="203">
        <f>INDEX('Scenario &amp; Sensitivity'!$C$7:$F$9,MATCH(Summary!$C$18,'Scenario &amp; Sensitivity'!$B$7:$B$9,0),MATCH('Monthly Metrics'!AZ$6,'Scenario &amp; Sensitivity'!$C$6:$F$6,0))</f>
        <v>1.5118864315095806</v>
      </c>
      <c r="BA22" s="203">
        <f>INDEX('Scenario &amp; Sensitivity'!$C$7:$F$9,MATCH(Summary!$C$18,'Scenario &amp; Sensitivity'!$B$7:$B$9,0),MATCH('Monthly Metrics'!BA$6,'Scenario &amp; Sensitivity'!$C$6:$F$6,0))</f>
        <v>1.5118864315095806</v>
      </c>
      <c r="BB22" s="203">
        <f>INDEX('Scenario &amp; Sensitivity'!$C$7:$F$9,MATCH(Summary!$C$18,'Scenario &amp; Sensitivity'!$B$7:$B$9,0),MATCH('Monthly Metrics'!BB$6,'Scenario &amp; Sensitivity'!$C$6:$F$6,0))</f>
        <v>1.5118864315095806</v>
      </c>
      <c r="BC22" s="203">
        <f>INDEX('Scenario &amp; Sensitivity'!$C$7:$F$9,MATCH(Summary!$C$18,'Scenario &amp; Sensitivity'!$B$7:$B$9,0),MATCH('Monthly Metrics'!BC$6,'Scenario &amp; Sensitivity'!$C$6:$F$6,0))</f>
        <v>1.5118864315095806</v>
      </c>
      <c r="BD22" s="203">
        <f>INDEX('Scenario &amp; Sensitivity'!$C$7:$F$9,MATCH(Summary!$C$18,'Scenario &amp; Sensitivity'!$B$7:$B$9,0),MATCH('Monthly Metrics'!BD$6,'Scenario &amp; Sensitivity'!$C$6:$F$6,0))</f>
        <v>1.5118864315095806</v>
      </c>
      <c r="BE22" s="203">
        <f>INDEX('Scenario &amp; Sensitivity'!$C$7:$F$9,MATCH(Summary!$C$18,'Scenario &amp; Sensitivity'!$B$7:$B$9,0),MATCH('Monthly Metrics'!BE$6,'Scenario &amp; Sensitivity'!$C$6:$F$6,0))</f>
        <v>1.5118864315095806</v>
      </c>
      <c r="BF22" s="203">
        <f>INDEX('Scenario &amp; Sensitivity'!$C$7:$F$9,MATCH(Summary!$C$18,'Scenario &amp; Sensitivity'!$B$7:$B$9,0),MATCH('Monthly Metrics'!BF$6,'Scenario &amp; Sensitivity'!$C$6:$F$6,0))</f>
        <v>1.5118864315095806</v>
      </c>
      <c r="BG22" s="203">
        <f>INDEX('Scenario &amp; Sensitivity'!$C$7:$F$9,MATCH(Summary!$C$18,'Scenario &amp; Sensitivity'!$B$7:$B$9,0),MATCH('Monthly Metrics'!BG$6,'Scenario &amp; Sensitivity'!$C$6:$F$6,0))</f>
        <v>1.5118864315095806</v>
      </c>
      <c r="BH22" s="203">
        <f>INDEX('Scenario &amp; Sensitivity'!$C$7:$F$9,MATCH(Summary!$C$18,'Scenario &amp; Sensitivity'!$B$7:$B$9,0),MATCH('Monthly Metrics'!BH$6,'Scenario &amp; Sensitivity'!$C$6:$F$6,0))</f>
        <v>1.5118864315095806</v>
      </c>
      <c r="BI22" s="203">
        <f>INDEX('Scenario &amp; Sensitivity'!$C$7:$F$9,MATCH(Summary!$C$18,'Scenario &amp; Sensitivity'!$B$7:$B$9,0),MATCH('Monthly Metrics'!BI$6,'Scenario &amp; Sensitivity'!$C$6:$F$6,0))</f>
        <v>1.5118864315095806</v>
      </c>
      <c r="BJ22" s="203">
        <f>INDEX('Scenario &amp; Sensitivity'!$C$7:$F$9,MATCH(Summary!$C$18,'Scenario &amp; Sensitivity'!$B$7:$B$9,0),MATCH('Monthly Metrics'!BJ$6,'Scenario &amp; Sensitivity'!$C$6:$F$6,0))</f>
        <v>1.5118864315095806</v>
      </c>
    </row>
    <row r="23" spans="2:62" x14ac:dyDescent="0.35">
      <c r="B23" s="243" t="s">
        <v>524</v>
      </c>
      <c r="L23" s="75"/>
      <c r="M23" s="75"/>
      <c r="N23" s="75"/>
      <c r="O23" s="75"/>
      <c r="P23" s="75"/>
      <c r="Q23" s="75"/>
      <c r="R23" s="75"/>
      <c r="S23" s="75"/>
      <c r="T23" s="75"/>
      <c r="U23" s="244">
        <f>+((1+U22)^(1/12)) -1</f>
        <v>3.436608313191658E-2</v>
      </c>
      <c r="V23" s="244">
        <f t="shared" ref="V23:BJ23" si="54">+((1+V22)^(1/12)) -1</f>
        <v>3.436608313191658E-2</v>
      </c>
      <c r="W23" s="244">
        <f t="shared" si="54"/>
        <v>3.436608313191658E-2</v>
      </c>
      <c r="X23" s="244">
        <f t="shared" si="54"/>
        <v>3.436608313191658E-2</v>
      </c>
      <c r="Y23" s="244">
        <f t="shared" si="54"/>
        <v>3.436608313191658E-2</v>
      </c>
      <c r="Z23" s="244">
        <f t="shared" si="54"/>
        <v>3.436608313191658E-2</v>
      </c>
      <c r="AA23" s="244">
        <f t="shared" si="54"/>
        <v>7.9775162327709648E-2</v>
      </c>
      <c r="AB23" s="244">
        <f t="shared" si="54"/>
        <v>7.9775162327709648E-2</v>
      </c>
      <c r="AC23" s="244">
        <f t="shared" si="54"/>
        <v>7.9775162327709648E-2</v>
      </c>
      <c r="AD23" s="244">
        <f t="shared" si="54"/>
        <v>7.9775162327709648E-2</v>
      </c>
      <c r="AE23" s="244">
        <f t="shared" si="54"/>
        <v>7.9775162327709648E-2</v>
      </c>
      <c r="AF23" s="244">
        <f t="shared" si="54"/>
        <v>7.9775162327709648E-2</v>
      </c>
      <c r="AG23" s="244">
        <f t="shared" si="54"/>
        <v>7.9775162327709648E-2</v>
      </c>
      <c r="AH23" s="244">
        <f t="shared" si="54"/>
        <v>7.9775162327709648E-2</v>
      </c>
      <c r="AI23" s="244">
        <f t="shared" si="54"/>
        <v>7.9775162327709648E-2</v>
      </c>
      <c r="AJ23" s="244">
        <f t="shared" si="54"/>
        <v>7.9775162327709648E-2</v>
      </c>
      <c r="AK23" s="244">
        <f t="shared" si="54"/>
        <v>7.9775162327709648E-2</v>
      </c>
      <c r="AL23" s="244">
        <f t="shared" si="54"/>
        <v>7.9775162327709648E-2</v>
      </c>
      <c r="AM23" s="244">
        <f t="shared" si="54"/>
        <v>7.9775162327709648E-2</v>
      </c>
      <c r="AN23" s="244">
        <f t="shared" si="54"/>
        <v>7.9775162327709648E-2</v>
      </c>
      <c r="AO23" s="244">
        <f t="shared" si="54"/>
        <v>7.9775162327709648E-2</v>
      </c>
      <c r="AP23" s="244">
        <f t="shared" si="54"/>
        <v>7.9775162327709648E-2</v>
      </c>
      <c r="AQ23" s="244">
        <f t="shared" si="54"/>
        <v>7.9775162327709648E-2</v>
      </c>
      <c r="AR23" s="244">
        <f t="shared" si="54"/>
        <v>7.9775162327709648E-2</v>
      </c>
      <c r="AS23" s="244">
        <f t="shared" si="54"/>
        <v>7.9775162327709648E-2</v>
      </c>
      <c r="AT23" s="244">
        <f t="shared" si="54"/>
        <v>7.9775162327709648E-2</v>
      </c>
      <c r="AU23" s="244">
        <f t="shared" si="54"/>
        <v>7.9775162327709648E-2</v>
      </c>
      <c r="AV23" s="244">
        <f t="shared" si="54"/>
        <v>7.9775162327709648E-2</v>
      </c>
      <c r="AW23" s="244">
        <f t="shared" si="54"/>
        <v>7.9775162327709648E-2</v>
      </c>
      <c r="AX23" s="244">
        <f t="shared" si="54"/>
        <v>7.9775162327709648E-2</v>
      </c>
      <c r="AY23" s="244">
        <f t="shared" si="54"/>
        <v>7.9775162327709648E-2</v>
      </c>
      <c r="AZ23" s="244">
        <f t="shared" si="54"/>
        <v>7.9775162327709648E-2</v>
      </c>
      <c r="BA23" s="244">
        <f t="shared" si="54"/>
        <v>7.9775162327709648E-2</v>
      </c>
      <c r="BB23" s="244">
        <f t="shared" si="54"/>
        <v>7.9775162327709648E-2</v>
      </c>
      <c r="BC23" s="244">
        <f t="shared" si="54"/>
        <v>7.9775162327709648E-2</v>
      </c>
      <c r="BD23" s="244">
        <f t="shared" si="54"/>
        <v>7.9775162327709648E-2</v>
      </c>
      <c r="BE23" s="244">
        <f t="shared" si="54"/>
        <v>7.9775162327709648E-2</v>
      </c>
      <c r="BF23" s="244">
        <f t="shared" si="54"/>
        <v>7.9775162327709648E-2</v>
      </c>
      <c r="BG23" s="244">
        <f t="shared" si="54"/>
        <v>7.9775162327709648E-2</v>
      </c>
      <c r="BH23" s="244">
        <f t="shared" si="54"/>
        <v>7.9775162327709648E-2</v>
      </c>
      <c r="BI23" s="244">
        <f t="shared" si="54"/>
        <v>7.9775162327709648E-2</v>
      </c>
      <c r="BJ23" s="244">
        <f t="shared" si="54"/>
        <v>7.9775162327709648E-2</v>
      </c>
    </row>
    <row r="24" spans="2:62" x14ac:dyDescent="0.35">
      <c r="B24" s="243"/>
      <c r="L24" s="75"/>
      <c r="M24" s="75"/>
      <c r="N24" s="75"/>
      <c r="O24" s="75"/>
      <c r="P24" s="75"/>
      <c r="Q24" s="75"/>
      <c r="R24" s="75"/>
      <c r="S24" s="75"/>
      <c r="T24" s="75"/>
    </row>
    <row r="25" spans="2:62" ht="14.25" x14ac:dyDescent="0.45">
      <c r="B25" s="77" t="s">
        <v>325</v>
      </c>
      <c r="C25" s="78"/>
      <c r="D25" s="78"/>
      <c r="E25" s="78"/>
      <c r="F25" s="78"/>
      <c r="G25" s="78"/>
      <c r="H25" s="78"/>
      <c r="I25" s="78"/>
      <c r="J25" s="79"/>
      <c r="K25" s="79"/>
      <c r="L25" s="90"/>
      <c r="M25" s="90"/>
      <c r="N25" s="90"/>
      <c r="O25" s="90"/>
      <c r="P25" s="90"/>
      <c r="Q25" s="90"/>
      <c r="R25" s="90"/>
      <c r="S25" s="90"/>
      <c r="T25" s="90"/>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row>
    <row r="26" spans="2:62" x14ac:dyDescent="0.35">
      <c r="B26" s="81" t="s">
        <v>326</v>
      </c>
      <c r="C26" s="91">
        <v>2.14</v>
      </c>
      <c r="D26" s="91">
        <v>1.97</v>
      </c>
      <c r="E26" s="91">
        <v>1.87</v>
      </c>
      <c r="F26" s="91">
        <v>1.65</v>
      </c>
      <c r="G26" s="91">
        <v>1.55</v>
      </c>
      <c r="H26" s="91">
        <v>1.58</v>
      </c>
      <c r="I26" s="91">
        <v>1.76</v>
      </c>
      <c r="J26" s="91">
        <v>2.5499999999999998</v>
      </c>
      <c r="K26" s="91">
        <v>1.96</v>
      </c>
      <c r="L26" s="92">
        <v>1.75</v>
      </c>
      <c r="M26" s="92">
        <v>1.94</v>
      </c>
      <c r="N26" s="92">
        <v>1.82</v>
      </c>
      <c r="O26" s="92">
        <v>1.74</v>
      </c>
      <c r="P26" s="92">
        <v>2.2200000000000002</v>
      </c>
      <c r="Q26" s="92">
        <v>2.0099999999999998</v>
      </c>
      <c r="R26" s="92">
        <v>2.0499999999999998</v>
      </c>
      <c r="S26" s="92">
        <v>2.4</v>
      </c>
      <c r="T26" s="92">
        <v>2.84</v>
      </c>
    </row>
    <row r="27" spans="2:62" x14ac:dyDescent="0.35">
      <c r="B27" s="81" t="s">
        <v>322</v>
      </c>
      <c r="C27" s="91"/>
      <c r="D27" s="91"/>
      <c r="E27" s="91"/>
      <c r="F27" s="91"/>
      <c r="G27" s="91"/>
      <c r="H27" s="91"/>
      <c r="I27" s="91"/>
      <c r="J27" s="91">
        <v>1</v>
      </c>
      <c r="K27" s="91">
        <v>0.93</v>
      </c>
      <c r="L27" s="92">
        <v>1.29</v>
      </c>
      <c r="M27" s="92">
        <v>1.34</v>
      </c>
      <c r="N27" s="92">
        <v>1.66</v>
      </c>
      <c r="O27" s="92">
        <v>1.95</v>
      </c>
      <c r="P27" s="92">
        <v>2.42</v>
      </c>
      <c r="Q27" s="92">
        <v>1.86</v>
      </c>
      <c r="R27" s="92">
        <v>2.5</v>
      </c>
      <c r="S27" s="92">
        <v>1.65</v>
      </c>
      <c r="T27" s="92">
        <v>0.59</v>
      </c>
    </row>
    <row r="28" spans="2:62" x14ac:dyDescent="0.35">
      <c r="B28" s="81" t="s">
        <v>323</v>
      </c>
      <c r="C28" s="91">
        <v>-1.06</v>
      </c>
      <c r="D28" s="91">
        <v>-1.41</v>
      </c>
      <c r="E28" s="91">
        <v>-2.38</v>
      </c>
      <c r="F28" s="91">
        <v>-1.47</v>
      </c>
      <c r="G28" s="91">
        <v>-0.86</v>
      </c>
      <c r="H28" s="91">
        <v>-1.22</v>
      </c>
      <c r="I28" s="91">
        <v>-0.8</v>
      </c>
      <c r="J28" s="91">
        <v>-0.65</v>
      </c>
      <c r="K28" s="91">
        <v>0.21</v>
      </c>
      <c r="L28" s="92">
        <v>-2.67</v>
      </c>
      <c r="M28" s="92">
        <v>-0.13</v>
      </c>
      <c r="N28" s="92">
        <v>-0.3</v>
      </c>
      <c r="O28" s="92">
        <v>-0.61</v>
      </c>
      <c r="P28" s="92">
        <v>0.37</v>
      </c>
      <c r="Q28" s="92">
        <v>0.09</v>
      </c>
      <c r="R28" s="92">
        <v>-0.08</v>
      </c>
      <c r="S28" s="92">
        <v>-0.12</v>
      </c>
      <c r="T28" s="92">
        <v>-0.14000000000000001</v>
      </c>
    </row>
    <row r="29" spans="2:62" ht="13.15" x14ac:dyDescent="0.4">
      <c r="B29" s="87" t="s">
        <v>327</v>
      </c>
      <c r="C29" s="93">
        <v>1.9</v>
      </c>
      <c r="D29" s="93">
        <v>1.65</v>
      </c>
      <c r="E29" s="93">
        <v>1.47</v>
      </c>
      <c r="F29" s="93">
        <v>1.36</v>
      </c>
      <c r="G29" s="93">
        <v>1.32</v>
      </c>
      <c r="H29" s="93">
        <v>1.32</v>
      </c>
      <c r="I29" s="93">
        <v>1.52</v>
      </c>
      <c r="J29" s="93">
        <v>2.25</v>
      </c>
      <c r="K29" s="93">
        <v>1.86</v>
      </c>
      <c r="L29" s="94">
        <v>1.59</v>
      </c>
      <c r="M29" s="94">
        <v>1.85</v>
      </c>
      <c r="N29" s="94">
        <v>1.71</v>
      </c>
      <c r="O29" s="94">
        <v>1.67</v>
      </c>
      <c r="P29" s="94">
        <v>2.16</v>
      </c>
      <c r="Q29" s="94">
        <v>1.86</v>
      </c>
      <c r="R29" s="94">
        <v>1.95</v>
      </c>
      <c r="S29" s="94">
        <v>2.23</v>
      </c>
      <c r="T29" s="94">
        <v>2.56</v>
      </c>
    </row>
    <row r="30" spans="2:62" x14ac:dyDescent="0.35">
      <c r="L30" s="75"/>
      <c r="M30" s="75"/>
      <c r="N30" s="75"/>
      <c r="O30" s="75"/>
      <c r="P30" s="75"/>
      <c r="Q30" s="75"/>
      <c r="R30" s="75"/>
      <c r="S30" s="75"/>
      <c r="T30" s="75"/>
    </row>
    <row r="31" spans="2:62" ht="13.15" x14ac:dyDescent="0.4">
      <c r="B31" s="77" t="s">
        <v>328</v>
      </c>
      <c r="C31" s="78"/>
      <c r="D31" s="78"/>
      <c r="E31" s="78"/>
      <c r="F31" s="78"/>
      <c r="G31" s="78"/>
      <c r="H31" s="78"/>
      <c r="I31" s="78"/>
      <c r="J31" s="79"/>
      <c r="K31" s="79"/>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0"/>
    </row>
    <row r="32" spans="2:62" x14ac:dyDescent="0.35">
      <c r="B32" s="95" t="s">
        <v>329</v>
      </c>
      <c r="C32" s="96">
        <v>0.48</v>
      </c>
      <c r="D32" s="96">
        <v>0.44</v>
      </c>
      <c r="E32" s="96">
        <v>0.5</v>
      </c>
      <c r="F32" s="96">
        <v>0.44</v>
      </c>
      <c r="G32" s="96">
        <v>0.33</v>
      </c>
      <c r="H32" s="96">
        <v>0.28000000000000003</v>
      </c>
      <c r="I32" s="96">
        <v>0.27</v>
      </c>
      <c r="J32" s="96">
        <v>0.28000000000000003</v>
      </c>
      <c r="K32" s="96">
        <v>0.23</v>
      </c>
      <c r="L32" s="96">
        <v>0.38</v>
      </c>
      <c r="M32" s="96">
        <v>0.45</v>
      </c>
      <c r="N32" s="96">
        <v>0.39</v>
      </c>
      <c r="O32" s="96">
        <v>0.33</v>
      </c>
      <c r="P32" s="96">
        <v>0.61</v>
      </c>
      <c r="Q32" s="96">
        <v>0.48</v>
      </c>
      <c r="R32" s="96">
        <v>0.35</v>
      </c>
      <c r="S32" s="96">
        <v>0.28000000000000003</v>
      </c>
      <c r="T32" s="96">
        <v>0.47</v>
      </c>
      <c r="U32" s="123">
        <f>+'Volatility Cycle Timeline'!U12</f>
        <v>0.53</v>
      </c>
      <c r="V32" s="123">
        <f>+'Volatility Cycle Timeline'!V12</f>
        <v>0.54</v>
      </c>
      <c r="W32" s="123">
        <f>+'Volatility Cycle Timeline'!W12</f>
        <v>0.55000000000000004</v>
      </c>
      <c r="X32" s="123">
        <f>+'Volatility Cycle Timeline'!X12</f>
        <v>0.56699999999999995</v>
      </c>
      <c r="Y32" s="123">
        <f>+'Volatility Cycle Timeline'!Y12</f>
        <v>0.58299999999999996</v>
      </c>
      <c r="Z32" s="123">
        <f>+'Volatility Cycle Timeline'!Z12</f>
        <v>0.6</v>
      </c>
      <c r="AA32" s="123">
        <f>+'Volatility Cycle Timeline'!AA12</f>
        <v>0.54</v>
      </c>
      <c r="AB32" s="123">
        <f>+'Volatility Cycle Timeline'!AB12</f>
        <v>0.48</v>
      </c>
      <c r="AC32" s="123">
        <f>+'Volatility Cycle Timeline'!AC12</f>
        <v>0.42</v>
      </c>
      <c r="AD32" s="123">
        <f>+'Volatility Cycle Timeline'!AD12</f>
        <v>0.39</v>
      </c>
      <c r="AE32" s="123">
        <f>+'Volatility Cycle Timeline'!AE12</f>
        <v>0.36</v>
      </c>
      <c r="AF32" s="123">
        <f>+'Volatility Cycle Timeline'!AF12</f>
        <v>0.33</v>
      </c>
      <c r="AG32" s="123">
        <f>+'Volatility Cycle Timeline'!AG12</f>
        <v>0.32</v>
      </c>
      <c r="AH32" s="123">
        <f>+'Volatility Cycle Timeline'!AH12</f>
        <v>0.31</v>
      </c>
      <c r="AI32" s="123">
        <f>+'Volatility Cycle Timeline'!AI12</f>
        <v>0.3</v>
      </c>
      <c r="AJ32" s="123">
        <f>+'Volatility Cycle Timeline'!AJ12</f>
        <v>0.307</v>
      </c>
      <c r="AK32" s="123">
        <f>+'Volatility Cycle Timeline'!AK12</f>
        <v>0.313</v>
      </c>
      <c r="AL32" s="123">
        <f>+'Volatility Cycle Timeline'!AL12</f>
        <v>0.32</v>
      </c>
      <c r="AM32" s="123">
        <f>+'Volatility Cycle Timeline'!AM12</f>
        <v>0.33</v>
      </c>
      <c r="AN32" s="123">
        <f>+'Volatility Cycle Timeline'!AN12</f>
        <v>0.34</v>
      </c>
      <c r="AO32" s="123">
        <f>+'Volatility Cycle Timeline'!AO12</f>
        <v>0.35</v>
      </c>
      <c r="AP32" s="123">
        <f>+'Volatility Cycle Timeline'!AP12</f>
        <v>0.373</v>
      </c>
      <c r="AQ32" s="123">
        <f>+'Volatility Cycle Timeline'!AQ12</f>
        <v>0.39700000000000002</v>
      </c>
      <c r="AR32" s="123">
        <f>+'Volatility Cycle Timeline'!AR12</f>
        <v>0.42</v>
      </c>
      <c r="AS32" s="123">
        <f>+'Volatility Cycle Timeline'!AS12</f>
        <v>0.44700000000000001</v>
      </c>
      <c r="AT32" s="123">
        <f>+'Volatility Cycle Timeline'!AT12</f>
        <v>0.47299999999999998</v>
      </c>
      <c r="AU32" s="123">
        <f>+'Volatility Cycle Timeline'!AU12</f>
        <v>0.5</v>
      </c>
      <c r="AV32" s="123">
        <f>+'Volatility Cycle Timeline'!AV12</f>
        <v>0.52700000000000002</v>
      </c>
      <c r="AW32" s="123">
        <f>+'Volatility Cycle Timeline'!AW12</f>
        <v>0.55300000000000005</v>
      </c>
      <c r="AX32" s="123">
        <f>+'Volatility Cycle Timeline'!AX12</f>
        <v>0.57999999999999996</v>
      </c>
      <c r="AY32" s="123">
        <f>+'Volatility Cycle Timeline'!AY12</f>
        <v>0.60299999999999998</v>
      </c>
      <c r="AZ32" s="123">
        <f>+'Volatility Cycle Timeline'!AZ12</f>
        <v>0.627</v>
      </c>
      <c r="BA32" s="123">
        <f>+'Volatility Cycle Timeline'!BA12</f>
        <v>0.65</v>
      </c>
      <c r="BB32" s="123">
        <f>+'Volatility Cycle Timeline'!BB12</f>
        <v>0.67300000000000004</v>
      </c>
      <c r="BC32" s="123">
        <f>+'Volatility Cycle Timeline'!BC12</f>
        <v>0.69699999999999995</v>
      </c>
      <c r="BD32" s="123">
        <f>+'Volatility Cycle Timeline'!BD12</f>
        <v>0.72</v>
      </c>
      <c r="BE32" s="123">
        <f>+'Volatility Cycle Timeline'!BE12</f>
        <v>0.74</v>
      </c>
      <c r="BF32" s="123">
        <f>+'Volatility Cycle Timeline'!BF12</f>
        <v>0.76</v>
      </c>
      <c r="BG32" s="123">
        <f>+'Volatility Cycle Timeline'!BG12</f>
        <v>0.78</v>
      </c>
      <c r="BH32" s="123">
        <f>+'Volatility Cycle Timeline'!BH12</f>
        <v>0.80300000000000005</v>
      </c>
      <c r="BI32" s="123">
        <f>+'Volatility Cycle Timeline'!BI12</f>
        <v>0.82699999999999996</v>
      </c>
      <c r="BJ32" s="123">
        <f>+'Volatility Cycle Timeline'!BJ12</f>
        <v>0.85</v>
      </c>
    </row>
    <row r="33" spans="2:62" x14ac:dyDescent="0.35">
      <c r="B33" s="95" t="s">
        <v>330</v>
      </c>
      <c r="C33" s="96">
        <v>0.6</v>
      </c>
      <c r="D33" s="96">
        <v>0.78</v>
      </c>
      <c r="E33" s="96">
        <v>0.69</v>
      </c>
      <c r="F33" s="96">
        <v>0.7</v>
      </c>
      <c r="G33" s="96">
        <v>0.67</v>
      </c>
      <c r="H33" s="96">
        <v>0.54</v>
      </c>
      <c r="I33" s="96">
        <v>0.54</v>
      </c>
      <c r="J33" s="96">
        <v>0.6</v>
      </c>
      <c r="K33" s="96">
        <v>0.42</v>
      </c>
      <c r="L33" s="96">
        <v>0.57999999999999996</v>
      </c>
      <c r="M33" s="96">
        <v>0.68</v>
      </c>
      <c r="N33" s="96">
        <v>0.53</v>
      </c>
      <c r="O33" s="96">
        <v>0.46</v>
      </c>
      <c r="P33" s="96">
        <v>0.82</v>
      </c>
      <c r="Q33" s="96">
        <v>0.6</v>
      </c>
      <c r="R33" s="96">
        <v>0.44</v>
      </c>
      <c r="S33" s="96">
        <v>0.36</v>
      </c>
      <c r="T33" s="96">
        <v>0.67</v>
      </c>
      <c r="U33" s="123">
        <f>+'Volatility Cycle Timeline'!U13</f>
        <v>0.6784</v>
      </c>
      <c r="V33" s="123">
        <f>+'Volatility Cycle Timeline'!V13</f>
        <v>0.69120000000000004</v>
      </c>
      <c r="W33" s="123">
        <f>+'Volatility Cycle Timeline'!W13</f>
        <v>0.70400000000000007</v>
      </c>
      <c r="X33" s="123">
        <f>+'Volatility Cycle Timeline'!X13</f>
        <v>0.72575999999999996</v>
      </c>
      <c r="Y33" s="123">
        <f>+'Volatility Cycle Timeline'!Y13</f>
        <v>0.74624000000000001</v>
      </c>
      <c r="Z33" s="123">
        <f>+'Volatility Cycle Timeline'!Z13</f>
        <v>0.76800000000000002</v>
      </c>
      <c r="AA33" s="123">
        <f>+'Volatility Cycle Timeline'!AA13</f>
        <v>0.69120000000000004</v>
      </c>
      <c r="AB33" s="123">
        <f>+'Volatility Cycle Timeline'!AB13</f>
        <v>0.61439999999999995</v>
      </c>
      <c r="AC33" s="123">
        <f>+'Volatility Cycle Timeline'!AC13</f>
        <v>0.53759999999999997</v>
      </c>
      <c r="AD33" s="123">
        <f>+'Volatility Cycle Timeline'!AD13</f>
        <v>0.49920000000000003</v>
      </c>
      <c r="AE33" s="123">
        <f>+'Volatility Cycle Timeline'!AE13</f>
        <v>0.46079999999999999</v>
      </c>
      <c r="AF33" s="123">
        <f>+'Volatility Cycle Timeline'!AF13</f>
        <v>0.42240000000000005</v>
      </c>
      <c r="AG33" s="123">
        <f>+'Volatility Cycle Timeline'!AG13</f>
        <v>0.40960000000000002</v>
      </c>
      <c r="AH33" s="123">
        <f>+'Volatility Cycle Timeline'!AH13</f>
        <v>0.39679999999999999</v>
      </c>
      <c r="AI33" s="123">
        <f>+'Volatility Cycle Timeline'!AI13</f>
        <v>0.38400000000000001</v>
      </c>
      <c r="AJ33" s="123">
        <f>+'Volatility Cycle Timeline'!AJ13</f>
        <v>0.39295999999999998</v>
      </c>
      <c r="AK33" s="123">
        <f>+'Volatility Cycle Timeline'!AK13</f>
        <v>0.40064</v>
      </c>
      <c r="AL33" s="123">
        <f>+'Volatility Cycle Timeline'!AL13</f>
        <v>0.40960000000000002</v>
      </c>
      <c r="AM33" s="123">
        <f>+'Volatility Cycle Timeline'!AM13</f>
        <v>0.42240000000000005</v>
      </c>
      <c r="AN33" s="123">
        <f>+'Volatility Cycle Timeline'!AN13</f>
        <v>0.43520000000000003</v>
      </c>
      <c r="AO33" s="123">
        <f>+'Volatility Cycle Timeline'!AO13</f>
        <v>0.44799999999999995</v>
      </c>
      <c r="AP33" s="123">
        <f>+'Volatility Cycle Timeline'!AP13</f>
        <v>0.47744000000000003</v>
      </c>
      <c r="AQ33" s="123">
        <f>+'Volatility Cycle Timeline'!AQ13</f>
        <v>0.50816000000000006</v>
      </c>
      <c r="AR33" s="123">
        <f>+'Volatility Cycle Timeline'!AR13</f>
        <v>0.53759999999999997</v>
      </c>
      <c r="AS33" s="123">
        <f>+'Volatility Cycle Timeline'!AS13</f>
        <v>0.57216</v>
      </c>
      <c r="AT33" s="123">
        <f>+'Volatility Cycle Timeline'!AT13</f>
        <v>0.60543999999999998</v>
      </c>
      <c r="AU33" s="123">
        <f>+'Volatility Cycle Timeline'!AU13</f>
        <v>0.64</v>
      </c>
      <c r="AV33" s="123">
        <f>+'Volatility Cycle Timeline'!AV13</f>
        <v>0.67456000000000005</v>
      </c>
      <c r="AW33" s="123">
        <f>+'Volatility Cycle Timeline'!AW13</f>
        <v>0.70784000000000002</v>
      </c>
      <c r="AX33" s="123">
        <f>+'Volatility Cycle Timeline'!AX13</f>
        <v>0.74239999999999995</v>
      </c>
      <c r="AY33" s="123">
        <f>+'Volatility Cycle Timeline'!AY13</f>
        <v>0.77183999999999997</v>
      </c>
      <c r="AZ33" s="123">
        <f>+'Volatility Cycle Timeline'!AZ13</f>
        <v>0.80256000000000005</v>
      </c>
      <c r="BA33" s="123">
        <f>+'Volatility Cycle Timeline'!BA13</f>
        <v>0.83200000000000007</v>
      </c>
      <c r="BB33" s="123">
        <f>+'Volatility Cycle Timeline'!BB13</f>
        <v>0.86144000000000009</v>
      </c>
      <c r="BC33" s="123">
        <f>+'Volatility Cycle Timeline'!BC13</f>
        <v>0.89215999999999995</v>
      </c>
      <c r="BD33" s="123">
        <f>+'Volatility Cycle Timeline'!BD13</f>
        <v>0.92159999999999997</v>
      </c>
      <c r="BE33" s="123">
        <f>+'Volatility Cycle Timeline'!BE13</f>
        <v>0.94720000000000004</v>
      </c>
      <c r="BF33" s="123">
        <f>+'Volatility Cycle Timeline'!BF13</f>
        <v>0.9728</v>
      </c>
      <c r="BG33" s="123">
        <f>+'Volatility Cycle Timeline'!BG13</f>
        <v>0.99840000000000007</v>
      </c>
      <c r="BH33" s="123">
        <f>+'Volatility Cycle Timeline'!BH13</f>
        <v>1.0278400000000001</v>
      </c>
      <c r="BI33" s="123">
        <f>+'Volatility Cycle Timeline'!BI13</f>
        <v>1.0585599999999999</v>
      </c>
      <c r="BJ33" s="123">
        <f>+'Volatility Cycle Timeline'!BJ13</f>
        <v>1.0880000000000001</v>
      </c>
    </row>
    <row r="34" spans="2:62" x14ac:dyDescent="0.35">
      <c r="B34" s="105" t="s">
        <v>349</v>
      </c>
      <c r="C34" s="106">
        <f>AVERAGE(C32:C33)</f>
        <v>0.54</v>
      </c>
      <c r="D34" s="106">
        <f t="shared" ref="D34:U34" si="55">AVERAGE(D32:D33)</f>
        <v>0.61</v>
      </c>
      <c r="E34" s="106">
        <f t="shared" si="55"/>
        <v>0.59499999999999997</v>
      </c>
      <c r="F34" s="106">
        <f t="shared" si="55"/>
        <v>0.56999999999999995</v>
      </c>
      <c r="G34" s="106">
        <f t="shared" si="55"/>
        <v>0.5</v>
      </c>
      <c r="H34" s="106">
        <f t="shared" si="55"/>
        <v>0.41000000000000003</v>
      </c>
      <c r="I34" s="106">
        <f t="shared" si="55"/>
        <v>0.40500000000000003</v>
      </c>
      <c r="J34" s="106">
        <f t="shared" si="55"/>
        <v>0.44</v>
      </c>
      <c r="K34" s="106">
        <f t="shared" si="55"/>
        <v>0.32500000000000001</v>
      </c>
      <c r="L34" s="106">
        <f t="shared" si="55"/>
        <v>0.48</v>
      </c>
      <c r="M34" s="106">
        <f t="shared" si="55"/>
        <v>0.56500000000000006</v>
      </c>
      <c r="N34" s="106">
        <f t="shared" si="55"/>
        <v>0.46</v>
      </c>
      <c r="O34" s="106">
        <f t="shared" si="55"/>
        <v>0.39500000000000002</v>
      </c>
      <c r="P34" s="106">
        <f t="shared" si="55"/>
        <v>0.71499999999999997</v>
      </c>
      <c r="Q34" s="106">
        <f t="shared" si="55"/>
        <v>0.54</v>
      </c>
      <c r="R34" s="106">
        <f t="shared" si="55"/>
        <v>0.39500000000000002</v>
      </c>
      <c r="S34" s="106">
        <f t="shared" si="55"/>
        <v>0.32</v>
      </c>
      <c r="T34" s="106">
        <f t="shared" si="55"/>
        <v>0.57000000000000006</v>
      </c>
      <c r="U34" s="106">
        <f t="shared" si="55"/>
        <v>0.60420000000000007</v>
      </c>
      <c r="V34" s="106">
        <f t="shared" ref="V34" si="56">AVERAGE(V32:V33)</f>
        <v>0.61560000000000004</v>
      </c>
      <c r="W34" s="106">
        <f t="shared" ref="W34" si="57">AVERAGE(W32:W33)</f>
        <v>0.627</v>
      </c>
      <c r="X34" s="106">
        <f t="shared" ref="X34" si="58">AVERAGE(X32:X33)</f>
        <v>0.64637999999999995</v>
      </c>
      <c r="Y34" s="106">
        <f t="shared" ref="Y34" si="59">AVERAGE(Y32:Y33)</f>
        <v>0.66461999999999999</v>
      </c>
      <c r="Z34" s="106">
        <f t="shared" ref="Z34" si="60">AVERAGE(Z32:Z33)</f>
        <v>0.68399999999999994</v>
      </c>
      <c r="AA34" s="106">
        <f t="shared" ref="AA34" si="61">AVERAGE(AA32:AA33)</f>
        <v>0.61560000000000004</v>
      </c>
      <c r="AB34" s="106">
        <f t="shared" ref="AB34" si="62">AVERAGE(AB32:AB33)</f>
        <v>0.54719999999999991</v>
      </c>
      <c r="AC34" s="106">
        <f t="shared" ref="AC34" si="63">AVERAGE(AC32:AC33)</f>
        <v>0.4788</v>
      </c>
      <c r="AD34" s="106">
        <f t="shared" ref="AD34" si="64">AVERAGE(AD32:AD33)</f>
        <v>0.4446</v>
      </c>
      <c r="AE34" s="106">
        <f t="shared" ref="AE34" si="65">AVERAGE(AE32:AE33)</f>
        <v>0.41039999999999999</v>
      </c>
      <c r="AF34" s="106">
        <f t="shared" ref="AF34" si="66">AVERAGE(AF32:AF33)</f>
        <v>0.37620000000000003</v>
      </c>
      <c r="AG34" s="106">
        <f t="shared" ref="AG34" si="67">AVERAGE(AG32:AG33)</f>
        <v>0.36480000000000001</v>
      </c>
      <c r="AH34" s="106">
        <f t="shared" ref="AH34" si="68">AVERAGE(AH32:AH33)</f>
        <v>0.35339999999999999</v>
      </c>
      <c r="AI34" s="106">
        <f t="shared" ref="AI34" si="69">AVERAGE(AI32:AI33)</f>
        <v>0.34199999999999997</v>
      </c>
      <c r="AJ34" s="106">
        <f t="shared" ref="AJ34" si="70">AVERAGE(AJ32:AJ33)</f>
        <v>0.34997999999999996</v>
      </c>
      <c r="AK34" s="106">
        <f t="shared" ref="AK34" si="71">AVERAGE(AK32:AK33)</f>
        <v>0.35682000000000003</v>
      </c>
      <c r="AL34" s="106">
        <f t="shared" ref="AL34" si="72">AVERAGE(AL32:AL33)</f>
        <v>0.36480000000000001</v>
      </c>
      <c r="AM34" s="106">
        <f t="shared" ref="AM34" si="73">AVERAGE(AM32:AM33)</f>
        <v>0.37620000000000003</v>
      </c>
      <c r="AN34" s="106">
        <f t="shared" ref="AN34" si="74">AVERAGE(AN32:AN33)</f>
        <v>0.38760000000000006</v>
      </c>
      <c r="AO34" s="106">
        <f t="shared" ref="AO34" si="75">AVERAGE(AO32:AO33)</f>
        <v>0.39899999999999997</v>
      </c>
      <c r="AP34" s="106">
        <f t="shared" ref="AP34" si="76">AVERAGE(AP32:AP33)</f>
        <v>0.42522000000000004</v>
      </c>
      <c r="AQ34" s="106">
        <f t="shared" ref="AQ34" si="77">AVERAGE(AQ32:AQ33)</f>
        <v>0.45258000000000004</v>
      </c>
      <c r="AR34" s="106">
        <f t="shared" ref="AR34" si="78">AVERAGE(AR32:AR33)</f>
        <v>0.4788</v>
      </c>
      <c r="AS34" s="106">
        <f t="shared" ref="AS34" si="79">AVERAGE(AS32:AS33)</f>
        <v>0.50958000000000003</v>
      </c>
      <c r="AT34" s="106">
        <f t="shared" ref="AT34" si="80">AVERAGE(AT32:AT33)</f>
        <v>0.53922000000000003</v>
      </c>
      <c r="AU34" s="106">
        <f t="shared" ref="AU34" si="81">AVERAGE(AU32:AU33)</f>
        <v>0.57000000000000006</v>
      </c>
      <c r="AV34" s="106">
        <f t="shared" ref="AV34" si="82">AVERAGE(AV32:AV33)</f>
        <v>0.60078000000000009</v>
      </c>
      <c r="AW34" s="106">
        <f t="shared" ref="AW34" si="83">AVERAGE(AW32:AW33)</f>
        <v>0.63041999999999998</v>
      </c>
      <c r="AX34" s="106">
        <f t="shared" ref="AX34" si="84">AVERAGE(AX32:AX33)</f>
        <v>0.66120000000000001</v>
      </c>
      <c r="AY34" s="106">
        <f t="shared" ref="AY34" si="85">AVERAGE(AY32:AY33)</f>
        <v>0.68741999999999992</v>
      </c>
      <c r="AZ34" s="106">
        <f t="shared" ref="AZ34" si="86">AVERAGE(AZ32:AZ33)</f>
        <v>0.71477999999999997</v>
      </c>
      <c r="BA34" s="106">
        <f t="shared" ref="BA34" si="87">AVERAGE(BA32:BA33)</f>
        <v>0.7410000000000001</v>
      </c>
      <c r="BB34" s="106">
        <f t="shared" ref="BB34" si="88">AVERAGE(BB32:BB33)</f>
        <v>0.76722000000000001</v>
      </c>
      <c r="BC34" s="106">
        <f t="shared" ref="BC34" si="89">AVERAGE(BC32:BC33)</f>
        <v>0.79457999999999995</v>
      </c>
      <c r="BD34" s="106">
        <f t="shared" ref="BD34" si="90">AVERAGE(BD32:BD33)</f>
        <v>0.82079999999999997</v>
      </c>
      <c r="BE34" s="106">
        <f t="shared" ref="BE34" si="91">AVERAGE(BE32:BE33)</f>
        <v>0.84360000000000002</v>
      </c>
      <c r="BF34" s="106">
        <f t="shared" ref="BF34" si="92">AVERAGE(BF32:BF33)</f>
        <v>0.86640000000000006</v>
      </c>
      <c r="BG34" s="106">
        <f t="shared" ref="BG34" si="93">AVERAGE(BG32:BG33)</f>
        <v>0.88919999999999999</v>
      </c>
      <c r="BH34" s="106">
        <f t="shared" ref="BH34" si="94">AVERAGE(BH32:BH33)</f>
        <v>0.91542000000000012</v>
      </c>
      <c r="BI34" s="106">
        <f t="shared" ref="BI34" si="95">AVERAGE(BI32:BI33)</f>
        <v>0.94277999999999995</v>
      </c>
      <c r="BJ34" s="106">
        <f t="shared" ref="BJ34" si="96">AVERAGE(BJ32:BJ33)</f>
        <v>0.96900000000000008</v>
      </c>
    </row>
    <row r="35" spans="2:62" x14ac:dyDescent="0.35">
      <c r="L35" s="76"/>
      <c r="M35" s="76"/>
    </row>
    <row r="36" spans="2:62" ht="14.25" x14ac:dyDescent="0.45">
      <c r="B36" s="77" t="s">
        <v>335</v>
      </c>
      <c r="C36" s="78"/>
      <c r="D36" s="78"/>
      <c r="E36" s="78"/>
      <c r="F36" s="78"/>
      <c r="G36" s="78"/>
      <c r="H36" s="78"/>
      <c r="I36" s="78"/>
      <c r="J36" s="78"/>
      <c r="K36" s="78"/>
      <c r="L36" s="78"/>
      <c r="M36" s="78"/>
      <c r="N36" s="78"/>
      <c r="O36" s="78"/>
      <c r="P36" s="78"/>
      <c r="Q36" s="78"/>
      <c r="R36" s="78"/>
      <c r="S36" s="78"/>
      <c r="T36" s="78"/>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row>
    <row r="37" spans="2:62" ht="13.5" x14ac:dyDescent="0.35">
      <c r="B37" s="67" t="s">
        <v>329</v>
      </c>
      <c r="C37" s="99">
        <v>102405.03</v>
      </c>
      <c r="D37" s="99">
        <v>84373.01</v>
      </c>
      <c r="E37" s="99">
        <v>82548.91</v>
      </c>
      <c r="F37" s="99">
        <v>94207.31</v>
      </c>
      <c r="G37" s="99">
        <v>104638.09</v>
      </c>
      <c r="H37" s="99">
        <v>107135.33</v>
      </c>
      <c r="I37" s="99">
        <v>115758.2</v>
      </c>
      <c r="J37" s="99">
        <v>108236.71</v>
      </c>
      <c r="K37" s="99">
        <v>114056.08</v>
      </c>
      <c r="L37" s="99">
        <v>109556.16</v>
      </c>
      <c r="M37" s="99">
        <v>90394.31</v>
      </c>
      <c r="N37" s="99">
        <v>87508.83</v>
      </c>
      <c r="O37" s="99">
        <v>78621.11</v>
      </c>
      <c r="P37" s="99">
        <v>66995.86</v>
      </c>
      <c r="Q37" s="99">
        <v>68233.320000000007</v>
      </c>
      <c r="R37" s="99">
        <v>76304.320000000007</v>
      </c>
      <c r="S37" s="99">
        <v>73579.69</v>
      </c>
      <c r="T37" s="99">
        <v>58558.86</v>
      </c>
    </row>
    <row r="38" spans="2:62" x14ac:dyDescent="0.35">
      <c r="F38" s="96"/>
      <c r="J38" s="96"/>
      <c r="K38" s="96"/>
      <c r="L38" s="76"/>
      <c r="M38" s="76"/>
    </row>
    <row r="39" spans="2:62" x14ac:dyDescent="0.35">
      <c r="L39" s="76"/>
      <c r="M39" s="76"/>
      <c r="N39" s="68"/>
      <c r="O39" s="68"/>
      <c r="P39" s="68"/>
      <c r="Q39" s="68"/>
      <c r="R39" s="68"/>
    </row>
    <row r="40" spans="2:62" ht="13.15" x14ac:dyDescent="0.4">
      <c r="B40" s="115" t="s">
        <v>336</v>
      </c>
      <c r="C40" s="111"/>
      <c r="D40" s="112"/>
      <c r="E40" s="112"/>
      <c r="F40" s="112"/>
      <c r="G40" s="112"/>
      <c r="H40" s="112"/>
      <c r="I40" s="112"/>
      <c r="J40" s="112"/>
      <c r="K40" s="112"/>
      <c r="L40" s="113"/>
      <c r="M40" s="113"/>
      <c r="N40" s="112"/>
      <c r="O40" s="112"/>
      <c r="P40" s="112"/>
      <c r="Q40" s="112"/>
      <c r="R40" s="112"/>
      <c r="S40" s="114"/>
      <c r="T40" s="116"/>
    </row>
    <row r="41" spans="2:62" x14ac:dyDescent="0.35">
      <c r="B41" s="67" t="s">
        <v>338</v>
      </c>
      <c r="C41" s="109">
        <f>+CORREL(C17:N17,C37:N37)</f>
        <v>-0.58502630513099152</v>
      </c>
      <c r="L41" s="76"/>
      <c r="M41" s="76"/>
      <c r="N41" s="68"/>
      <c r="O41" s="68"/>
      <c r="P41" s="68"/>
      <c r="Q41" s="68"/>
      <c r="R41" s="68"/>
    </row>
    <row r="42" spans="2:62" x14ac:dyDescent="0.35">
      <c r="B42" s="67" t="s">
        <v>339</v>
      </c>
      <c r="C42" s="109">
        <f>+CORREL(C20:N20,C37:N37)</f>
        <v>-0.65219053856708153</v>
      </c>
      <c r="L42" s="76"/>
      <c r="M42" s="76"/>
      <c r="N42" s="68"/>
      <c r="O42" s="68"/>
      <c r="P42" s="68"/>
      <c r="Q42" s="68"/>
      <c r="R42" s="68"/>
    </row>
    <row r="43" spans="2:62" x14ac:dyDescent="0.35">
      <c r="B43" s="67" t="s">
        <v>337</v>
      </c>
      <c r="C43" s="109">
        <f>+CORREL(C17:N17,C32:N32)</f>
        <v>0.90330171414158533</v>
      </c>
      <c r="L43" s="76"/>
      <c r="M43" s="76"/>
      <c r="N43" s="68"/>
      <c r="O43" s="68"/>
      <c r="P43" s="68"/>
      <c r="Q43" s="68"/>
      <c r="R43" s="68"/>
    </row>
    <row r="44" spans="2:62" x14ac:dyDescent="0.35">
      <c r="B44" s="67" t="s">
        <v>340</v>
      </c>
      <c r="C44" s="109">
        <f>+CORREL(C20:N20,C32:N32)</f>
        <v>0.9350532277168897</v>
      </c>
      <c r="L44" s="76"/>
      <c r="M44" s="76"/>
    </row>
    <row r="45" spans="2:62" x14ac:dyDescent="0.35">
      <c r="L45" s="76"/>
      <c r="M45" s="76"/>
    </row>
    <row r="46" spans="2:62" x14ac:dyDescent="0.35">
      <c r="L46" s="76"/>
      <c r="M46" s="76"/>
    </row>
    <row r="47" spans="2:62" ht="13.15" x14ac:dyDescent="0.4">
      <c r="B47" s="115" t="s">
        <v>344</v>
      </c>
      <c r="C47" s="111"/>
      <c r="D47" s="112"/>
      <c r="E47" s="112"/>
      <c r="F47" s="112"/>
      <c r="G47" s="112"/>
      <c r="H47" s="112"/>
      <c r="I47" s="112"/>
      <c r="J47" s="112"/>
      <c r="K47" s="112"/>
      <c r="L47" s="113"/>
      <c r="M47" s="113"/>
      <c r="N47" s="114"/>
      <c r="O47" s="114"/>
      <c r="P47" s="114"/>
      <c r="Q47" s="114"/>
      <c r="R47" s="114"/>
      <c r="S47" s="114"/>
      <c r="T47" s="116"/>
    </row>
    <row r="48" spans="2:62" ht="13.15" x14ac:dyDescent="0.4">
      <c r="B48" s="117" t="s">
        <v>326</v>
      </c>
      <c r="C48" s="67"/>
      <c r="D48" s="67"/>
      <c r="E48" s="67"/>
      <c r="F48" s="67"/>
      <c r="G48" s="67"/>
      <c r="H48" s="67"/>
      <c r="I48" s="67"/>
      <c r="J48" s="67"/>
      <c r="K48" s="67"/>
      <c r="L48" s="67"/>
      <c r="M48" s="67"/>
    </row>
    <row r="49" spans="2:20" x14ac:dyDescent="0.35">
      <c r="B49" s="67" t="s">
        <v>345</v>
      </c>
      <c r="C49" s="103">
        <f>SLOPE(C17:T17,C34:T34)</f>
        <v>126.95963499028534</v>
      </c>
      <c r="L49" s="76"/>
      <c r="M49" s="76"/>
    </row>
    <row r="50" spans="2:20" x14ac:dyDescent="0.35">
      <c r="B50" s="67" t="s">
        <v>346</v>
      </c>
      <c r="C50" s="103">
        <f>+INTERCEPT(C17:T17,C34:T34)</f>
        <v>-5.8049097299539554</v>
      </c>
    </row>
    <row r="51" spans="2:20" x14ac:dyDescent="0.35">
      <c r="B51" s="67" t="s">
        <v>352</v>
      </c>
      <c r="C51" s="104">
        <f>+$C$50+($C$49*C34)</f>
        <v>62.753293164800134</v>
      </c>
      <c r="D51" s="104">
        <f t="shared" ref="D51:T51" si="97">+$C$50+($C$49*D34)</f>
        <v>71.640467614120098</v>
      </c>
      <c r="E51" s="104">
        <f t="shared" si="97"/>
        <v>69.73607308926583</v>
      </c>
      <c r="F51" s="104">
        <f t="shared" si="97"/>
        <v>66.562082214508678</v>
      </c>
      <c r="G51" s="104">
        <f t="shared" si="97"/>
        <v>57.674907765188713</v>
      </c>
      <c r="H51" s="104">
        <f t="shared" si="97"/>
        <v>46.248540616063039</v>
      </c>
      <c r="I51" s="104">
        <f t="shared" si="97"/>
        <v>45.613742441111611</v>
      </c>
      <c r="J51" s="104">
        <f t="shared" si="97"/>
        <v>50.05732966577159</v>
      </c>
      <c r="K51" s="104">
        <f t="shared" si="97"/>
        <v>35.456971641888778</v>
      </c>
      <c r="L51" s="104">
        <f t="shared" si="97"/>
        <v>55.135715065383003</v>
      </c>
      <c r="M51" s="104">
        <f t="shared" si="97"/>
        <v>65.927284039557264</v>
      </c>
      <c r="N51" s="104">
        <f t="shared" si="97"/>
        <v>52.5965223655773</v>
      </c>
      <c r="O51" s="104">
        <f t="shared" si="97"/>
        <v>44.344146091208756</v>
      </c>
      <c r="P51" s="104">
        <f t="shared" si="97"/>
        <v>84.971229288100062</v>
      </c>
      <c r="Q51" s="104">
        <f t="shared" si="97"/>
        <v>62.753293164800134</v>
      </c>
      <c r="R51" s="104">
        <f t="shared" si="97"/>
        <v>44.344146091208756</v>
      </c>
      <c r="S51" s="104">
        <f t="shared" si="97"/>
        <v>34.82217346693735</v>
      </c>
      <c r="T51" s="104">
        <f t="shared" si="97"/>
        <v>66.562082214508706</v>
      </c>
    </row>
    <row r="52" spans="2:20" ht="13.15" x14ac:dyDescent="0.4">
      <c r="B52" s="117" t="s">
        <v>322</v>
      </c>
    </row>
    <row r="53" spans="2:20" x14ac:dyDescent="0.35">
      <c r="B53" s="67" t="s">
        <v>345</v>
      </c>
      <c r="C53" s="103">
        <f>SLOPE(M18:T18,M34:T34)</f>
        <v>-0.9751773049645388</v>
      </c>
      <c r="L53" s="76"/>
      <c r="M53" s="76"/>
    </row>
    <row r="54" spans="2:20" x14ac:dyDescent="0.35">
      <c r="B54" s="67" t="s">
        <v>346</v>
      </c>
      <c r="C54" s="103">
        <f>+INTERCEPT(M18:T18,M34:T34)</f>
        <v>4.1577127659574469</v>
      </c>
    </row>
    <row r="55" spans="2:20" x14ac:dyDescent="0.35">
      <c r="B55" s="67" t="s">
        <v>352</v>
      </c>
      <c r="C55" s="110"/>
      <c r="D55" s="110"/>
      <c r="E55" s="110"/>
      <c r="F55" s="110"/>
      <c r="G55" s="110"/>
      <c r="H55" s="110"/>
      <c r="I55" s="110"/>
      <c r="J55" s="110"/>
      <c r="K55" s="110"/>
      <c r="L55" s="110"/>
      <c r="M55" s="104">
        <f t="shared" ref="M55:T55" si="98">+$C$54+($C$53*M34)</f>
        <v>3.6067375886524822</v>
      </c>
      <c r="N55" s="104">
        <f t="shared" si="98"/>
        <v>3.7091312056737591</v>
      </c>
      <c r="O55" s="104">
        <f t="shared" si="98"/>
        <v>3.7725177304964541</v>
      </c>
      <c r="P55" s="104">
        <f t="shared" si="98"/>
        <v>3.4604609929078016</v>
      </c>
      <c r="Q55" s="104">
        <f t="shared" si="98"/>
        <v>3.6311170212765957</v>
      </c>
      <c r="R55" s="104">
        <f t="shared" si="98"/>
        <v>3.7725177304964541</v>
      </c>
      <c r="S55" s="104">
        <f t="shared" si="98"/>
        <v>3.8456560283687944</v>
      </c>
      <c r="T55" s="104">
        <f t="shared" si="98"/>
        <v>3.6018617021276595</v>
      </c>
    </row>
    <row r="56" spans="2:20" ht="13.15" x14ac:dyDescent="0.4">
      <c r="B56" s="117" t="s">
        <v>347</v>
      </c>
    </row>
    <row r="57" spans="2:20" x14ac:dyDescent="0.35">
      <c r="B57" s="67" t="s">
        <v>345</v>
      </c>
      <c r="C57" s="103">
        <f>SLOPE(C19:T19,C34:T34)</f>
        <v>8.9313860327024273</v>
      </c>
      <c r="L57" s="76"/>
      <c r="M57" s="76"/>
    </row>
    <row r="58" spans="2:20" x14ac:dyDescent="0.35">
      <c r="B58" s="67" t="s">
        <v>346</v>
      </c>
      <c r="C58" s="103">
        <f>+INTERCEPT(C19:T19,C34:T34)</f>
        <v>-9.4933088829218804E-2</v>
      </c>
    </row>
    <row r="59" spans="2:20" x14ac:dyDescent="0.35">
      <c r="B59" s="67" t="s">
        <v>352</v>
      </c>
      <c r="C59" s="104">
        <f>+$C$58+($C$57*C34)</f>
        <v>4.7280153688300919</v>
      </c>
      <c r="D59" s="104">
        <f t="shared" ref="D59:T59" si="99">+$C$58+($C$57*D34)</f>
        <v>5.3532123911192615</v>
      </c>
      <c r="E59" s="104">
        <f t="shared" si="99"/>
        <v>5.2192416006287248</v>
      </c>
      <c r="F59" s="104">
        <f t="shared" si="99"/>
        <v>4.9959569498111644</v>
      </c>
      <c r="G59" s="104">
        <f t="shared" si="99"/>
        <v>4.3707599275219948</v>
      </c>
      <c r="H59" s="104">
        <f t="shared" si="99"/>
        <v>3.5669351845787767</v>
      </c>
      <c r="I59" s="104">
        <f t="shared" si="99"/>
        <v>3.5222782544152644</v>
      </c>
      <c r="J59" s="104">
        <f t="shared" si="99"/>
        <v>3.8348767655598492</v>
      </c>
      <c r="K59" s="104">
        <f t="shared" si="99"/>
        <v>2.8077673717990703</v>
      </c>
      <c r="L59" s="104">
        <f t="shared" si="99"/>
        <v>4.1921322068679459</v>
      </c>
      <c r="M59" s="104">
        <f t="shared" si="99"/>
        <v>4.9513000196476531</v>
      </c>
      <c r="N59" s="104">
        <f t="shared" si="99"/>
        <v>4.0135044862138978</v>
      </c>
      <c r="O59" s="104">
        <f t="shared" si="99"/>
        <v>3.4329643940882399</v>
      </c>
      <c r="P59" s="104">
        <f t="shared" si="99"/>
        <v>6.2910079245530168</v>
      </c>
      <c r="Q59" s="104">
        <f t="shared" si="99"/>
        <v>4.7280153688300919</v>
      </c>
      <c r="R59" s="104">
        <f t="shared" si="99"/>
        <v>3.4329643940882399</v>
      </c>
      <c r="S59" s="104">
        <f t="shared" si="99"/>
        <v>2.7631104416355581</v>
      </c>
      <c r="T59" s="104">
        <f t="shared" si="99"/>
        <v>4.9959569498111653</v>
      </c>
    </row>
    <row r="60" spans="2:20" x14ac:dyDescent="0.35">
      <c r="N60" s="68"/>
      <c r="O60" s="68"/>
      <c r="P60" s="68"/>
      <c r="Q60" s="68"/>
      <c r="R60" s="68"/>
      <c r="S60" s="68"/>
      <c r="T60" s="68"/>
    </row>
    <row r="61" spans="2:20" ht="13.15" x14ac:dyDescent="0.4">
      <c r="B61" s="119" t="s">
        <v>353</v>
      </c>
      <c r="C61" s="120">
        <f>+C59+C55+C51</f>
        <v>67.481308533630227</v>
      </c>
      <c r="D61" s="120">
        <f>+D59+D55+D51</f>
        <v>76.993680005239355</v>
      </c>
      <c r="E61" s="120">
        <f t="shared" ref="E61:T61" si="100">+E59+E55+E51</f>
        <v>74.95531468989455</v>
      </c>
      <c r="F61" s="120">
        <f>+F59+F55+F51</f>
        <v>71.558039164319837</v>
      </c>
      <c r="G61" s="120">
        <f t="shared" si="100"/>
        <v>62.045667692710708</v>
      </c>
      <c r="H61" s="120">
        <f t="shared" si="100"/>
        <v>49.815475800641813</v>
      </c>
      <c r="I61" s="120">
        <f t="shared" si="100"/>
        <v>49.136020695526874</v>
      </c>
      <c r="J61" s="120">
        <f t="shared" si="100"/>
        <v>53.892206431331438</v>
      </c>
      <c r="K61" s="120">
        <f t="shared" si="100"/>
        <v>38.264739013687851</v>
      </c>
      <c r="L61" s="120">
        <f t="shared" si="100"/>
        <v>59.327847272250949</v>
      </c>
      <c r="M61" s="120">
        <f t="shared" si="100"/>
        <v>74.485321647857404</v>
      </c>
      <c r="N61" s="120">
        <f t="shared" si="100"/>
        <v>60.319158057464961</v>
      </c>
      <c r="O61" s="120">
        <f t="shared" si="100"/>
        <v>51.549628215793447</v>
      </c>
      <c r="P61" s="120">
        <f t="shared" si="100"/>
        <v>94.722698205560874</v>
      </c>
      <c r="Q61" s="120">
        <f t="shared" si="100"/>
        <v>71.112425554906821</v>
      </c>
      <c r="R61" s="120">
        <f t="shared" si="100"/>
        <v>51.549628215793447</v>
      </c>
      <c r="S61" s="120">
        <f t="shared" si="100"/>
        <v>41.430939936941705</v>
      </c>
      <c r="T61" s="120">
        <f t="shared" si="100"/>
        <v>75.159900866447529</v>
      </c>
    </row>
    <row r="62" spans="2:20" x14ac:dyDescent="0.35">
      <c r="B62" s="67" t="s">
        <v>348</v>
      </c>
      <c r="C62" s="104">
        <f t="shared" ref="C62:T62" si="101">+C61-C20</f>
        <v>-16.218691466369776</v>
      </c>
      <c r="D62" s="104">
        <f t="shared" si="101"/>
        <v>-5.5063199947606449</v>
      </c>
      <c r="E62" s="104">
        <f t="shared" si="101"/>
        <v>-10.744685310105453</v>
      </c>
      <c r="F62" s="104">
        <f t="shared" si="101"/>
        <v>-0.74196083568016036</v>
      </c>
      <c r="G62" s="104">
        <f t="shared" si="101"/>
        <v>-1.3543323072892903</v>
      </c>
      <c r="H62" s="104">
        <f t="shared" si="101"/>
        <v>5.8154758006418135</v>
      </c>
      <c r="I62" s="104">
        <f t="shared" si="101"/>
        <v>-4.6639793044731235</v>
      </c>
      <c r="J62" s="104">
        <f t="shared" si="101"/>
        <v>5.0922064313314408</v>
      </c>
      <c r="K62" s="104">
        <f t="shared" si="101"/>
        <v>-1.3352609863121501</v>
      </c>
      <c r="L62" s="104">
        <f t="shared" si="101"/>
        <v>-21.172152727749051</v>
      </c>
      <c r="M62" s="104">
        <f t="shared" si="101"/>
        <v>-6.3146783521425931</v>
      </c>
      <c r="N62" s="104">
        <f t="shared" si="101"/>
        <v>-0.7808419425350408</v>
      </c>
      <c r="O62" s="104">
        <f t="shared" si="101"/>
        <v>-0.6503717842065555</v>
      </c>
      <c r="P62" s="104">
        <f t="shared" si="101"/>
        <v>10.62269820556088</v>
      </c>
      <c r="Q62" s="104">
        <f t="shared" si="101"/>
        <v>10.712425554906822</v>
      </c>
      <c r="R62" s="104">
        <f t="shared" si="101"/>
        <v>4.6496282157934488</v>
      </c>
      <c r="S62" s="104">
        <f t="shared" si="101"/>
        <v>8.5309399369417065</v>
      </c>
      <c r="T62" s="104">
        <f t="shared" si="101"/>
        <v>24.259900866447531</v>
      </c>
    </row>
    <row r="63" spans="2:20" x14ac:dyDescent="0.35">
      <c r="B63" s="67" t="s">
        <v>350</v>
      </c>
      <c r="C63" s="109" cm="1">
        <f t="array" ref="C63">AVERAGE(ABS(C62:T62)/C20:T20)</f>
        <v>0.12664262348417113</v>
      </c>
      <c r="D63" s="104"/>
      <c r="E63" s="104"/>
      <c r="F63" s="104"/>
      <c r="G63" s="104"/>
      <c r="H63" s="104"/>
      <c r="I63" s="104"/>
      <c r="J63" s="104"/>
      <c r="K63" s="104"/>
      <c r="L63" s="104"/>
      <c r="M63" s="104"/>
      <c r="N63" s="104"/>
      <c r="O63" s="104"/>
      <c r="P63" s="104"/>
      <c r="Q63" s="104"/>
      <c r="R63" s="104"/>
      <c r="S63" s="104"/>
      <c r="T63" s="104"/>
    </row>
    <row r="64" spans="2:20" x14ac:dyDescent="0.35">
      <c r="C64" s="104"/>
      <c r="D64" s="104"/>
      <c r="E64" s="104"/>
      <c r="F64" s="104"/>
      <c r="G64" s="104"/>
      <c r="H64" s="104"/>
      <c r="I64" s="104"/>
      <c r="J64" s="104"/>
      <c r="K64" s="104"/>
      <c r="L64" s="104"/>
      <c r="M64" s="104"/>
      <c r="N64" s="104"/>
      <c r="O64" s="104"/>
      <c r="P64" s="104"/>
      <c r="Q64" s="104"/>
      <c r="R64" s="104"/>
      <c r="S64" s="104"/>
      <c r="T64" s="104"/>
    </row>
    <row r="65" spans="2:20" x14ac:dyDescent="0.35">
      <c r="C65" s="104"/>
      <c r="D65" s="104"/>
      <c r="E65" s="104"/>
      <c r="F65" s="104"/>
      <c r="G65" s="104"/>
      <c r="H65" s="104"/>
      <c r="I65" s="104"/>
      <c r="J65" s="104"/>
      <c r="K65" s="104"/>
      <c r="L65" s="104"/>
      <c r="M65" s="104"/>
      <c r="N65" s="104"/>
      <c r="O65" s="104"/>
      <c r="P65" s="104"/>
      <c r="Q65" s="104"/>
      <c r="R65" s="104"/>
      <c r="S65" s="104"/>
      <c r="T65" s="104"/>
    </row>
    <row r="67" spans="2:20" ht="102.4" x14ac:dyDescent="0.35">
      <c r="B67" s="101" t="s">
        <v>341</v>
      </c>
    </row>
    <row r="68" spans="2:20" ht="15" x14ac:dyDescent="0.35">
      <c r="B68" s="102"/>
    </row>
    <row r="69" spans="2:20" ht="127.9" x14ac:dyDescent="0.35">
      <c r="B69" s="101" t="s">
        <v>342</v>
      </c>
    </row>
    <row r="70" spans="2:20" x14ac:dyDescent="0.35">
      <c r="B70" s="101"/>
    </row>
    <row r="71" spans="2:20" ht="140.65" x14ac:dyDescent="0.35">
      <c r="B71" s="101" t="s">
        <v>343</v>
      </c>
    </row>
  </sheetData>
  <pageMargins left="0.25" right="0.25" top="0.75" bottom="0.75" header="0.3" footer="0.3"/>
  <pageSetup scale="76"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4A33-67C9-440B-9464-940510DA5637}">
  <sheetPr>
    <tabColor theme="9" tint="0.39997558519241921"/>
  </sheetPr>
  <dimension ref="B2:BJ35"/>
  <sheetViews>
    <sheetView zoomScaleNormal="100" workbookViewId="0">
      <pane xSplit="2" ySplit="10" topLeftCell="C12" activePane="bottomRight" state="frozen"/>
      <selection pane="topRight"/>
      <selection pane="bottomLeft"/>
      <selection pane="bottomRight"/>
    </sheetView>
  </sheetViews>
  <sheetFormatPr defaultColWidth="8.6640625" defaultRowHeight="14.25" x14ac:dyDescent="0.45"/>
  <cols>
    <col min="2" max="2" width="30" customWidth="1"/>
    <col min="3" max="62" width="8.46484375" customWidth="1"/>
  </cols>
  <sheetData>
    <row r="2" spans="2:62" ht="20.65" x14ac:dyDescent="0.6">
      <c r="B2" s="125" t="s">
        <v>354</v>
      </c>
    </row>
    <row r="3" spans="2:62" ht="45" customHeight="1" x14ac:dyDescent="0.45">
      <c r="B3" s="126" t="s">
        <v>355</v>
      </c>
    </row>
    <row r="6" spans="2:62" x14ac:dyDescent="0.45">
      <c r="C6" s="127">
        <v>2025</v>
      </c>
      <c r="D6" s="127">
        <v>2025</v>
      </c>
      <c r="E6" s="127">
        <v>2025</v>
      </c>
      <c r="F6" s="127">
        <v>2025</v>
      </c>
      <c r="G6" s="127">
        <v>2025</v>
      </c>
      <c r="H6" s="127">
        <v>2025</v>
      </c>
      <c r="I6" s="127">
        <v>2025</v>
      </c>
      <c r="J6" s="127">
        <v>2025</v>
      </c>
      <c r="K6" s="127">
        <v>2025</v>
      </c>
      <c r="L6" s="127">
        <v>2025</v>
      </c>
      <c r="M6" s="127">
        <v>2025</v>
      </c>
      <c r="N6" s="127">
        <v>2025</v>
      </c>
      <c r="O6" s="127">
        <v>2026</v>
      </c>
      <c r="P6" s="127">
        <v>2026</v>
      </c>
      <c r="Q6" s="127">
        <v>2026</v>
      </c>
      <c r="R6" s="127">
        <v>2026</v>
      </c>
      <c r="S6" s="127">
        <v>2026</v>
      </c>
      <c r="T6" s="127">
        <v>2026</v>
      </c>
      <c r="U6" s="127">
        <v>2026</v>
      </c>
      <c r="V6" s="127">
        <v>2026</v>
      </c>
      <c r="W6" s="127">
        <v>2026</v>
      </c>
      <c r="X6" s="127">
        <v>2026</v>
      </c>
      <c r="Y6" s="127">
        <v>2026</v>
      </c>
      <c r="Z6" s="127">
        <v>2026</v>
      </c>
      <c r="AA6" s="127">
        <v>2027</v>
      </c>
      <c r="AB6" s="127">
        <v>2027</v>
      </c>
      <c r="AC6" s="127">
        <v>2027</v>
      </c>
      <c r="AD6" s="127">
        <v>2027</v>
      </c>
      <c r="AE6" s="127">
        <v>2027</v>
      </c>
      <c r="AF6" s="127">
        <v>2027</v>
      </c>
      <c r="AG6" s="127">
        <v>2027</v>
      </c>
      <c r="AH6" s="127">
        <v>2027</v>
      </c>
      <c r="AI6" s="127">
        <v>2027</v>
      </c>
      <c r="AJ6" s="127">
        <v>2027</v>
      </c>
      <c r="AK6" s="127">
        <v>2027</v>
      </c>
      <c r="AL6" s="127">
        <v>2027</v>
      </c>
      <c r="AM6" s="127">
        <v>2028</v>
      </c>
      <c r="AN6" s="127">
        <v>2028</v>
      </c>
      <c r="AO6" s="127">
        <v>2028</v>
      </c>
      <c r="AP6" s="127">
        <v>2028</v>
      </c>
      <c r="AQ6" s="127">
        <v>2028</v>
      </c>
      <c r="AR6" s="127">
        <v>2028</v>
      </c>
      <c r="AS6" s="127">
        <v>2028</v>
      </c>
      <c r="AT6" s="127">
        <v>2028</v>
      </c>
      <c r="AU6" s="127">
        <v>2028</v>
      </c>
      <c r="AV6" s="127">
        <v>2028</v>
      </c>
      <c r="AW6" s="127">
        <v>2028</v>
      </c>
      <c r="AX6" s="127">
        <v>2028</v>
      </c>
      <c r="AY6" s="127">
        <v>2029</v>
      </c>
      <c r="AZ6" s="127">
        <v>2029</v>
      </c>
      <c r="BA6" s="127">
        <v>2029</v>
      </c>
      <c r="BB6" s="127">
        <v>2029</v>
      </c>
      <c r="BC6" s="127">
        <v>2029</v>
      </c>
      <c r="BD6" s="127">
        <v>2029</v>
      </c>
      <c r="BE6" s="127">
        <v>2029</v>
      </c>
      <c r="BF6" s="127">
        <v>2029</v>
      </c>
      <c r="BG6" s="127">
        <v>2029</v>
      </c>
      <c r="BH6" s="127">
        <v>2029</v>
      </c>
      <c r="BI6" s="127">
        <v>2029</v>
      </c>
      <c r="BJ6" s="127">
        <v>2029</v>
      </c>
    </row>
    <row r="7" spans="2:62" x14ac:dyDescent="0.45">
      <c r="C7" s="127" t="s">
        <v>331</v>
      </c>
      <c r="D7" s="127" t="s">
        <v>331</v>
      </c>
      <c r="E7" s="127" t="s">
        <v>331</v>
      </c>
      <c r="F7" s="127" t="s">
        <v>332</v>
      </c>
      <c r="G7" s="127" t="s">
        <v>332</v>
      </c>
      <c r="H7" s="127" t="s">
        <v>332</v>
      </c>
      <c r="I7" s="127" t="s">
        <v>333</v>
      </c>
      <c r="J7" s="127" t="s">
        <v>333</v>
      </c>
      <c r="K7" s="127" t="s">
        <v>333</v>
      </c>
      <c r="L7" s="127" t="s">
        <v>334</v>
      </c>
      <c r="M7" s="127" t="s">
        <v>334</v>
      </c>
      <c r="N7" s="127" t="s">
        <v>334</v>
      </c>
      <c r="O7" s="127" t="s">
        <v>331</v>
      </c>
      <c r="P7" s="127" t="s">
        <v>331</v>
      </c>
      <c r="Q7" s="127" t="s">
        <v>331</v>
      </c>
      <c r="R7" s="127" t="s">
        <v>332</v>
      </c>
      <c r="S7" s="127" t="s">
        <v>332</v>
      </c>
      <c r="T7" s="127" t="s">
        <v>332</v>
      </c>
      <c r="U7" s="127" t="s">
        <v>333</v>
      </c>
      <c r="V7" s="127" t="s">
        <v>333</v>
      </c>
      <c r="W7" s="127" t="s">
        <v>333</v>
      </c>
      <c r="X7" s="127" t="s">
        <v>334</v>
      </c>
      <c r="Y7" s="127" t="s">
        <v>334</v>
      </c>
      <c r="Z7" s="127" t="s">
        <v>334</v>
      </c>
      <c r="AA7" s="127" t="s">
        <v>331</v>
      </c>
      <c r="AB7" s="127" t="s">
        <v>331</v>
      </c>
      <c r="AC7" s="127" t="s">
        <v>331</v>
      </c>
      <c r="AD7" s="127" t="s">
        <v>332</v>
      </c>
      <c r="AE7" s="127" t="s">
        <v>332</v>
      </c>
      <c r="AF7" s="127" t="s">
        <v>332</v>
      </c>
      <c r="AG7" s="127" t="s">
        <v>333</v>
      </c>
      <c r="AH7" s="127" t="s">
        <v>333</v>
      </c>
      <c r="AI7" s="127" t="s">
        <v>333</v>
      </c>
      <c r="AJ7" s="127" t="s">
        <v>334</v>
      </c>
      <c r="AK7" s="127" t="s">
        <v>334</v>
      </c>
      <c r="AL7" s="127" t="s">
        <v>334</v>
      </c>
      <c r="AM7" s="127" t="s">
        <v>331</v>
      </c>
      <c r="AN7" s="127" t="s">
        <v>331</v>
      </c>
      <c r="AO7" s="127" t="s">
        <v>331</v>
      </c>
      <c r="AP7" s="127" t="s">
        <v>332</v>
      </c>
      <c r="AQ7" s="127" t="s">
        <v>332</v>
      </c>
      <c r="AR7" s="127" t="s">
        <v>332</v>
      </c>
      <c r="AS7" s="127" t="s">
        <v>333</v>
      </c>
      <c r="AT7" s="127" t="s">
        <v>333</v>
      </c>
      <c r="AU7" s="127" t="s">
        <v>333</v>
      </c>
      <c r="AV7" s="127" t="s">
        <v>334</v>
      </c>
      <c r="AW7" s="127" t="s">
        <v>334</v>
      </c>
      <c r="AX7" s="127" t="s">
        <v>334</v>
      </c>
      <c r="AY7" s="127" t="s">
        <v>331</v>
      </c>
      <c r="AZ7" s="127" t="s">
        <v>331</v>
      </c>
      <c r="BA7" s="127" t="s">
        <v>331</v>
      </c>
      <c r="BB7" s="127" t="s">
        <v>332</v>
      </c>
      <c r="BC7" s="127" t="s">
        <v>332</v>
      </c>
      <c r="BD7" s="127" t="s">
        <v>332</v>
      </c>
      <c r="BE7" s="127" t="s">
        <v>333</v>
      </c>
      <c r="BF7" s="127" t="s">
        <v>333</v>
      </c>
      <c r="BG7" s="127" t="s">
        <v>333</v>
      </c>
      <c r="BH7" s="127" t="s">
        <v>334</v>
      </c>
      <c r="BI7" s="127" t="s">
        <v>334</v>
      </c>
      <c r="BJ7" s="127" t="s">
        <v>334</v>
      </c>
    </row>
    <row r="8" spans="2:62" x14ac:dyDescent="0.45">
      <c r="C8" s="128">
        <v>45688</v>
      </c>
      <c r="D8" s="128">
        <v>45716</v>
      </c>
      <c r="E8" s="128">
        <v>45747</v>
      </c>
      <c r="F8" s="128">
        <v>45777</v>
      </c>
      <c r="G8" s="128">
        <v>45808</v>
      </c>
      <c r="H8" s="128">
        <v>45838</v>
      </c>
      <c r="I8" s="128">
        <v>45869</v>
      </c>
      <c r="J8" s="128">
        <v>45900</v>
      </c>
      <c r="K8" s="128">
        <v>45930</v>
      </c>
      <c r="L8" s="128">
        <v>45961</v>
      </c>
      <c r="M8" s="128">
        <v>45991</v>
      </c>
      <c r="N8" s="128">
        <v>46022</v>
      </c>
      <c r="O8" s="128">
        <v>46053</v>
      </c>
      <c r="P8" s="128">
        <v>46081</v>
      </c>
      <c r="Q8" s="128">
        <v>46112</v>
      </c>
      <c r="R8" s="128">
        <v>46142</v>
      </c>
      <c r="S8" s="128">
        <v>46173</v>
      </c>
      <c r="T8" s="128">
        <v>46203</v>
      </c>
      <c r="U8" s="128">
        <v>46234</v>
      </c>
      <c r="V8" s="128">
        <v>46265</v>
      </c>
      <c r="W8" s="128">
        <v>46295</v>
      </c>
      <c r="X8" s="128">
        <v>46326</v>
      </c>
      <c r="Y8" s="128">
        <v>46356</v>
      </c>
      <c r="Z8" s="128">
        <v>46387</v>
      </c>
      <c r="AA8" s="128">
        <v>46418</v>
      </c>
      <c r="AB8" s="128">
        <v>46446</v>
      </c>
      <c r="AC8" s="128">
        <v>46477</v>
      </c>
      <c r="AD8" s="128">
        <v>46507</v>
      </c>
      <c r="AE8" s="128">
        <v>46538</v>
      </c>
      <c r="AF8" s="128">
        <v>46568</v>
      </c>
      <c r="AG8" s="128">
        <v>46599</v>
      </c>
      <c r="AH8" s="128">
        <v>46630</v>
      </c>
      <c r="AI8" s="128">
        <v>46660</v>
      </c>
      <c r="AJ8" s="128">
        <v>46691</v>
      </c>
      <c r="AK8" s="128">
        <v>46721</v>
      </c>
      <c r="AL8" s="128">
        <v>46752</v>
      </c>
      <c r="AM8" s="128">
        <v>46783</v>
      </c>
      <c r="AN8" s="128">
        <v>46812</v>
      </c>
      <c r="AO8" s="128">
        <v>46843</v>
      </c>
      <c r="AP8" s="128">
        <v>46873</v>
      </c>
      <c r="AQ8" s="128">
        <v>46904</v>
      </c>
      <c r="AR8" s="128">
        <v>46934</v>
      </c>
      <c r="AS8" s="128">
        <v>46965</v>
      </c>
      <c r="AT8" s="128">
        <v>46996</v>
      </c>
      <c r="AU8" s="128">
        <v>47026</v>
      </c>
      <c r="AV8" s="128">
        <v>47057</v>
      </c>
      <c r="AW8" s="128">
        <v>47087</v>
      </c>
      <c r="AX8" s="128">
        <v>47118</v>
      </c>
      <c r="AY8" s="128">
        <v>47149</v>
      </c>
      <c r="AZ8" s="128">
        <v>47177</v>
      </c>
      <c r="BA8" s="128">
        <v>47208</v>
      </c>
      <c r="BB8" s="128">
        <v>47238</v>
      </c>
      <c r="BC8" s="128">
        <v>47269</v>
      </c>
      <c r="BD8" s="128">
        <v>47299</v>
      </c>
      <c r="BE8" s="128">
        <v>47330</v>
      </c>
      <c r="BF8" s="128">
        <v>47361</v>
      </c>
      <c r="BG8" s="128">
        <v>47391</v>
      </c>
      <c r="BH8" s="128">
        <v>47422</v>
      </c>
      <c r="BI8" s="128">
        <v>47452</v>
      </c>
      <c r="BJ8" s="128">
        <v>47483</v>
      </c>
    </row>
    <row r="9" spans="2:62" x14ac:dyDescent="0.45">
      <c r="C9" s="254">
        <v>2025</v>
      </c>
      <c r="D9" s="254"/>
      <c r="E9" s="254"/>
      <c r="F9" s="254"/>
      <c r="G9" s="254"/>
      <c r="H9" s="254"/>
      <c r="I9" s="254"/>
      <c r="J9" s="254"/>
      <c r="K9" s="254"/>
      <c r="L9" s="254"/>
      <c r="M9" s="254"/>
      <c r="N9" s="254"/>
      <c r="O9" s="254">
        <v>2026</v>
      </c>
      <c r="P9" s="254"/>
      <c r="Q9" s="254"/>
      <c r="R9" s="254"/>
      <c r="S9" s="254"/>
      <c r="T9" s="254"/>
      <c r="U9" s="254"/>
      <c r="V9" s="254"/>
      <c r="W9" s="254"/>
      <c r="X9" s="254"/>
      <c r="Y9" s="254"/>
      <c r="Z9" s="254"/>
      <c r="AA9" s="254">
        <v>2027</v>
      </c>
      <c r="AB9" s="254"/>
      <c r="AC9" s="254"/>
      <c r="AD9" s="254"/>
      <c r="AE9" s="254"/>
      <c r="AF9" s="254"/>
      <c r="AG9" s="254"/>
      <c r="AH9" s="254"/>
      <c r="AI9" s="254"/>
      <c r="AJ9" s="254"/>
      <c r="AK9" s="254"/>
      <c r="AL9" s="254"/>
      <c r="AM9" s="254">
        <v>2028</v>
      </c>
      <c r="AN9" s="254"/>
      <c r="AO9" s="254"/>
      <c r="AP9" s="254"/>
      <c r="AQ9" s="254"/>
      <c r="AR9" s="254"/>
      <c r="AS9" s="254"/>
      <c r="AT9" s="254"/>
      <c r="AU9" s="254"/>
      <c r="AV9" s="254"/>
      <c r="AW9" s="254"/>
      <c r="AX9" s="254"/>
      <c r="AY9" s="254">
        <v>2029</v>
      </c>
      <c r="AZ9" s="254"/>
      <c r="BA9" s="254"/>
      <c r="BB9" s="254"/>
      <c r="BC9" s="254"/>
      <c r="BD9" s="254"/>
      <c r="BE9" s="254"/>
      <c r="BF9" s="254"/>
      <c r="BG9" s="254"/>
      <c r="BH9" s="254"/>
      <c r="BI9" s="254"/>
      <c r="BJ9" s="254"/>
    </row>
    <row r="10" spans="2:62" x14ac:dyDescent="0.45">
      <c r="C10" s="129" t="s">
        <v>303</v>
      </c>
      <c r="D10" s="129" t="s">
        <v>304</v>
      </c>
      <c r="E10" s="129" t="s">
        <v>305</v>
      </c>
      <c r="F10" s="129" t="s">
        <v>306</v>
      </c>
      <c r="G10" s="129" t="s">
        <v>307</v>
      </c>
      <c r="H10" s="129" t="s">
        <v>308</v>
      </c>
      <c r="I10" s="129" t="s">
        <v>309</v>
      </c>
      <c r="J10" s="129" t="s">
        <v>310</v>
      </c>
      <c r="K10" s="129" t="s">
        <v>311</v>
      </c>
      <c r="L10" s="129" t="s">
        <v>312</v>
      </c>
      <c r="M10" s="129" t="s">
        <v>313</v>
      </c>
      <c r="N10" s="129" t="s">
        <v>314</v>
      </c>
      <c r="O10" s="129" t="s">
        <v>303</v>
      </c>
      <c r="P10" s="129" t="s">
        <v>304</v>
      </c>
      <c r="Q10" s="129" t="s">
        <v>305</v>
      </c>
      <c r="R10" s="129" t="s">
        <v>306</v>
      </c>
      <c r="S10" s="129" t="s">
        <v>307</v>
      </c>
      <c r="T10" s="129" t="s">
        <v>308</v>
      </c>
      <c r="U10" s="129" t="s">
        <v>309</v>
      </c>
      <c r="V10" s="129" t="s">
        <v>310</v>
      </c>
      <c r="W10" s="129" t="s">
        <v>311</v>
      </c>
      <c r="X10" s="129" t="s">
        <v>312</v>
      </c>
      <c r="Y10" s="129" t="s">
        <v>313</v>
      </c>
      <c r="Z10" s="129" t="s">
        <v>314</v>
      </c>
      <c r="AA10" s="129" t="s">
        <v>303</v>
      </c>
      <c r="AB10" s="129" t="s">
        <v>304</v>
      </c>
      <c r="AC10" s="129" t="s">
        <v>305</v>
      </c>
      <c r="AD10" s="129" t="s">
        <v>306</v>
      </c>
      <c r="AE10" s="129" t="s">
        <v>307</v>
      </c>
      <c r="AF10" s="129" t="s">
        <v>308</v>
      </c>
      <c r="AG10" s="129" t="s">
        <v>309</v>
      </c>
      <c r="AH10" s="129" t="s">
        <v>310</v>
      </c>
      <c r="AI10" s="129" t="s">
        <v>311</v>
      </c>
      <c r="AJ10" s="129" t="s">
        <v>312</v>
      </c>
      <c r="AK10" s="129" t="s">
        <v>313</v>
      </c>
      <c r="AL10" s="129" t="s">
        <v>314</v>
      </c>
      <c r="AM10" s="129" t="s">
        <v>303</v>
      </c>
      <c r="AN10" s="129" t="s">
        <v>304</v>
      </c>
      <c r="AO10" s="129" t="s">
        <v>305</v>
      </c>
      <c r="AP10" s="129" t="s">
        <v>306</v>
      </c>
      <c r="AQ10" s="129" t="s">
        <v>307</v>
      </c>
      <c r="AR10" s="129" t="s">
        <v>308</v>
      </c>
      <c r="AS10" s="129" t="s">
        <v>309</v>
      </c>
      <c r="AT10" s="129" t="s">
        <v>310</v>
      </c>
      <c r="AU10" s="129" t="s">
        <v>311</v>
      </c>
      <c r="AV10" s="129" t="s">
        <v>312</v>
      </c>
      <c r="AW10" s="129" t="s">
        <v>313</v>
      </c>
      <c r="AX10" s="129" t="s">
        <v>314</v>
      </c>
      <c r="AY10" s="129" t="s">
        <v>303</v>
      </c>
      <c r="AZ10" s="129" t="s">
        <v>304</v>
      </c>
      <c r="BA10" s="129" t="s">
        <v>305</v>
      </c>
      <c r="BB10" s="129" t="s">
        <v>306</v>
      </c>
      <c r="BC10" s="129" t="s">
        <v>307</v>
      </c>
      <c r="BD10" s="129" t="s">
        <v>308</v>
      </c>
      <c r="BE10" s="129" t="s">
        <v>309</v>
      </c>
      <c r="BF10" s="129" t="s">
        <v>310</v>
      </c>
      <c r="BG10" s="129" t="s">
        <v>311</v>
      </c>
      <c r="BH10" s="129" t="s">
        <v>312</v>
      </c>
      <c r="BI10" s="129" t="s">
        <v>313</v>
      </c>
      <c r="BJ10" s="129" t="s">
        <v>314</v>
      </c>
    </row>
    <row r="12" spans="2:62" x14ac:dyDescent="0.45">
      <c r="B12" s="130" t="s">
        <v>356</v>
      </c>
      <c r="C12" s="131">
        <v>0.47399999999999998</v>
      </c>
      <c r="D12" s="131">
        <v>0.47399999999999998</v>
      </c>
      <c r="E12" s="131">
        <v>0.47399999999999998</v>
      </c>
      <c r="F12" s="131">
        <v>0.434</v>
      </c>
      <c r="G12" s="131">
        <v>0.39300000000000002</v>
      </c>
      <c r="H12" s="131">
        <v>0.35299999999999998</v>
      </c>
      <c r="I12" s="131">
        <v>0.32200000000000001</v>
      </c>
      <c r="J12" s="131">
        <v>0.29099999999999998</v>
      </c>
      <c r="K12" s="131">
        <v>0.26</v>
      </c>
      <c r="L12" s="131">
        <v>0.308</v>
      </c>
      <c r="M12" s="131">
        <v>0.35699999999999998</v>
      </c>
      <c r="N12" s="131">
        <v>0.40500000000000003</v>
      </c>
      <c r="O12" s="131">
        <v>0.42699999999999999</v>
      </c>
      <c r="P12" s="131">
        <v>0.44800000000000001</v>
      </c>
      <c r="Q12" s="131">
        <v>0.47</v>
      </c>
      <c r="R12" s="132">
        <v>0.48699999999999999</v>
      </c>
      <c r="S12" s="132">
        <v>0.503</v>
      </c>
      <c r="T12" s="132">
        <v>0.52</v>
      </c>
      <c r="U12" s="132">
        <v>0.53</v>
      </c>
      <c r="V12" s="132">
        <v>0.54</v>
      </c>
      <c r="W12" s="132">
        <v>0.55000000000000004</v>
      </c>
      <c r="X12" s="132">
        <v>0.56699999999999995</v>
      </c>
      <c r="Y12" s="132">
        <v>0.58299999999999996</v>
      </c>
      <c r="Z12" s="132">
        <v>0.6</v>
      </c>
      <c r="AA12" s="132">
        <v>0.54</v>
      </c>
      <c r="AB12" s="132">
        <v>0.48</v>
      </c>
      <c r="AC12" s="132">
        <v>0.42</v>
      </c>
      <c r="AD12" s="132">
        <v>0.39</v>
      </c>
      <c r="AE12" s="132">
        <v>0.36</v>
      </c>
      <c r="AF12" s="132">
        <v>0.33</v>
      </c>
      <c r="AG12" s="132">
        <v>0.32</v>
      </c>
      <c r="AH12" s="132">
        <v>0.31</v>
      </c>
      <c r="AI12" s="132">
        <v>0.3</v>
      </c>
      <c r="AJ12" s="132">
        <v>0.307</v>
      </c>
      <c r="AK12" s="132">
        <v>0.313</v>
      </c>
      <c r="AL12" s="132">
        <v>0.32</v>
      </c>
      <c r="AM12" s="132">
        <v>0.33</v>
      </c>
      <c r="AN12" s="132">
        <v>0.34</v>
      </c>
      <c r="AO12" s="132">
        <v>0.35</v>
      </c>
      <c r="AP12" s="132">
        <v>0.373</v>
      </c>
      <c r="AQ12" s="132">
        <v>0.39700000000000002</v>
      </c>
      <c r="AR12" s="132">
        <v>0.42</v>
      </c>
      <c r="AS12" s="132">
        <v>0.44700000000000001</v>
      </c>
      <c r="AT12" s="132">
        <v>0.47299999999999998</v>
      </c>
      <c r="AU12" s="132">
        <v>0.5</v>
      </c>
      <c r="AV12" s="132">
        <v>0.52700000000000002</v>
      </c>
      <c r="AW12" s="132">
        <v>0.55300000000000005</v>
      </c>
      <c r="AX12" s="132">
        <v>0.57999999999999996</v>
      </c>
      <c r="AY12" s="132">
        <v>0.60299999999999998</v>
      </c>
      <c r="AZ12" s="132">
        <v>0.627</v>
      </c>
      <c r="BA12" s="132">
        <v>0.65</v>
      </c>
      <c r="BB12" s="132">
        <v>0.67300000000000004</v>
      </c>
      <c r="BC12" s="132">
        <v>0.69699999999999995</v>
      </c>
      <c r="BD12" s="132">
        <v>0.72</v>
      </c>
      <c r="BE12" s="132">
        <v>0.74</v>
      </c>
      <c r="BF12" s="132">
        <v>0.76</v>
      </c>
      <c r="BG12" s="132">
        <v>0.78</v>
      </c>
      <c r="BH12" s="132">
        <v>0.80300000000000005</v>
      </c>
      <c r="BI12" s="132">
        <v>0.82699999999999996</v>
      </c>
      <c r="BJ12" s="132">
        <v>0.85</v>
      </c>
    </row>
    <row r="13" spans="2:62" x14ac:dyDescent="0.45">
      <c r="B13" s="130" t="s">
        <v>357</v>
      </c>
      <c r="C13" s="133">
        <f t="shared" ref="C13:BJ13" si="0">C12*1.28</f>
        <v>0.60672000000000004</v>
      </c>
      <c r="D13" s="133">
        <f t="shared" si="0"/>
        <v>0.60672000000000004</v>
      </c>
      <c r="E13" s="133">
        <f t="shared" si="0"/>
        <v>0.60672000000000004</v>
      </c>
      <c r="F13" s="133">
        <f t="shared" si="0"/>
        <v>0.55552000000000001</v>
      </c>
      <c r="G13" s="133">
        <f t="shared" si="0"/>
        <v>0.50304000000000004</v>
      </c>
      <c r="H13" s="133">
        <f t="shared" si="0"/>
        <v>0.45183999999999996</v>
      </c>
      <c r="I13" s="133">
        <f t="shared" si="0"/>
        <v>0.41216000000000003</v>
      </c>
      <c r="J13" s="133">
        <f t="shared" si="0"/>
        <v>0.37247999999999998</v>
      </c>
      <c r="K13" s="133">
        <f t="shared" si="0"/>
        <v>0.33280000000000004</v>
      </c>
      <c r="L13" s="133">
        <f t="shared" si="0"/>
        <v>0.39423999999999998</v>
      </c>
      <c r="M13" s="133">
        <f t="shared" si="0"/>
        <v>0.45695999999999998</v>
      </c>
      <c r="N13" s="133">
        <f t="shared" si="0"/>
        <v>0.51840000000000008</v>
      </c>
      <c r="O13" s="133">
        <f t="shared" si="0"/>
        <v>0.54656000000000005</v>
      </c>
      <c r="P13" s="133">
        <f t="shared" si="0"/>
        <v>0.57344000000000006</v>
      </c>
      <c r="Q13" s="133">
        <f t="shared" si="0"/>
        <v>0.60160000000000002</v>
      </c>
      <c r="R13" s="133">
        <f t="shared" si="0"/>
        <v>0.62336000000000003</v>
      </c>
      <c r="S13" s="133">
        <f t="shared" si="0"/>
        <v>0.64383999999999997</v>
      </c>
      <c r="T13" s="133">
        <f t="shared" si="0"/>
        <v>0.66560000000000008</v>
      </c>
      <c r="U13" s="133">
        <f t="shared" si="0"/>
        <v>0.6784</v>
      </c>
      <c r="V13" s="133">
        <f t="shared" si="0"/>
        <v>0.69120000000000004</v>
      </c>
      <c r="W13" s="133">
        <f t="shared" si="0"/>
        <v>0.70400000000000007</v>
      </c>
      <c r="X13" s="133">
        <f t="shared" si="0"/>
        <v>0.72575999999999996</v>
      </c>
      <c r="Y13" s="133">
        <f t="shared" si="0"/>
        <v>0.74624000000000001</v>
      </c>
      <c r="Z13" s="133">
        <f t="shared" si="0"/>
        <v>0.76800000000000002</v>
      </c>
      <c r="AA13" s="133">
        <f t="shared" si="0"/>
        <v>0.69120000000000004</v>
      </c>
      <c r="AB13" s="133">
        <f t="shared" si="0"/>
        <v>0.61439999999999995</v>
      </c>
      <c r="AC13" s="133">
        <f t="shared" si="0"/>
        <v>0.53759999999999997</v>
      </c>
      <c r="AD13" s="133">
        <f t="shared" si="0"/>
        <v>0.49920000000000003</v>
      </c>
      <c r="AE13" s="133">
        <f t="shared" si="0"/>
        <v>0.46079999999999999</v>
      </c>
      <c r="AF13" s="133">
        <f t="shared" si="0"/>
        <v>0.42240000000000005</v>
      </c>
      <c r="AG13" s="133">
        <f t="shared" si="0"/>
        <v>0.40960000000000002</v>
      </c>
      <c r="AH13" s="133">
        <f t="shared" si="0"/>
        <v>0.39679999999999999</v>
      </c>
      <c r="AI13" s="133">
        <f t="shared" si="0"/>
        <v>0.38400000000000001</v>
      </c>
      <c r="AJ13" s="133">
        <f t="shared" si="0"/>
        <v>0.39295999999999998</v>
      </c>
      <c r="AK13" s="133">
        <f t="shared" si="0"/>
        <v>0.40064</v>
      </c>
      <c r="AL13" s="133">
        <f t="shared" si="0"/>
        <v>0.40960000000000002</v>
      </c>
      <c r="AM13" s="133">
        <f t="shared" si="0"/>
        <v>0.42240000000000005</v>
      </c>
      <c r="AN13" s="133">
        <f t="shared" si="0"/>
        <v>0.43520000000000003</v>
      </c>
      <c r="AO13" s="133">
        <f t="shared" si="0"/>
        <v>0.44799999999999995</v>
      </c>
      <c r="AP13" s="133">
        <f t="shared" si="0"/>
        <v>0.47744000000000003</v>
      </c>
      <c r="AQ13" s="133">
        <f t="shared" si="0"/>
        <v>0.50816000000000006</v>
      </c>
      <c r="AR13" s="133">
        <f t="shared" si="0"/>
        <v>0.53759999999999997</v>
      </c>
      <c r="AS13" s="133">
        <f t="shared" si="0"/>
        <v>0.57216</v>
      </c>
      <c r="AT13" s="133">
        <f t="shared" si="0"/>
        <v>0.60543999999999998</v>
      </c>
      <c r="AU13" s="133">
        <f t="shared" si="0"/>
        <v>0.64</v>
      </c>
      <c r="AV13" s="133">
        <f t="shared" si="0"/>
        <v>0.67456000000000005</v>
      </c>
      <c r="AW13" s="133">
        <f t="shared" si="0"/>
        <v>0.70784000000000002</v>
      </c>
      <c r="AX13" s="133">
        <f t="shared" si="0"/>
        <v>0.74239999999999995</v>
      </c>
      <c r="AY13" s="133">
        <f t="shared" si="0"/>
        <v>0.77183999999999997</v>
      </c>
      <c r="AZ13" s="133">
        <f t="shared" si="0"/>
        <v>0.80256000000000005</v>
      </c>
      <c r="BA13" s="133">
        <f t="shared" si="0"/>
        <v>0.83200000000000007</v>
      </c>
      <c r="BB13" s="133">
        <f t="shared" si="0"/>
        <v>0.86144000000000009</v>
      </c>
      <c r="BC13" s="133">
        <f t="shared" si="0"/>
        <v>0.89215999999999995</v>
      </c>
      <c r="BD13" s="133">
        <f t="shared" si="0"/>
        <v>0.92159999999999997</v>
      </c>
      <c r="BE13" s="133">
        <f t="shared" si="0"/>
        <v>0.94720000000000004</v>
      </c>
      <c r="BF13" s="133">
        <f t="shared" si="0"/>
        <v>0.9728</v>
      </c>
      <c r="BG13" s="133">
        <f t="shared" si="0"/>
        <v>0.99840000000000007</v>
      </c>
      <c r="BH13" s="133">
        <f t="shared" si="0"/>
        <v>1.0278400000000001</v>
      </c>
      <c r="BI13" s="133">
        <f t="shared" si="0"/>
        <v>1.0585599999999999</v>
      </c>
      <c r="BJ13" s="133">
        <f t="shared" si="0"/>
        <v>1.0880000000000001</v>
      </c>
    </row>
    <row r="15" spans="2:62" x14ac:dyDescent="0.45">
      <c r="B15" s="134" t="s">
        <v>358</v>
      </c>
      <c r="C15" s="135" t="s">
        <v>359</v>
      </c>
      <c r="D15" s="135" t="s">
        <v>359</v>
      </c>
      <c r="E15" s="135" t="s">
        <v>359</v>
      </c>
      <c r="F15" s="135" t="s">
        <v>359</v>
      </c>
      <c r="G15" s="135" t="s">
        <v>359</v>
      </c>
      <c r="H15" s="135" t="s">
        <v>359</v>
      </c>
      <c r="I15" s="135" t="s">
        <v>359</v>
      </c>
      <c r="J15" s="135" t="s">
        <v>359</v>
      </c>
      <c r="K15" s="135" t="s">
        <v>359</v>
      </c>
      <c r="L15" s="135" t="s">
        <v>359</v>
      </c>
      <c r="M15" s="135" t="s">
        <v>359</v>
      </c>
      <c r="N15" s="135" t="s">
        <v>359</v>
      </c>
      <c r="O15" s="135" t="s">
        <v>359</v>
      </c>
      <c r="P15" s="135" t="s">
        <v>359</v>
      </c>
      <c r="Q15" s="135" t="s">
        <v>359</v>
      </c>
      <c r="R15" s="135" t="s">
        <v>360</v>
      </c>
      <c r="S15" s="135" t="s">
        <v>360</v>
      </c>
      <c r="T15" s="135" t="s">
        <v>360</v>
      </c>
      <c r="U15" s="135" t="s">
        <v>360</v>
      </c>
      <c r="V15" s="135" t="s">
        <v>360</v>
      </c>
      <c r="W15" s="135" t="s">
        <v>360</v>
      </c>
      <c r="X15" s="135" t="s">
        <v>360</v>
      </c>
      <c r="Y15" s="135" t="s">
        <v>360</v>
      </c>
      <c r="Z15" s="135" t="s">
        <v>360</v>
      </c>
      <c r="AA15" s="135" t="s">
        <v>360</v>
      </c>
      <c r="AB15" s="135" t="s">
        <v>360</v>
      </c>
      <c r="AC15" s="135" t="s">
        <v>360</v>
      </c>
      <c r="AD15" s="135" t="s">
        <v>360</v>
      </c>
      <c r="AE15" s="135" t="s">
        <v>360</v>
      </c>
      <c r="AF15" s="135" t="s">
        <v>360</v>
      </c>
      <c r="AG15" s="135" t="s">
        <v>360</v>
      </c>
      <c r="AH15" s="135" t="s">
        <v>360</v>
      </c>
      <c r="AI15" s="135" t="s">
        <v>360</v>
      </c>
      <c r="AJ15" s="135" t="s">
        <v>360</v>
      </c>
      <c r="AK15" s="135" t="s">
        <v>360</v>
      </c>
      <c r="AL15" s="135" t="s">
        <v>360</v>
      </c>
      <c r="AM15" s="135" t="s">
        <v>360</v>
      </c>
      <c r="AN15" s="135" t="s">
        <v>360</v>
      </c>
      <c r="AO15" s="135" t="s">
        <v>360</v>
      </c>
      <c r="AP15" s="135" t="s">
        <v>360</v>
      </c>
      <c r="AQ15" s="135" t="s">
        <v>360</v>
      </c>
      <c r="AR15" s="135" t="s">
        <v>360</v>
      </c>
      <c r="AS15" s="135" t="s">
        <v>360</v>
      </c>
      <c r="AT15" s="135" t="s">
        <v>360</v>
      </c>
      <c r="AU15" s="135" t="s">
        <v>360</v>
      </c>
      <c r="AV15" s="135" t="s">
        <v>360</v>
      </c>
      <c r="AW15" s="135" t="s">
        <v>360</v>
      </c>
      <c r="AX15" s="135" t="s">
        <v>360</v>
      </c>
      <c r="AY15" s="135" t="s">
        <v>360</v>
      </c>
      <c r="AZ15" s="135" t="s">
        <v>360</v>
      </c>
      <c r="BA15" s="135" t="s">
        <v>360</v>
      </c>
      <c r="BB15" s="135" t="s">
        <v>360</v>
      </c>
      <c r="BC15" s="135" t="s">
        <v>360</v>
      </c>
      <c r="BD15" s="135" t="s">
        <v>360</v>
      </c>
      <c r="BE15" s="135" t="s">
        <v>360</v>
      </c>
      <c r="BF15" s="135" t="s">
        <v>360</v>
      </c>
      <c r="BG15" s="135" t="s">
        <v>360</v>
      </c>
      <c r="BH15" s="135" t="s">
        <v>360</v>
      </c>
      <c r="BI15" s="135" t="s">
        <v>360</v>
      </c>
      <c r="BJ15" s="135" t="s">
        <v>360</v>
      </c>
    </row>
    <row r="17" spans="2:62" ht="27.75" customHeight="1" x14ac:dyDescent="0.45">
      <c r="B17" s="130" t="s">
        <v>361</v>
      </c>
      <c r="C17" s="255" t="s">
        <v>362</v>
      </c>
      <c r="D17" s="255"/>
      <c r="E17" s="255"/>
      <c r="F17" s="255" t="s">
        <v>363</v>
      </c>
      <c r="G17" s="255"/>
      <c r="H17" s="255"/>
      <c r="I17" s="255" t="s">
        <v>364</v>
      </c>
      <c r="J17" s="255"/>
      <c r="K17" s="255"/>
      <c r="L17" s="256" t="s">
        <v>365</v>
      </c>
      <c r="M17" s="256"/>
      <c r="N17" s="256"/>
      <c r="O17" s="255" t="s">
        <v>366</v>
      </c>
      <c r="P17" s="255"/>
      <c r="Q17" s="255"/>
      <c r="R17" s="256" t="s">
        <v>367</v>
      </c>
      <c r="S17" s="256"/>
      <c r="T17" s="256"/>
      <c r="U17" s="255" t="s">
        <v>368</v>
      </c>
      <c r="V17" s="255"/>
      <c r="W17" s="255"/>
      <c r="X17" s="255"/>
      <c r="Y17" s="255"/>
      <c r="Z17" s="255"/>
      <c r="AA17" s="255" t="s">
        <v>369</v>
      </c>
      <c r="AB17" s="255"/>
      <c r="AC17" s="255"/>
      <c r="AD17" s="255" t="s">
        <v>370</v>
      </c>
      <c r="AE17" s="255"/>
      <c r="AF17" s="255"/>
      <c r="AG17" s="255" t="s">
        <v>371</v>
      </c>
      <c r="AH17" s="255"/>
      <c r="AI17" s="255"/>
      <c r="AJ17" s="255" t="s">
        <v>372</v>
      </c>
      <c r="AK17" s="255"/>
      <c r="AL17" s="255"/>
      <c r="AM17" s="255" t="s">
        <v>373</v>
      </c>
      <c r="AN17" s="255"/>
      <c r="AO17" s="255"/>
      <c r="AP17" s="255" t="s">
        <v>374</v>
      </c>
      <c r="AQ17" s="255"/>
      <c r="AR17" s="255"/>
      <c r="AS17" s="255" t="s">
        <v>375</v>
      </c>
      <c r="AT17" s="255"/>
      <c r="AU17" s="255"/>
      <c r="AV17" s="255" t="s">
        <v>376</v>
      </c>
      <c r="AW17" s="255"/>
      <c r="AX17" s="255"/>
      <c r="AY17" s="255" t="s">
        <v>377</v>
      </c>
      <c r="AZ17" s="255"/>
      <c r="BA17" s="255"/>
      <c r="BB17" s="255" t="s">
        <v>378</v>
      </c>
      <c r="BC17" s="255"/>
      <c r="BD17" s="255"/>
      <c r="BE17" s="255" t="s">
        <v>379</v>
      </c>
      <c r="BF17" s="255"/>
      <c r="BG17" s="255"/>
      <c r="BH17" s="255" t="s">
        <v>380</v>
      </c>
      <c r="BI17" s="255"/>
      <c r="BJ17" s="255"/>
    </row>
    <row r="19" spans="2:62" x14ac:dyDescent="0.45">
      <c r="B19" s="136" t="s">
        <v>381</v>
      </c>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row>
    <row r="20" spans="2:62" x14ac:dyDescent="0.45">
      <c r="B20" s="137" t="s">
        <v>382</v>
      </c>
    </row>
    <row r="21" spans="2:62" ht="42" customHeight="1" x14ac:dyDescent="0.45">
      <c r="B21" s="138" t="s">
        <v>383</v>
      </c>
    </row>
    <row r="22" spans="2:62" x14ac:dyDescent="0.45">
      <c r="B22" s="137" t="s">
        <v>384</v>
      </c>
    </row>
    <row r="23" spans="2:62" ht="42" customHeight="1" x14ac:dyDescent="0.45">
      <c r="B23" s="138" t="s">
        <v>385</v>
      </c>
    </row>
    <row r="24" spans="2:62" x14ac:dyDescent="0.45">
      <c r="B24" s="137" t="s">
        <v>386</v>
      </c>
    </row>
    <row r="25" spans="2:62" ht="42" customHeight="1" x14ac:dyDescent="0.45">
      <c r="B25" s="138" t="s">
        <v>387</v>
      </c>
    </row>
    <row r="26" spans="2:62" x14ac:dyDescent="0.45">
      <c r="B26" s="137" t="s">
        <v>388</v>
      </c>
    </row>
    <row r="27" spans="2:62" ht="42" customHeight="1" x14ac:dyDescent="0.45">
      <c r="B27" s="138" t="s">
        <v>389</v>
      </c>
    </row>
    <row r="28" spans="2:62" x14ac:dyDescent="0.45">
      <c r="B28" s="137" t="s">
        <v>390</v>
      </c>
    </row>
    <row r="29" spans="2:62" ht="42" customHeight="1" x14ac:dyDescent="0.45">
      <c r="B29" s="138" t="s">
        <v>391</v>
      </c>
    </row>
    <row r="30" spans="2:62" x14ac:dyDescent="0.45">
      <c r="B30" s="137" t="s">
        <v>392</v>
      </c>
    </row>
    <row r="31" spans="2:62" ht="42" customHeight="1" x14ac:dyDescent="0.45">
      <c r="B31" s="138" t="s">
        <v>393</v>
      </c>
    </row>
    <row r="32" spans="2:62" x14ac:dyDescent="0.45">
      <c r="B32" s="137" t="s">
        <v>394</v>
      </c>
    </row>
    <row r="33" spans="2:2" ht="42" customHeight="1" x14ac:dyDescent="0.45">
      <c r="B33" s="138" t="s">
        <v>395</v>
      </c>
    </row>
    <row r="34" spans="2:2" x14ac:dyDescent="0.45">
      <c r="B34" s="137" t="s">
        <v>396</v>
      </c>
    </row>
    <row r="35" spans="2:2" ht="42" customHeight="1" x14ac:dyDescent="0.45">
      <c r="B35" s="138" t="s">
        <v>397</v>
      </c>
    </row>
  </sheetData>
  <mergeCells count="25">
    <mergeCell ref="BB17:BD17"/>
    <mergeCell ref="BE17:BG17"/>
    <mergeCell ref="BH17:BJ17"/>
    <mergeCell ref="AJ17:AL17"/>
    <mergeCell ref="AM17:AO17"/>
    <mergeCell ref="AP17:AR17"/>
    <mergeCell ref="AS17:AU17"/>
    <mergeCell ref="AV17:AX17"/>
    <mergeCell ref="AY17:BA17"/>
    <mergeCell ref="AY9:BJ9"/>
    <mergeCell ref="C17:E17"/>
    <mergeCell ref="F17:H17"/>
    <mergeCell ref="I17:K17"/>
    <mergeCell ref="L17:N17"/>
    <mergeCell ref="O17:Q17"/>
    <mergeCell ref="AG17:AI17"/>
    <mergeCell ref="C9:N9"/>
    <mergeCell ref="O9:Z9"/>
    <mergeCell ref="AA9:AL9"/>
    <mergeCell ref="AM9:AX9"/>
    <mergeCell ref="R17:T17"/>
    <mergeCell ref="U17:W17"/>
    <mergeCell ref="X17:Z17"/>
    <mergeCell ref="AA17:AC17"/>
    <mergeCell ref="AD17:AF17"/>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6F23-3335-4EE7-AE8C-91E8FC156008}">
  <sheetPr>
    <tabColor theme="6" tint="-0.499984740745262"/>
  </sheetPr>
  <dimension ref="A1"/>
  <sheetViews>
    <sheetView workbookViewId="0"/>
  </sheetViews>
  <sheetFormatPr defaultRowHeight="14.25" x14ac:dyDescent="0.4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59999389629810485"/>
  </sheetPr>
  <dimension ref="B2:P53"/>
  <sheetViews>
    <sheetView showGridLines="0" zoomScaleNormal="100" workbookViewId="0"/>
  </sheetViews>
  <sheetFormatPr defaultColWidth="8.6640625" defaultRowHeight="14.25" x14ac:dyDescent="0.45"/>
  <cols>
    <col min="1" max="1" width="3" customWidth="1"/>
    <col min="2" max="2" width="25.59765625" customWidth="1"/>
    <col min="3" max="16" width="10.59765625" customWidth="1"/>
  </cols>
  <sheetData>
    <row r="2" spans="2:16" ht="19.5" customHeight="1" x14ac:dyDescent="0.6">
      <c r="B2" s="5" t="s">
        <v>231</v>
      </c>
    </row>
    <row r="3" spans="2:16" ht="15" customHeight="1" x14ac:dyDescent="0.45">
      <c r="B3" s="1" t="s">
        <v>232</v>
      </c>
    </row>
    <row r="5" spans="2:16" ht="18" customHeight="1" x14ac:dyDescent="0.45">
      <c r="B5" s="66" t="s">
        <v>233</v>
      </c>
      <c r="C5" s="66"/>
      <c r="D5" s="66"/>
      <c r="E5" s="66"/>
      <c r="F5" s="66"/>
      <c r="G5" s="66"/>
      <c r="H5" s="66"/>
      <c r="I5" s="66"/>
      <c r="J5" s="66"/>
      <c r="K5" s="66"/>
      <c r="L5" s="66"/>
      <c r="M5" s="66"/>
      <c r="N5" s="66"/>
      <c r="O5" s="66"/>
      <c r="P5" s="66"/>
    </row>
    <row r="6" spans="2:16" ht="15" customHeight="1" x14ac:dyDescent="0.45">
      <c r="B6" s="258" t="s">
        <v>460</v>
      </c>
      <c r="C6" s="257" t="s">
        <v>461</v>
      </c>
      <c r="D6" s="257" t="s">
        <v>462</v>
      </c>
      <c r="E6" s="232" t="s">
        <v>444</v>
      </c>
      <c r="F6" s="232"/>
      <c r="G6" s="232" t="s">
        <v>463</v>
      </c>
      <c r="H6" s="232"/>
      <c r="I6" s="232" t="s">
        <v>445</v>
      </c>
      <c r="J6" s="232"/>
      <c r="K6" s="232" t="s">
        <v>464</v>
      </c>
      <c r="L6" s="232"/>
      <c r="M6" s="232" t="s">
        <v>465</v>
      </c>
      <c r="N6" s="232"/>
      <c r="O6" s="232" t="s">
        <v>466</v>
      </c>
      <c r="P6" s="232"/>
    </row>
    <row r="7" spans="2:16" ht="15" customHeight="1" x14ac:dyDescent="0.45">
      <c r="B7" s="258"/>
      <c r="C7" s="257"/>
      <c r="D7" s="257"/>
      <c r="E7" s="61" t="s">
        <v>467</v>
      </c>
      <c r="F7" s="61" t="s">
        <v>468</v>
      </c>
      <c r="G7" s="61" t="s">
        <v>467</v>
      </c>
      <c r="H7" s="61" t="s">
        <v>468</v>
      </c>
      <c r="I7" s="61" t="s">
        <v>467</v>
      </c>
      <c r="J7" s="61" t="s">
        <v>468</v>
      </c>
      <c r="K7" s="61" t="s">
        <v>467</v>
      </c>
      <c r="L7" s="61" t="s">
        <v>468</v>
      </c>
      <c r="M7" s="61" t="s">
        <v>467</v>
      </c>
      <c r="N7" s="61" t="s">
        <v>468</v>
      </c>
      <c r="O7" s="61" t="s">
        <v>467</v>
      </c>
      <c r="P7" s="61" t="s">
        <v>468</v>
      </c>
    </row>
    <row r="8" spans="2:16" ht="15" customHeight="1" x14ac:dyDescent="0.45">
      <c r="B8" s="231" t="s">
        <v>469</v>
      </c>
      <c r="C8" s="231"/>
      <c r="D8" s="231"/>
      <c r="E8" s="231"/>
      <c r="F8" s="231"/>
      <c r="G8" s="231"/>
      <c r="H8" s="231"/>
      <c r="I8" s="231"/>
      <c r="J8" s="231"/>
      <c r="K8" s="231"/>
      <c r="L8" s="231"/>
      <c r="M8" s="231"/>
      <c r="N8" s="231"/>
      <c r="O8" s="231"/>
      <c r="P8" s="231"/>
    </row>
    <row r="9" spans="2:16" ht="15" customHeight="1" x14ac:dyDescent="0.45">
      <c r="B9" s="167" t="s">
        <v>470</v>
      </c>
      <c r="C9" s="224">
        <v>77626</v>
      </c>
      <c r="D9" s="224">
        <v>97832</v>
      </c>
      <c r="E9" s="225">
        <v>8.9</v>
      </c>
      <c r="F9" s="225">
        <v>8.5</v>
      </c>
      <c r="G9" s="225">
        <v>8.9</v>
      </c>
      <c r="H9" s="225">
        <v>8.5</v>
      </c>
      <c r="I9" s="225">
        <v>13.3</v>
      </c>
      <c r="J9" s="225">
        <v>12.7</v>
      </c>
      <c r="K9" s="226">
        <v>0.1</v>
      </c>
      <c r="L9" s="226">
        <v>0.05</v>
      </c>
      <c r="M9" s="226">
        <v>1</v>
      </c>
      <c r="N9" s="226">
        <v>1</v>
      </c>
      <c r="O9" s="226">
        <v>0.67</v>
      </c>
      <c r="P9" s="226">
        <v>0.67</v>
      </c>
    </row>
    <row r="10" spans="2:16" ht="15" customHeight="1" x14ac:dyDescent="0.45">
      <c r="B10" s="167" t="s">
        <v>471</v>
      </c>
      <c r="C10" s="224">
        <v>50399</v>
      </c>
      <c r="D10" s="224">
        <v>59406</v>
      </c>
      <c r="E10" s="225">
        <v>10.3</v>
      </c>
      <c r="F10" s="225">
        <v>9.5</v>
      </c>
      <c r="G10" s="225">
        <v>10.3</v>
      </c>
      <c r="H10" s="225">
        <v>9.5</v>
      </c>
      <c r="I10" s="225">
        <v>17.399999999999999</v>
      </c>
      <c r="J10" s="225">
        <v>15.9</v>
      </c>
      <c r="K10" s="226">
        <v>0.1</v>
      </c>
      <c r="L10" s="226">
        <v>0.08</v>
      </c>
      <c r="M10" s="226">
        <v>1</v>
      </c>
      <c r="N10" s="226">
        <v>1</v>
      </c>
      <c r="O10" s="226">
        <v>0.59</v>
      </c>
      <c r="P10" s="226">
        <v>0.6</v>
      </c>
    </row>
    <row r="11" spans="2:16" ht="15" customHeight="1" x14ac:dyDescent="0.45">
      <c r="B11" s="167" t="s">
        <v>472</v>
      </c>
      <c r="C11" s="224">
        <v>88488</v>
      </c>
      <c r="D11" s="224">
        <v>89715</v>
      </c>
      <c r="E11" s="225">
        <v>12.7</v>
      </c>
      <c r="F11" s="225">
        <v>12.3</v>
      </c>
      <c r="G11" s="225">
        <v>12.7</v>
      </c>
      <c r="H11" s="225">
        <v>12.3</v>
      </c>
      <c r="I11" s="225">
        <v>17.899999999999999</v>
      </c>
      <c r="J11" s="225">
        <v>17.3</v>
      </c>
      <c r="K11" s="226">
        <v>0.08</v>
      </c>
      <c r="L11" s="226">
        <v>0.04</v>
      </c>
      <c r="M11" s="226">
        <v>1</v>
      </c>
      <c r="N11" s="226">
        <v>1</v>
      </c>
      <c r="O11" s="226">
        <v>0.71</v>
      </c>
      <c r="P11" s="226">
        <v>0.71</v>
      </c>
    </row>
    <row r="12" spans="2:16" ht="15" customHeight="1" x14ac:dyDescent="0.45">
      <c r="B12" s="167" t="s">
        <v>473</v>
      </c>
      <c r="C12" s="224">
        <v>58704</v>
      </c>
      <c r="D12" s="224">
        <v>71923</v>
      </c>
      <c r="E12" s="225">
        <v>5.4</v>
      </c>
      <c r="F12" s="225">
        <v>5.0999999999999996</v>
      </c>
      <c r="G12" s="225">
        <v>6.2</v>
      </c>
      <c r="H12" s="225">
        <v>5.8</v>
      </c>
      <c r="I12" s="225">
        <v>10.8</v>
      </c>
      <c r="J12" s="225">
        <v>10</v>
      </c>
      <c r="K12" s="226">
        <v>0.06</v>
      </c>
      <c r="L12" s="226">
        <v>7.0000000000000007E-2</v>
      </c>
      <c r="M12" s="226">
        <v>0.88</v>
      </c>
      <c r="N12" s="226">
        <v>0.88</v>
      </c>
      <c r="O12" s="226">
        <v>0.5</v>
      </c>
      <c r="P12" s="226">
        <v>0.51</v>
      </c>
    </row>
    <row r="13" spans="2:16" ht="15" customHeight="1" x14ac:dyDescent="0.45">
      <c r="B13" s="227" t="s">
        <v>474</v>
      </c>
      <c r="C13" s="228"/>
      <c r="D13" s="228"/>
      <c r="E13" s="229">
        <f t="shared" ref="E13:P13" si="0">IFERROR(MEDIAN(E9:E12),"na")</f>
        <v>9.6000000000000014</v>
      </c>
      <c r="F13" s="229">
        <f t="shared" si="0"/>
        <v>9</v>
      </c>
      <c r="G13" s="229">
        <f t="shared" si="0"/>
        <v>9.6000000000000014</v>
      </c>
      <c r="H13" s="229">
        <f t="shared" si="0"/>
        <v>9</v>
      </c>
      <c r="I13" s="229">
        <f t="shared" si="0"/>
        <v>15.35</v>
      </c>
      <c r="J13" s="229">
        <f>IFERROR(MEDIAN(J9:J12),"na")</f>
        <v>14.3</v>
      </c>
      <c r="K13" s="230">
        <f t="shared" si="0"/>
        <v>0.09</v>
      </c>
      <c r="L13" s="230">
        <f t="shared" si="0"/>
        <v>6.0000000000000005E-2</v>
      </c>
      <c r="M13" s="230">
        <f t="shared" si="0"/>
        <v>1</v>
      </c>
      <c r="N13" s="230">
        <f t="shared" si="0"/>
        <v>1</v>
      </c>
      <c r="O13" s="230">
        <f t="shared" si="0"/>
        <v>0.63</v>
      </c>
      <c r="P13" s="230">
        <f t="shared" si="0"/>
        <v>0.63500000000000001</v>
      </c>
    </row>
    <row r="14" spans="2:16" ht="15" customHeight="1" x14ac:dyDescent="0.45">
      <c r="B14" s="227" t="s">
        <v>475</v>
      </c>
      <c r="C14" s="228"/>
      <c r="D14" s="228"/>
      <c r="E14" s="229">
        <f t="shared" ref="E14:P14" si="1">IFERROR(AVERAGE(E9:E12),"na")</f>
        <v>9.3250000000000011</v>
      </c>
      <c r="F14" s="229">
        <f t="shared" si="1"/>
        <v>8.85</v>
      </c>
      <c r="G14" s="229">
        <f t="shared" si="1"/>
        <v>9.5250000000000004</v>
      </c>
      <c r="H14" s="229">
        <f t="shared" si="1"/>
        <v>9.0250000000000004</v>
      </c>
      <c r="I14" s="229">
        <f t="shared" si="1"/>
        <v>14.849999999999998</v>
      </c>
      <c r="J14" s="229">
        <f t="shared" si="1"/>
        <v>13.975000000000001</v>
      </c>
      <c r="K14" s="230">
        <f t="shared" si="1"/>
        <v>8.5000000000000006E-2</v>
      </c>
      <c r="L14" s="230">
        <f t="shared" si="1"/>
        <v>6.0000000000000005E-2</v>
      </c>
      <c r="M14" s="230">
        <f t="shared" si="1"/>
        <v>0.97</v>
      </c>
      <c r="N14" s="230">
        <f t="shared" si="1"/>
        <v>0.97</v>
      </c>
      <c r="O14" s="230">
        <f t="shared" si="1"/>
        <v>0.61749999999999994</v>
      </c>
      <c r="P14" s="230">
        <f t="shared" si="1"/>
        <v>0.62250000000000005</v>
      </c>
    </row>
    <row r="15" spans="2:16" ht="15" customHeight="1" x14ac:dyDescent="0.45"/>
    <row r="16" spans="2:16" ht="15" customHeight="1" x14ac:dyDescent="0.45">
      <c r="B16" s="231" t="s">
        <v>476</v>
      </c>
      <c r="C16" s="231"/>
      <c r="D16" s="231"/>
      <c r="E16" s="231"/>
      <c r="F16" s="231"/>
      <c r="G16" s="231"/>
      <c r="H16" s="231"/>
      <c r="I16" s="231"/>
      <c r="J16" s="231"/>
      <c r="K16" s="231"/>
      <c r="L16" s="231"/>
      <c r="M16" s="231"/>
      <c r="N16" s="231"/>
      <c r="O16" s="231"/>
      <c r="P16" s="231"/>
    </row>
    <row r="17" spans="2:16" ht="15" customHeight="1" x14ac:dyDescent="0.45">
      <c r="B17" s="167" t="s">
        <v>477</v>
      </c>
      <c r="C17" s="224">
        <v>100040</v>
      </c>
      <c r="D17" s="224">
        <v>105652</v>
      </c>
      <c r="E17" s="225">
        <v>20.8</v>
      </c>
      <c r="F17" s="225">
        <v>16.7</v>
      </c>
      <c r="G17" s="225">
        <v>22.5</v>
      </c>
      <c r="H17" s="225">
        <v>18.100000000000001</v>
      </c>
      <c r="I17" s="225">
        <v>40.200000000000003</v>
      </c>
      <c r="J17" s="225">
        <v>29.6</v>
      </c>
      <c r="K17" s="226">
        <v>0.14000000000000001</v>
      </c>
      <c r="L17" s="226">
        <v>0.25</v>
      </c>
      <c r="M17" s="226">
        <v>0.92</v>
      </c>
      <c r="N17" s="226">
        <v>0.92</v>
      </c>
      <c r="O17" s="226">
        <v>0.52</v>
      </c>
      <c r="P17" s="226">
        <v>0.56000000000000005</v>
      </c>
    </row>
    <row r="18" spans="2:16" ht="15" customHeight="1" x14ac:dyDescent="0.45">
      <c r="B18" s="167" t="s">
        <v>478</v>
      </c>
      <c r="C18" s="224">
        <v>3478</v>
      </c>
      <c r="D18" s="224">
        <v>3696</v>
      </c>
      <c r="E18" s="225">
        <v>10</v>
      </c>
      <c r="F18" s="225">
        <v>8.6999999999999993</v>
      </c>
      <c r="G18" s="225">
        <v>10</v>
      </c>
      <c r="H18" s="225">
        <v>8.6999999999999993</v>
      </c>
      <c r="I18" s="225">
        <v>24.8</v>
      </c>
      <c r="J18" s="225">
        <v>19.5</v>
      </c>
      <c r="K18" s="226">
        <v>0.28999999999999998</v>
      </c>
      <c r="L18" s="226">
        <v>0.15</v>
      </c>
      <c r="M18" s="226">
        <v>1</v>
      </c>
      <c r="N18" s="226">
        <v>1</v>
      </c>
      <c r="O18" s="226">
        <v>0.4</v>
      </c>
      <c r="P18" s="226">
        <v>0.45</v>
      </c>
    </row>
    <row r="19" spans="2:16" ht="15" customHeight="1" x14ac:dyDescent="0.45">
      <c r="B19" s="167" t="s">
        <v>479</v>
      </c>
      <c r="C19" s="224">
        <v>43444</v>
      </c>
      <c r="D19" s="224">
        <v>40970</v>
      </c>
      <c r="E19" s="225">
        <v>6.7</v>
      </c>
      <c r="F19" s="225">
        <v>5.3</v>
      </c>
      <c r="G19" s="225">
        <v>7.9</v>
      </c>
      <c r="H19" s="225">
        <v>6.3</v>
      </c>
      <c r="I19" s="225">
        <v>21.6</v>
      </c>
      <c r="J19" s="225">
        <v>12.9</v>
      </c>
      <c r="K19" s="226">
        <v>-0.153</v>
      </c>
      <c r="L19" s="226">
        <v>0.26</v>
      </c>
      <c r="M19" s="226">
        <v>0.85</v>
      </c>
      <c r="N19" s="226">
        <v>0.85</v>
      </c>
      <c r="O19" s="226">
        <v>0.31</v>
      </c>
      <c r="P19" s="226">
        <v>0.42</v>
      </c>
    </row>
    <row r="20" spans="2:16" ht="15" customHeight="1" x14ac:dyDescent="0.45">
      <c r="B20" s="167" t="s">
        <v>480</v>
      </c>
      <c r="C20" s="224">
        <v>500</v>
      </c>
      <c r="D20" s="224">
        <v>779</v>
      </c>
      <c r="E20" s="225">
        <v>3.9</v>
      </c>
      <c r="F20" s="225">
        <v>2.9</v>
      </c>
      <c r="G20" s="225" t="s">
        <v>481</v>
      </c>
      <c r="H20" s="225" t="s">
        <v>481</v>
      </c>
      <c r="I20" s="225" t="s">
        <v>481</v>
      </c>
      <c r="J20" s="225" t="s">
        <v>481</v>
      </c>
      <c r="K20" s="226">
        <v>0.12</v>
      </c>
      <c r="L20" s="226">
        <v>0.34</v>
      </c>
      <c r="M20" s="226">
        <v>-0.28799999999999998</v>
      </c>
      <c r="N20" s="226">
        <v>-0.28799999999999998</v>
      </c>
      <c r="O20" s="226">
        <v>-0.94199999999999995</v>
      </c>
      <c r="P20" s="226">
        <v>-0.53800000000000003</v>
      </c>
    </row>
    <row r="21" spans="2:16" ht="15" customHeight="1" x14ac:dyDescent="0.45">
      <c r="B21" s="167" t="s">
        <v>482</v>
      </c>
      <c r="C21" s="224">
        <v>4031</v>
      </c>
      <c r="D21" s="224">
        <v>3456</v>
      </c>
      <c r="E21" s="225">
        <v>4.8</v>
      </c>
      <c r="F21" s="225">
        <v>3.9</v>
      </c>
      <c r="G21" s="225">
        <v>6.3</v>
      </c>
      <c r="H21" s="225">
        <v>5.0999999999999996</v>
      </c>
      <c r="I21" s="225">
        <v>27.4</v>
      </c>
      <c r="J21" s="225">
        <v>14.9</v>
      </c>
      <c r="K21" s="226">
        <v>0.25</v>
      </c>
      <c r="L21" s="226">
        <v>0.23</v>
      </c>
      <c r="M21" s="226">
        <v>0.76</v>
      </c>
      <c r="N21" s="226">
        <v>0.76</v>
      </c>
      <c r="O21" s="226">
        <v>0.18</v>
      </c>
      <c r="P21" s="226">
        <v>0.26</v>
      </c>
    </row>
    <row r="22" spans="2:16" ht="15" customHeight="1" x14ac:dyDescent="0.45">
      <c r="B22" s="167" t="s">
        <v>483</v>
      </c>
      <c r="C22" s="224">
        <v>41361</v>
      </c>
      <c r="D22" s="224">
        <v>63561</v>
      </c>
      <c r="E22" s="225">
        <v>8.8000000000000007</v>
      </c>
      <c r="F22" s="225">
        <v>7.7</v>
      </c>
      <c r="G22" s="225">
        <v>9.5</v>
      </c>
      <c r="H22" s="225">
        <v>8.3000000000000007</v>
      </c>
      <c r="I22" s="225">
        <v>11.3</v>
      </c>
      <c r="J22" s="225">
        <v>9.9</v>
      </c>
      <c r="K22" s="226">
        <v>0.17</v>
      </c>
      <c r="L22" s="226">
        <v>0.14000000000000001</v>
      </c>
      <c r="M22" s="226">
        <v>0.93</v>
      </c>
      <c r="N22" s="226">
        <v>0.93</v>
      </c>
      <c r="O22" s="226">
        <v>0.78</v>
      </c>
      <c r="P22" s="226">
        <v>0.78</v>
      </c>
    </row>
    <row r="23" spans="2:16" ht="15" customHeight="1" x14ac:dyDescent="0.45">
      <c r="B23" s="167" t="s">
        <v>484</v>
      </c>
      <c r="C23" s="224">
        <v>3444</v>
      </c>
      <c r="D23" s="224">
        <v>2426</v>
      </c>
      <c r="E23" s="225">
        <v>2.5</v>
      </c>
      <c r="F23" s="225">
        <v>2.2999999999999998</v>
      </c>
      <c r="G23" s="225">
        <v>76.599999999999994</v>
      </c>
      <c r="H23" s="225">
        <v>69.5</v>
      </c>
      <c r="I23" s="225">
        <v>6.7</v>
      </c>
      <c r="J23" s="225">
        <v>5.7</v>
      </c>
      <c r="K23" s="226">
        <v>0.11</v>
      </c>
      <c r="L23" s="226">
        <v>0.1</v>
      </c>
      <c r="M23" s="226">
        <v>0.03</v>
      </c>
      <c r="N23" s="226">
        <v>0.03</v>
      </c>
      <c r="O23" s="226">
        <v>0.37</v>
      </c>
      <c r="P23" s="226">
        <v>0.4</v>
      </c>
    </row>
    <row r="24" spans="2:16" ht="15" customHeight="1" x14ac:dyDescent="0.45">
      <c r="B24" s="167" t="s">
        <v>485</v>
      </c>
      <c r="C24" s="224">
        <v>4699</v>
      </c>
      <c r="D24" s="224">
        <v>8783</v>
      </c>
      <c r="E24" s="225">
        <v>0.1</v>
      </c>
      <c r="F24" s="225">
        <v>0.1</v>
      </c>
      <c r="G24" s="225">
        <v>0.1</v>
      </c>
      <c r="H24" s="225">
        <v>0.1</v>
      </c>
      <c r="I24" s="225">
        <v>10.3</v>
      </c>
      <c r="J24" s="225" t="s">
        <v>486</v>
      </c>
      <c r="K24" s="226">
        <v>-0.24399999999999999</v>
      </c>
      <c r="L24" s="226">
        <v>0.21</v>
      </c>
      <c r="M24" s="226">
        <v>1</v>
      </c>
      <c r="N24" s="226">
        <v>1</v>
      </c>
      <c r="O24" s="226">
        <v>0</v>
      </c>
      <c r="P24" s="226">
        <v>0.01</v>
      </c>
    </row>
    <row r="25" spans="2:16" ht="15" customHeight="1" x14ac:dyDescent="0.45">
      <c r="B25" s="227" t="s">
        <v>474</v>
      </c>
      <c r="C25" s="228"/>
      <c r="D25" s="228"/>
      <c r="E25" s="229">
        <f t="shared" ref="E25:P25" si="2">IFERROR(MEDIAN(E17:E24),"na")</f>
        <v>5.75</v>
      </c>
      <c r="F25" s="229">
        <f t="shared" si="2"/>
        <v>4.5999999999999996</v>
      </c>
      <c r="G25" s="229">
        <f t="shared" si="2"/>
        <v>9.5</v>
      </c>
      <c r="H25" s="229">
        <f t="shared" si="2"/>
        <v>8.3000000000000007</v>
      </c>
      <c r="I25" s="229">
        <f t="shared" si="2"/>
        <v>21.6</v>
      </c>
      <c r="J25" s="229">
        <f t="shared" si="2"/>
        <v>13.9</v>
      </c>
      <c r="K25" s="230">
        <f t="shared" si="2"/>
        <v>0.13</v>
      </c>
      <c r="L25" s="230">
        <f t="shared" si="2"/>
        <v>0.22</v>
      </c>
      <c r="M25" s="230">
        <f t="shared" si="2"/>
        <v>0.88500000000000001</v>
      </c>
      <c r="N25" s="230">
        <f t="shared" si="2"/>
        <v>0.88500000000000001</v>
      </c>
      <c r="O25" s="230">
        <f t="shared" si="2"/>
        <v>0.33999999999999997</v>
      </c>
      <c r="P25" s="230">
        <f t="shared" si="2"/>
        <v>0.41000000000000003</v>
      </c>
    </row>
    <row r="26" spans="2:16" ht="15" customHeight="1" x14ac:dyDescent="0.45">
      <c r="B26" s="227" t="s">
        <v>475</v>
      </c>
      <c r="C26" s="228"/>
      <c r="D26" s="228"/>
      <c r="E26" s="229">
        <f t="shared" ref="E26:P26" si="3">IFERROR(AVERAGE(E17:E24),"na")</f>
        <v>7.2</v>
      </c>
      <c r="F26" s="229">
        <f t="shared" si="3"/>
        <v>5.95</v>
      </c>
      <c r="G26" s="229">
        <f t="shared" si="3"/>
        <v>18.985714285714284</v>
      </c>
      <c r="H26" s="229">
        <f t="shared" si="3"/>
        <v>16.585714285714285</v>
      </c>
      <c r="I26" s="229">
        <f t="shared" si="3"/>
        <v>20.328571428571429</v>
      </c>
      <c r="J26" s="229">
        <f t="shared" si="3"/>
        <v>15.41666666666667</v>
      </c>
      <c r="K26" s="230">
        <f t="shared" si="3"/>
        <v>8.5375000000000006E-2</v>
      </c>
      <c r="L26" s="230">
        <f t="shared" si="3"/>
        <v>0.21000000000000002</v>
      </c>
      <c r="M26" s="230">
        <f t="shared" si="3"/>
        <v>0.65024999999999999</v>
      </c>
      <c r="N26" s="230">
        <f t="shared" si="3"/>
        <v>0.65024999999999999</v>
      </c>
      <c r="O26" s="230">
        <f t="shared" si="3"/>
        <v>0.20224999999999999</v>
      </c>
      <c r="P26" s="230">
        <f t="shared" si="3"/>
        <v>0.29274999999999995</v>
      </c>
    </row>
    <row r="27" spans="2:16" ht="15" customHeight="1" x14ac:dyDescent="0.45"/>
    <row r="28" spans="2:16" ht="15" customHeight="1" x14ac:dyDescent="0.45">
      <c r="B28" s="231" t="s">
        <v>487</v>
      </c>
      <c r="C28" s="231"/>
      <c r="D28" s="231"/>
      <c r="E28" s="231"/>
      <c r="F28" s="231"/>
      <c r="G28" s="231"/>
      <c r="H28" s="231"/>
      <c r="I28" s="231"/>
      <c r="J28" s="231"/>
      <c r="K28" s="231"/>
      <c r="L28" s="231"/>
      <c r="M28" s="231"/>
      <c r="N28" s="231"/>
      <c r="O28" s="231"/>
      <c r="P28" s="231"/>
    </row>
    <row r="29" spans="2:16" ht="15" customHeight="1" x14ac:dyDescent="0.45">
      <c r="B29" s="167" t="s">
        <v>488</v>
      </c>
      <c r="C29" s="224">
        <v>15947</v>
      </c>
      <c r="D29" s="224">
        <v>16709</v>
      </c>
      <c r="E29" s="225">
        <v>5.2</v>
      </c>
      <c r="F29" s="225">
        <v>5.0999999999999996</v>
      </c>
      <c r="G29" s="225">
        <v>18.600000000000001</v>
      </c>
      <c r="H29" s="225">
        <v>18</v>
      </c>
      <c r="I29" s="225">
        <v>13.1</v>
      </c>
      <c r="J29" s="225">
        <v>12.7</v>
      </c>
      <c r="K29" s="226">
        <v>0</v>
      </c>
      <c r="L29" s="226">
        <v>0.03</v>
      </c>
      <c r="M29" s="226">
        <v>0.28000000000000003</v>
      </c>
      <c r="N29" s="226">
        <v>0.28000000000000003</v>
      </c>
      <c r="O29" s="226">
        <v>0.4</v>
      </c>
      <c r="P29" s="226">
        <v>0.4</v>
      </c>
    </row>
    <row r="30" spans="2:16" ht="15" customHeight="1" x14ac:dyDescent="0.45">
      <c r="B30" s="167" t="s">
        <v>489</v>
      </c>
      <c r="C30" s="224">
        <v>17466</v>
      </c>
      <c r="D30" s="224">
        <v>20567</v>
      </c>
      <c r="E30" s="225">
        <v>2.7</v>
      </c>
      <c r="F30" s="225">
        <v>2.6</v>
      </c>
      <c r="G30" s="225">
        <v>8.6999999999999993</v>
      </c>
      <c r="H30" s="225">
        <v>8.3000000000000007</v>
      </c>
      <c r="I30" s="225">
        <v>11.3</v>
      </c>
      <c r="J30" s="225">
        <v>10.5</v>
      </c>
      <c r="K30" s="226">
        <v>0.05</v>
      </c>
      <c r="L30" s="226">
        <v>0.05</v>
      </c>
      <c r="M30" s="226">
        <v>0.31</v>
      </c>
      <c r="N30" s="226">
        <v>0.31</v>
      </c>
      <c r="O30" s="226">
        <v>0.24</v>
      </c>
      <c r="P30" s="226">
        <v>0.25</v>
      </c>
    </row>
    <row r="31" spans="2:16" ht="15" customHeight="1" x14ac:dyDescent="0.45">
      <c r="B31" s="167" t="s">
        <v>490</v>
      </c>
      <c r="C31" s="224">
        <v>16470</v>
      </c>
      <c r="D31" s="224">
        <v>23737</v>
      </c>
      <c r="E31" s="225">
        <v>3.5</v>
      </c>
      <c r="F31" s="225">
        <v>3.4</v>
      </c>
      <c r="G31" s="225">
        <v>7.3</v>
      </c>
      <c r="H31" s="225">
        <v>7</v>
      </c>
      <c r="I31" s="225">
        <v>8.9</v>
      </c>
      <c r="J31" s="225">
        <v>8.3000000000000007</v>
      </c>
      <c r="K31" s="226">
        <v>0.05</v>
      </c>
      <c r="L31" s="226">
        <v>0.08</v>
      </c>
      <c r="M31" s="226">
        <v>0.48</v>
      </c>
      <c r="N31" s="226">
        <v>0.48</v>
      </c>
      <c r="O31" s="226">
        <v>0.4</v>
      </c>
      <c r="P31" s="226">
        <v>0.4</v>
      </c>
    </row>
    <row r="32" spans="2:16" ht="15" customHeight="1" x14ac:dyDescent="0.45">
      <c r="B32" s="167" t="s">
        <v>491</v>
      </c>
      <c r="C32" s="224">
        <v>2350</v>
      </c>
      <c r="D32" s="224">
        <v>4200</v>
      </c>
      <c r="E32" s="225">
        <v>4.5999999999999996</v>
      </c>
      <c r="F32" s="225" t="s">
        <v>486</v>
      </c>
      <c r="G32" s="225" t="s">
        <v>486</v>
      </c>
      <c r="H32" s="225" t="s">
        <v>486</v>
      </c>
      <c r="I32" s="225">
        <v>10.199999999999999</v>
      </c>
      <c r="J32" s="225" t="s">
        <v>486</v>
      </c>
      <c r="K32" s="226" t="s">
        <v>486</v>
      </c>
      <c r="L32" s="226" t="s">
        <v>486</v>
      </c>
      <c r="M32" s="226" t="s">
        <v>486</v>
      </c>
      <c r="N32" s="226" t="s">
        <v>486</v>
      </c>
      <c r="O32" s="226">
        <v>0.45</v>
      </c>
      <c r="P32" s="226" t="s">
        <v>486</v>
      </c>
    </row>
    <row r="33" spans="2:16" ht="15" customHeight="1" x14ac:dyDescent="0.45">
      <c r="B33" s="167" t="s">
        <v>492</v>
      </c>
      <c r="C33" s="224">
        <v>1389</v>
      </c>
      <c r="D33" s="224">
        <v>3239</v>
      </c>
      <c r="E33" s="225">
        <v>3.5</v>
      </c>
      <c r="F33" s="225" t="s">
        <v>486</v>
      </c>
      <c r="G33" s="225" t="s">
        <v>486</v>
      </c>
      <c r="H33" s="225" t="s">
        <v>486</v>
      </c>
      <c r="I33" s="225">
        <v>7.9</v>
      </c>
      <c r="J33" s="225" t="s">
        <v>486</v>
      </c>
      <c r="K33" s="226" t="s">
        <v>486</v>
      </c>
      <c r="L33" s="226" t="s">
        <v>486</v>
      </c>
      <c r="M33" s="226" t="s">
        <v>486</v>
      </c>
      <c r="N33" s="226" t="s">
        <v>486</v>
      </c>
      <c r="O33" s="226">
        <v>0.45</v>
      </c>
      <c r="P33" s="226" t="s">
        <v>486</v>
      </c>
    </row>
    <row r="34" spans="2:16" ht="15" customHeight="1" x14ac:dyDescent="0.45">
      <c r="B34" s="227" t="s">
        <v>493</v>
      </c>
      <c r="C34" s="228"/>
      <c r="D34" s="228"/>
      <c r="E34" s="229">
        <f>IFERROR(MEDIAN(E29:E31),"na")</f>
        <v>3.5</v>
      </c>
      <c r="F34" s="229">
        <f t="shared" ref="F34:P34" si="4">IFERROR(MEDIAN(F29:F31),"na")</f>
        <v>3.4</v>
      </c>
      <c r="G34" s="229">
        <f t="shared" si="4"/>
        <v>8.6999999999999993</v>
      </c>
      <c r="H34" s="229">
        <f t="shared" si="4"/>
        <v>8.3000000000000007</v>
      </c>
      <c r="I34" s="229">
        <f t="shared" si="4"/>
        <v>11.3</v>
      </c>
      <c r="J34" s="229">
        <f t="shared" si="4"/>
        <v>10.5</v>
      </c>
      <c r="K34" s="229">
        <f t="shared" si="4"/>
        <v>0.05</v>
      </c>
      <c r="L34" s="229">
        <f t="shared" si="4"/>
        <v>0.05</v>
      </c>
      <c r="M34" s="229">
        <f t="shared" si="4"/>
        <v>0.31</v>
      </c>
      <c r="N34" s="229">
        <f t="shared" si="4"/>
        <v>0.31</v>
      </c>
      <c r="O34" s="229">
        <f t="shared" si="4"/>
        <v>0.4</v>
      </c>
      <c r="P34" s="229">
        <f t="shared" si="4"/>
        <v>0.4</v>
      </c>
    </row>
    <row r="35" spans="2:16" ht="15" customHeight="1" x14ac:dyDescent="0.45">
      <c r="B35" s="227" t="s">
        <v>494</v>
      </c>
      <c r="C35" s="228"/>
      <c r="D35" s="228"/>
      <c r="E35" s="229">
        <f>IFERROR(AVERAGE(E29:E31),"na")</f>
        <v>3.8000000000000003</v>
      </c>
      <c r="F35" s="229">
        <f t="shared" ref="F35:P35" si="5">IFERROR(AVERAGE(F29:F31),"na")</f>
        <v>3.6999999999999997</v>
      </c>
      <c r="G35" s="229">
        <f t="shared" si="5"/>
        <v>11.533333333333333</v>
      </c>
      <c r="H35" s="229">
        <f t="shared" si="5"/>
        <v>11.1</v>
      </c>
      <c r="I35" s="229">
        <f t="shared" si="5"/>
        <v>11.1</v>
      </c>
      <c r="J35" s="229">
        <f t="shared" si="5"/>
        <v>10.5</v>
      </c>
      <c r="K35" s="229">
        <f t="shared" si="5"/>
        <v>3.3333333333333333E-2</v>
      </c>
      <c r="L35" s="229">
        <f t="shared" si="5"/>
        <v>5.3333333333333337E-2</v>
      </c>
      <c r="M35" s="229">
        <f t="shared" si="5"/>
        <v>0.35666666666666669</v>
      </c>
      <c r="N35" s="229">
        <f t="shared" si="5"/>
        <v>0.35666666666666669</v>
      </c>
      <c r="O35" s="229">
        <f t="shared" si="5"/>
        <v>0.34666666666666668</v>
      </c>
      <c r="P35" s="229">
        <f t="shared" si="5"/>
        <v>0.35000000000000003</v>
      </c>
    </row>
    <row r="36" spans="2:16" ht="15" customHeight="1" x14ac:dyDescent="0.45"/>
    <row r="37" spans="2:16" ht="15" customHeight="1" x14ac:dyDescent="0.45">
      <c r="B37" s="231" t="s">
        <v>495</v>
      </c>
      <c r="C37" s="231"/>
      <c r="D37" s="231"/>
      <c r="E37" s="231"/>
      <c r="F37" s="231"/>
      <c r="G37" s="231"/>
      <c r="H37" s="231"/>
      <c r="I37" s="231"/>
      <c r="J37" s="231"/>
      <c r="K37" s="231"/>
      <c r="L37" s="231"/>
      <c r="M37" s="231"/>
      <c r="N37" s="231"/>
      <c r="O37" s="231"/>
      <c r="P37" s="231"/>
    </row>
    <row r="38" spans="2:16" ht="15" customHeight="1" x14ac:dyDescent="0.45">
      <c r="B38" s="167" t="s">
        <v>496</v>
      </c>
      <c r="C38" s="224">
        <v>16127</v>
      </c>
      <c r="D38" s="224">
        <v>14626</v>
      </c>
      <c r="E38" s="225">
        <v>4.8</v>
      </c>
      <c r="F38" s="225">
        <v>3.6</v>
      </c>
      <c r="G38" s="225">
        <v>59.2</v>
      </c>
      <c r="H38" s="225">
        <v>44.2</v>
      </c>
      <c r="I38" s="225">
        <v>23</v>
      </c>
      <c r="J38" s="225">
        <v>15.7</v>
      </c>
      <c r="K38" s="226">
        <v>0.11</v>
      </c>
      <c r="L38" s="226">
        <v>0.34</v>
      </c>
      <c r="M38" s="226">
        <v>0.08</v>
      </c>
      <c r="N38" s="226">
        <v>0.08</v>
      </c>
      <c r="O38" s="226">
        <v>0.21</v>
      </c>
      <c r="P38" s="226">
        <v>0.23</v>
      </c>
    </row>
    <row r="39" spans="2:16" ht="15" customHeight="1" x14ac:dyDescent="0.45">
      <c r="B39" s="227" t="s">
        <v>474</v>
      </c>
      <c r="C39" s="228"/>
      <c r="D39" s="228"/>
      <c r="E39" s="229">
        <f t="shared" ref="E39:P39" si="6">IFERROR(MEDIAN(E38:E38),"na")</f>
        <v>4.8</v>
      </c>
      <c r="F39" s="229">
        <f t="shared" si="6"/>
        <v>3.6</v>
      </c>
      <c r="G39" s="229">
        <f t="shared" si="6"/>
        <v>59.2</v>
      </c>
      <c r="H39" s="229">
        <f t="shared" si="6"/>
        <v>44.2</v>
      </c>
      <c r="I39" s="229">
        <f t="shared" si="6"/>
        <v>23</v>
      </c>
      <c r="J39" s="229">
        <f t="shared" si="6"/>
        <v>15.7</v>
      </c>
      <c r="K39" s="230">
        <f t="shared" si="6"/>
        <v>0.11</v>
      </c>
      <c r="L39" s="230">
        <f t="shared" si="6"/>
        <v>0.34</v>
      </c>
      <c r="M39" s="230">
        <f t="shared" si="6"/>
        <v>0.08</v>
      </c>
      <c r="N39" s="230">
        <f t="shared" si="6"/>
        <v>0.08</v>
      </c>
      <c r="O39" s="230">
        <f t="shared" si="6"/>
        <v>0.21</v>
      </c>
      <c r="P39" s="230">
        <f t="shared" si="6"/>
        <v>0.23</v>
      </c>
    </row>
    <row r="40" spans="2:16" ht="15" customHeight="1" x14ac:dyDescent="0.45"/>
    <row r="41" spans="2:16" ht="15" customHeight="1" x14ac:dyDescent="0.45">
      <c r="B41" s="231" t="s">
        <v>497</v>
      </c>
      <c r="C41" s="231"/>
      <c r="D41" s="231"/>
      <c r="E41" s="231"/>
      <c r="F41" s="231"/>
      <c r="G41" s="231"/>
      <c r="H41" s="231"/>
      <c r="I41" s="231"/>
      <c r="J41" s="231"/>
      <c r="K41" s="231"/>
      <c r="L41" s="231"/>
      <c r="M41" s="231"/>
      <c r="N41" s="231"/>
      <c r="O41" s="231"/>
      <c r="P41" s="231"/>
    </row>
    <row r="42" spans="2:16" ht="15" customHeight="1" x14ac:dyDescent="0.45">
      <c r="B42" s="167" t="s">
        <v>498</v>
      </c>
      <c r="C42" s="224">
        <v>1382</v>
      </c>
      <c r="D42" s="224">
        <v>1382</v>
      </c>
      <c r="E42" s="225" t="s">
        <v>486</v>
      </c>
      <c r="F42" s="225" t="s">
        <v>486</v>
      </c>
      <c r="G42" s="225" t="s">
        <v>486</v>
      </c>
      <c r="H42" s="225" t="s">
        <v>486</v>
      </c>
      <c r="I42" s="225" t="s">
        <v>486</v>
      </c>
      <c r="J42" s="225" t="s">
        <v>486</v>
      </c>
      <c r="K42" s="226" t="s">
        <v>486</v>
      </c>
      <c r="L42" s="226" t="s">
        <v>486</v>
      </c>
      <c r="M42" s="226" t="s">
        <v>486</v>
      </c>
      <c r="N42" s="226" t="s">
        <v>486</v>
      </c>
      <c r="O42" s="226" t="s">
        <v>486</v>
      </c>
      <c r="P42" s="226" t="s">
        <v>486</v>
      </c>
    </row>
    <row r="43" spans="2:16" ht="15" customHeight="1" x14ac:dyDescent="0.45">
      <c r="B43" s="167" t="s">
        <v>499</v>
      </c>
      <c r="C43" s="224">
        <v>7275</v>
      </c>
      <c r="D43" s="224">
        <v>7134</v>
      </c>
      <c r="E43" s="225">
        <v>8.6</v>
      </c>
      <c r="F43" s="225">
        <v>7.1</v>
      </c>
      <c r="G43" s="225">
        <v>8.6</v>
      </c>
      <c r="H43" s="225">
        <v>7.1</v>
      </c>
      <c r="I43" s="225">
        <v>17.2</v>
      </c>
      <c r="J43" s="225">
        <v>13</v>
      </c>
      <c r="K43" s="226">
        <v>0.64</v>
      </c>
      <c r="L43" s="226">
        <v>0.2</v>
      </c>
      <c r="M43" s="226">
        <v>1</v>
      </c>
      <c r="N43" s="226">
        <v>1</v>
      </c>
      <c r="O43" s="226">
        <v>0.5</v>
      </c>
      <c r="P43" s="226">
        <v>0.55000000000000004</v>
      </c>
    </row>
    <row r="44" spans="2:16" ht="15" customHeight="1" x14ac:dyDescent="0.45">
      <c r="B44" s="227" t="s">
        <v>474</v>
      </c>
      <c r="C44" s="228"/>
      <c r="D44" s="228"/>
      <c r="E44" s="229">
        <f t="shared" ref="E44:P44" si="7">IFERROR(MEDIAN(E42:E43),"na")</f>
        <v>8.6</v>
      </c>
      <c r="F44" s="229">
        <f t="shared" si="7"/>
        <v>7.1</v>
      </c>
      <c r="G44" s="229">
        <f t="shared" si="7"/>
        <v>8.6</v>
      </c>
      <c r="H44" s="229">
        <f t="shared" si="7"/>
        <v>7.1</v>
      </c>
      <c r="I44" s="229">
        <f t="shared" si="7"/>
        <v>17.2</v>
      </c>
      <c r="J44" s="229">
        <f t="shared" si="7"/>
        <v>13</v>
      </c>
      <c r="K44" s="230">
        <f t="shared" si="7"/>
        <v>0.64</v>
      </c>
      <c r="L44" s="230">
        <f t="shared" si="7"/>
        <v>0.2</v>
      </c>
      <c r="M44" s="230">
        <f t="shared" si="7"/>
        <v>1</v>
      </c>
      <c r="N44" s="230">
        <f t="shared" si="7"/>
        <v>1</v>
      </c>
      <c r="O44" s="230">
        <f t="shared" si="7"/>
        <v>0.5</v>
      </c>
      <c r="P44" s="230">
        <f t="shared" si="7"/>
        <v>0.55000000000000004</v>
      </c>
    </row>
    <row r="45" spans="2:16" ht="15" customHeight="1" x14ac:dyDescent="0.45"/>
    <row r="46" spans="2:16" ht="15" customHeight="1" x14ac:dyDescent="0.45">
      <c r="B46" s="231" t="s">
        <v>500</v>
      </c>
      <c r="C46" s="231"/>
      <c r="D46" s="231"/>
      <c r="E46" s="231"/>
      <c r="F46" s="231"/>
      <c r="G46" s="231"/>
      <c r="H46" s="231"/>
      <c r="I46" s="231"/>
      <c r="J46" s="231"/>
      <c r="K46" s="231"/>
      <c r="L46" s="231"/>
      <c r="M46" s="231"/>
      <c r="N46" s="231"/>
      <c r="O46" s="231"/>
      <c r="P46" s="231"/>
    </row>
    <row r="47" spans="2:16" ht="15" customHeight="1" x14ac:dyDescent="0.45">
      <c r="B47" s="167" t="s">
        <v>501</v>
      </c>
      <c r="C47" s="224">
        <v>45054</v>
      </c>
      <c r="D47" s="224">
        <v>51246</v>
      </c>
      <c r="E47" s="225">
        <v>14.6</v>
      </c>
      <c r="F47" s="225">
        <v>13.4</v>
      </c>
      <c r="G47" s="225">
        <v>17.600000000000001</v>
      </c>
      <c r="H47" s="225">
        <v>16.2</v>
      </c>
      <c r="I47" s="225">
        <v>23.5</v>
      </c>
      <c r="J47" s="225">
        <v>21.3</v>
      </c>
      <c r="K47" s="226">
        <v>0.12</v>
      </c>
      <c r="L47" s="226">
        <v>0.09</v>
      </c>
      <c r="M47" s="226">
        <v>0.83</v>
      </c>
      <c r="N47" s="226">
        <v>0.83</v>
      </c>
      <c r="O47" s="226">
        <v>0.62</v>
      </c>
      <c r="P47" s="226">
        <v>0.63</v>
      </c>
    </row>
    <row r="48" spans="2:16" ht="15" customHeight="1" x14ac:dyDescent="0.45">
      <c r="B48" s="167" t="s">
        <v>502</v>
      </c>
      <c r="C48" s="224">
        <v>86761</v>
      </c>
      <c r="D48" s="224">
        <v>92803</v>
      </c>
      <c r="E48" s="225">
        <v>11.3</v>
      </c>
      <c r="F48" s="225">
        <v>10.5</v>
      </c>
      <c r="G48" s="225">
        <v>15.1</v>
      </c>
      <c r="H48" s="225">
        <v>14.1</v>
      </c>
      <c r="I48" s="225">
        <v>21.4</v>
      </c>
      <c r="J48" s="225">
        <v>19.7</v>
      </c>
      <c r="K48" s="226">
        <v>7.0000000000000007E-2</v>
      </c>
      <c r="L48" s="226">
        <v>7.0000000000000007E-2</v>
      </c>
      <c r="M48" s="226">
        <v>0.74</v>
      </c>
      <c r="N48" s="226">
        <v>0.74</v>
      </c>
      <c r="O48" s="226">
        <v>0.53</v>
      </c>
      <c r="P48" s="226">
        <v>0.53</v>
      </c>
    </row>
    <row r="49" spans="2:16" ht="15" customHeight="1" x14ac:dyDescent="0.45">
      <c r="B49" s="167" t="s">
        <v>503</v>
      </c>
      <c r="C49" s="224">
        <v>129753</v>
      </c>
      <c r="D49" s="224">
        <v>146875</v>
      </c>
      <c r="E49" s="225">
        <v>9.6</v>
      </c>
      <c r="F49" s="225">
        <v>9.3000000000000007</v>
      </c>
      <c r="G49" s="225">
        <v>13.6</v>
      </c>
      <c r="H49" s="225">
        <v>13.3</v>
      </c>
      <c r="I49" s="225">
        <v>18</v>
      </c>
      <c r="J49" s="225">
        <v>17.600000000000001</v>
      </c>
      <c r="K49" s="226">
        <v>0</v>
      </c>
      <c r="L49" s="226">
        <v>0.02</v>
      </c>
      <c r="M49" s="226">
        <v>0.7</v>
      </c>
      <c r="N49" s="226">
        <v>0.7</v>
      </c>
      <c r="O49" s="226">
        <v>0.53</v>
      </c>
      <c r="P49" s="226">
        <v>0.53</v>
      </c>
    </row>
    <row r="50" spans="2:16" ht="15" customHeight="1" x14ac:dyDescent="0.45">
      <c r="B50" s="167" t="s">
        <v>504</v>
      </c>
      <c r="C50" s="224">
        <v>9252</v>
      </c>
      <c r="D50" s="224">
        <v>10519</v>
      </c>
      <c r="E50" s="225">
        <v>4.2</v>
      </c>
      <c r="F50" s="225">
        <v>4</v>
      </c>
      <c r="G50" s="225">
        <v>8.1999999999999993</v>
      </c>
      <c r="H50" s="225">
        <v>7.7</v>
      </c>
      <c r="I50" s="225">
        <v>11.5</v>
      </c>
      <c r="J50" s="225">
        <v>10.4</v>
      </c>
      <c r="K50" s="226">
        <v>0.06</v>
      </c>
      <c r="L50" s="226">
        <v>0.06</v>
      </c>
      <c r="M50" s="226">
        <v>0.51</v>
      </c>
      <c r="N50" s="226">
        <v>0.51</v>
      </c>
      <c r="O50" s="226">
        <v>0.37</v>
      </c>
      <c r="P50" s="226">
        <v>0.38</v>
      </c>
    </row>
    <row r="51" spans="2:16" ht="15" customHeight="1" x14ac:dyDescent="0.45">
      <c r="B51" s="167" t="s">
        <v>505</v>
      </c>
      <c r="C51" s="224">
        <v>6598</v>
      </c>
      <c r="D51" s="224">
        <v>7972</v>
      </c>
      <c r="E51" s="225">
        <v>3</v>
      </c>
      <c r="F51" s="225">
        <v>2.9</v>
      </c>
      <c r="G51" s="225">
        <v>4.9000000000000004</v>
      </c>
      <c r="H51" s="225">
        <v>4.7</v>
      </c>
      <c r="I51" s="225">
        <v>9.9</v>
      </c>
      <c r="J51" s="225">
        <v>9</v>
      </c>
      <c r="K51" s="226">
        <v>7.0000000000000007E-2</v>
      </c>
      <c r="L51" s="226">
        <v>0.06</v>
      </c>
      <c r="M51" s="226">
        <v>0.62</v>
      </c>
      <c r="N51" s="226">
        <v>0.62</v>
      </c>
      <c r="O51" s="226">
        <v>0.31</v>
      </c>
      <c r="P51" s="226">
        <v>0.32</v>
      </c>
    </row>
    <row r="52" spans="2:16" ht="15" customHeight="1" x14ac:dyDescent="0.45">
      <c r="B52" s="227" t="s">
        <v>474</v>
      </c>
      <c r="C52" s="228"/>
      <c r="D52" s="228"/>
      <c r="E52" s="229">
        <f t="shared" ref="E52:P52" si="8">IFERROR(MEDIAN(E47:E51),"na")</f>
        <v>9.6</v>
      </c>
      <c r="F52" s="229">
        <f t="shared" si="8"/>
        <v>9.3000000000000007</v>
      </c>
      <c r="G52" s="229">
        <f t="shared" si="8"/>
        <v>13.6</v>
      </c>
      <c r="H52" s="229">
        <f t="shared" si="8"/>
        <v>13.3</v>
      </c>
      <c r="I52" s="229">
        <f t="shared" si="8"/>
        <v>18</v>
      </c>
      <c r="J52" s="229">
        <f t="shared" si="8"/>
        <v>17.600000000000001</v>
      </c>
      <c r="K52" s="230">
        <f t="shared" si="8"/>
        <v>7.0000000000000007E-2</v>
      </c>
      <c r="L52" s="230">
        <f t="shared" si="8"/>
        <v>0.06</v>
      </c>
      <c r="M52" s="230">
        <f t="shared" si="8"/>
        <v>0.7</v>
      </c>
      <c r="N52" s="230">
        <f t="shared" si="8"/>
        <v>0.7</v>
      </c>
      <c r="O52" s="230">
        <f t="shared" si="8"/>
        <v>0.53</v>
      </c>
      <c r="P52" s="230">
        <f t="shared" si="8"/>
        <v>0.53</v>
      </c>
    </row>
    <row r="53" spans="2:16" ht="15" customHeight="1" x14ac:dyDescent="0.45">
      <c r="B53" s="227" t="s">
        <v>475</v>
      </c>
      <c r="C53" s="228"/>
      <c r="D53" s="228"/>
      <c r="E53" s="229">
        <f t="shared" ref="E53:P53" si="9">IFERROR(AVERAGE(E47:E51),"na")</f>
        <v>8.5400000000000009</v>
      </c>
      <c r="F53" s="229">
        <f t="shared" si="9"/>
        <v>8.02</v>
      </c>
      <c r="G53" s="229">
        <f t="shared" si="9"/>
        <v>11.879999999999999</v>
      </c>
      <c r="H53" s="229">
        <f t="shared" si="9"/>
        <v>11.2</v>
      </c>
      <c r="I53" s="229">
        <f t="shared" si="9"/>
        <v>16.860000000000003</v>
      </c>
      <c r="J53" s="229">
        <f t="shared" si="9"/>
        <v>15.6</v>
      </c>
      <c r="K53" s="230">
        <f t="shared" si="9"/>
        <v>6.4000000000000001E-2</v>
      </c>
      <c r="L53" s="230">
        <f t="shared" si="9"/>
        <v>0.06</v>
      </c>
      <c r="M53" s="230">
        <f t="shared" si="9"/>
        <v>0.67999999999999994</v>
      </c>
      <c r="N53" s="230">
        <f t="shared" si="9"/>
        <v>0.67999999999999994</v>
      </c>
      <c r="O53" s="230">
        <f t="shared" si="9"/>
        <v>0.47199999999999998</v>
      </c>
      <c r="P53" s="230">
        <f t="shared" si="9"/>
        <v>0.47800000000000004</v>
      </c>
    </row>
  </sheetData>
  <mergeCells count="3">
    <mergeCell ref="C6:C7"/>
    <mergeCell ref="D6:D7"/>
    <mergeCell ref="B6:B7"/>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59999389629810485"/>
  </sheetPr>
  <dimension ref="B2:I29"/>
  <sheetViews>
    <sheetView showGridLines="0" zoomScaleNormal="100" workbookViewId="0">
      <selection activeCell="D7" sqref="D7"/>
    </sheetView>
  </sheetViews>
  <sheetFormatPr defaultColWidth="8.6640625" defaultRowHeight="14.25" x14ac:dyDescent="0.45"/>
  <cols>
    <col min="1" max="1" width="3" customWidth="1"/>
    <col min="2" max="2" width="32" customWidth="1"/>
    <col min="3" max="8" width="13" customWidth="1"/>
    <col min="9" max="9" width="55" customWidth="1"/>
  </cols>
  <sheetData>
    <row r="2" spans="2:9" ht="19.5" customHeight="1" x14ac:dyDescent="0.6">
      <c r="B2" s="5" t="s">
        <v>459</v>
      </c>
    </row>
    <row r="4" spans="2:9" ht="18" customHeight="1" x14ac:dyDescent="0.45">
      <c r="B4" s="259" t="s">
        <v>235</v>
      </c>
      <c r="C4" s="259"/>
      <c r="D4" s="259"/>
      <c r="E4" s="259"/>
      <c r="F4" s="259"/>
      <c r="G4" s="259"/>
      <c r="H4" s="259"/>
      <c r="I4" t="s">
        <v>413</v>
      </c>
    </row>
    <row r="5" spans="2:9" ht="15" customHeight="1" x14ac:dyDescent="0.45">
      <c r="B5" s="6" t="s">
        <v>236</v>
      </c>
      <c r="C5" s="214">
        <f>+'Income Statement'!F6</f>
        <v>2027</v>
      </c>
      <c r="D5" s="214">
        <f>+C5+1</f>
        <v>2028</v>
      </c>
      <c r="E5" s="214">
        <f t="shared" ref="E5:G5" si="0">+D5+1</f>
        <v>2029</v>
      </c>
      <c r="F5" s="214">
        <f t="shared" si="0"/>
        <v>2030</v>
      </c>
      <c r="G5" s="214">
        <f t="shared" si="0"/>
        <v>2031</v>
      </c>
    </row>
    <row r="6" spans="2:9" ht="15" customHeight="1" x14ac:dyDescent="0.45">
      <c r="B6" s="159" t="s">
        <v>457</v>
      </c>
      <c r="C6" s="217">
        <f>+'P&amp;L'!F45</f>
        <v>450.62827453181103</v>
      </c>
      <c r="D6" s="217">
        <f>+'P&amp;L'!G45</f>
        <v>577.38483450679973</v>
      </c>
      <c r="E6" s="217">
        <f>+'P&amp;L'!H45</f>
        <v>855.23758816321993</v>
      </c>
      <c r="F6" s="217">
        <f>+E6 * (1+F7)</f>
        <v>906.55184345301313</v>
      </c>
      <c r="G6" s="217">
        <f>+F6 * (1+G7)</f>
        <v>979.0759909292542</v>
      </c>
    </row>
    <row r="7" spans="2:9" ht="15" customHeight="1" x14ac:dyDescent="0.45">
      <c r="B7" s="215" t="s">
        <v>440</v>
      </c>
      <c r="C7" s="196"/>
      <c r="D7" s="216">
        <f>+D6/C6-1</f>
        <v>0.2812885190275396</v>
      </c>
      <c r="E7" s="216">
        <f>+E6/D6-1</f>
        <v>0.48122627587501698</v>
      </c>
      <c r="F7" s="216">
        <v>0.06</v>
      </c>
      <c r="G7" s="216">
        <v>0.08</v>
      </c>
      <c r="I7" t="s">
        <v>454</v>
      </c>
    </row>
    <row r="8" spans="2:9" ht="15" customHeight="1" x14ac:dyDescent="0.45">
      <c r="B8" s="159" t="s">
        <v>237</v>
      </c>
      <c r="C8" s="218">
        <f>+-C6*$C$18</f>
        <v>-90.125654906362215</v>
      </c>
      <c r="D8" s="218">
        <f>+-D6*$C$18</f>
        <v>-115.47696690135996</v>
      </c>
      <c r="E8" s="218">
        <f t="shared" ref="D8:G8" si="1">+-E6*$C$18</f>
        <v>-171.047517632644</v>
      </c>
      <c r="F8" s="218">
        <f t="shared" si="1"/>
        <v>-181.31036869060264</v>
      </c>
      <c r="G8" s="218">
        <f t="shared" si="1"/>
        <v>-195.81519818585085</v>
      </c>
    </row>
    <row r="9" spans="2:9" ht="15" customHeight="1" x14ac:dyDescent="0.45">
      <c r="B9" s="159" t="s">
        <v>238</v>
      </c>
      <c r="C9" s="195">
        <f>+C6+C8</f>
        <v>360.5026196254488</v>
      </c>
      <c r="D9" s="195">
        <f t="shared" ref="D9:G9" si="2">+D6+D8</f>
        <v>461.90786760543978</v>
      </c>
      <c r="E9" s="195">
        <f t="shared" si="2"/>
        <v>684.19007053057589</v>
      </c>
      <c r="F9" s="195">
        <f t="shared" si="2"/>
        <v>725.24147476241046</v>
      </c>
      <c r="G9" s="195">
        <f t="shared" si="2"/>
        <v>783.26079274340339</v>
      </c>
    </row>
    <row r="10" spans="2:9" ht="15" customHeight="1" x14ac:dyDescent="0.45">
      <c r="B10" s="159" t="s">
        <v>239</v>
      </c>
      <c r="C10" s="155">
        <v>0</v>
      </c>
      <c r="D10" s="155">
        <v>0</v>
      </c>
      <c r="E10" s="155">
        <v>0</v>
      </c>
      <c r="F10" s="155">
        <v>0</v>
      </c>
      <c r="G10" s="155">
        <v>0</v>
      </c>
    </row>
    <row r="11" spans="2:9" ht="15" customHeight="1" x14ac:dyDescent="0.45">
      <c r="B11" s="159" t="s">
        <v>240</v>
      </c>
      <c r="C11" s="155">
        <v>0</v>
      </c>
      <c r="D11" s="155">
        <v>0</v>
      </c>
      <c r="E11" s="155">
        <v>0</v>
      </c>
      <c r="F11" s="155">
        <v>0</v>
      </c>
      <c r="G11" s="155">
        <v>0</v>
      </c>
    </row>
    <row r="12" spans="2:9" ht="15" customHeight="1" x14ac:dyDescent="0.45">
      <c r="B12" s="159" t="s">
        <v>241</v>
      </c>
      <c r="C12" s="155">
        <v>0</v>
      </c>
      <c r="D12" s="155">
        <v>0</v>
      </c>
      <c r="E12" s="155">
        <v>0</v>
      </c>
      <c r="F12" s="155">
        <v>0</v>
      </c>
      <c r="G12" s="155">
        <v>0</v>
      </c>
    </row>
    <row r="13" spans="2:9" ht="15" customHeight="1" x14ac:dyDescent="0.45">
      <c r="B13" s="159" t="s">
        <v>242</v>
      </c>
      <c r="C13" s="195">
        <f>+SUM(C9:C12)</f>
        <v>360.5026196254488</v>
      </c>
      <c r="D13" s="195">
        <f t="shared" ref="D13:G13" si="3">+SUM(D9:D12)</f>
        <v>461.90786760543978</v>
      </c>
      <c r="E13" s="195">
        <f t="shared" si="3"/>
        <v>684.19007053057589</v>
      </c>
      <c r="F13" s="195">
        <f t="shared" si="3"/>
        <v>725.24147476241046</v>
      </c>
      <c r="G13" s="195">
        <f t="shared" si="3"/>
        <v>783.26079274340339</v>
      </c>
    </row>
    <row r="14" spans="2:9" ht="15" customHeight="1" x14ac:dyDescent="0.45">
      <c r="B14" s="159" t="s">
        <v>243</v>
      </c>
      <c r="C14" s="155">
        <f>1 / ((1 + $C$19) ^ (C5-$C$5 +1))</f>
        <v>0.90909090909090906</v>
      </c>
      <c r="D14" s="155">
        <f t="shared" ref="D14:G14" si="4">1 / ((1 + $C$19) ^ (D5-$C$5 +1))</f>
        <v>0.82644628099173545</v>
      </c>
      <c r="E14" s="155">
        <f t="shared" si="4"/>
        <v>0.75131480090157754</v>
      </c>
      <c r="F14" s="155">
        <f t="shared" si="4"/>
        <v>0.68301345536507052</v>
      </c>
      <c r="G14" s="155">
        <f t="shared" si="4"/>
        <v>0.62092132305915493</v>
      </c>
    </row>
    <row r="15" spans="2:9" ht="15" customHeight="1" x14ac:dyDescent="0.45">
      <c r="B15" s="159" t="s">
        <v>244</v>
      </c>
      <c r="C15" s="141">
        <f>+C13*C14</f>
        <v>327.72965420495342</v>
      </c>
      <c r="D15" s="141">
        <f>+D13*D14</f>
        <v>381.7420393433386</v>
      </c>
      <c r="E15" s="141">
        <f t="shared" ref="E15:G15" si="5">+E13*E14</f>
        <v>514.0421266195159</v>
      </c>
      <c r="F15" s="141">
        <f t="shared" si="5"/>
        <v>495.34968565153355</v>
      </c>
      <c r="G15" s="141">
        <f t="shared" si="5"/>
        <v>486.34332773059657</v>
      </c>
    </row>
    <row r="17" spans="2:9" ht="15" customHeight="1" x14ac:dyDescent="0.45">
      <c r="B17" s="260" t="s">
        <v>245</v>
      </c>
      <c r="C17" s="260"/>
      <c r="D17" s="260"/>
      <c r="E17" s="260"/>
      <c r="F17" s="260"/>
      <c r="G17" s="260"/>
      <c r="H17" s="260"/>
    </row>
    <row r="18" spans="2:9" ht="15" customHeight="1" x14ac:dyDescent="0.45">
      <c r="B18" s="167" t="s">
        <v>455</v>
      </c>
      <c r="C18" s="221">
        <v>0.2</v>
      </c>
      <c r="I18" t="s">
        <v>456</v>
      </c>
    </row>
    <row r="19" spans="2:9" ht="15" customHeight="1" x14ac:dyDescent="0.45">
      <c r="B19" s="167" t="s">
        <v>246</v>
      </c>
      <c r="C19" s="221">
        <v>0.1</v>
      </c>
    </row>
    <row r="20" spans="2:9" ht="15" customHeight="1" x14ac:dyDescent="0.45">
      <c r="B20" s="167" t="s">
        <v>247</v>
      </c>
      <c r="C20" s="221">
        <v>2.5000000000000001E-2</v>
      </c>
    </row>
    <row r="21" spans="2:9" ht="15" customHeight="1" x14ac:dyDescent="0.45">
      <c r="B21" s="167" t="s">
        <v>248</v>
      </c>
      <c r="C21" s="219">
        <f>+SUM(C15:G15)</f>
        <v>2205.206833549938</v>
      </c>
    </row>
    <row r="22" spans="2:9" ht="15" customHeight="1" x14ac:dyDescent="0.45">
      <c r="B22" s="167" t="s">
        <v>458</v>
      </c>
      <c r="C22" s="222">
        <v>15</v>
      </c>
    </row>
    <row r="23" spans="2:9" ht="15" customHeight="1" x14ac:dyDescent="0.45">
      <c r="B23" s="167" t="s">
        <v>249</v>
      </c>
      <c r="C23" s="219">
        <f>+G6*C22</f>
        <v>14686.139863938814</v>
      </c>
    </row>
    <row r="24" spans="2:9" ht="15" customHeight="1" x14ac:dyDescent="0.45">
      <c r="B24" s="167" t="s">
        <v>250</v>
      </c>
      <c r="C24" s="219">
        <f>+C23*G14</f>
        <v>9118.9373949486853</v>
      </c>
    </row>
    <row r="25" spans="2:9" ht="15" customHeight="1" x14ac:dyDescent="0.45">
      <c r="B25" s="167" t="s">
        <v>251</v>
      </c>
      <c r="C25" s="219">
        <f>+C21+C24</f>
        <v>11324.144228498622</v>
      </c>
    </row>
    <row r="26" spans="2:9" ht="15" customHeight="1" x14ac:dyDescent="0.45">
      <c r="B26" s="167" t="s">
        <v>252</v>
      </c>
      <c r="C26" s="219">
        <f>+-Summary!C26</f>
        <v>-1553</v>
      </c>
    </row>
    <row r="27" spans="2:9" ht="15" customHeight="1" x14ac:dyDescent="0.45">
      <c r="B27" s="167" t="s">
        <v>253</v>
      </c>
      <c r="C27" s="219">
        <f>+C25+C26</f>
        <v>9771.1442284986224</v>
      </c>
    </row>
    <row r="28" spans="2:9" ht="15" customHeight="1" x14ac:dyDescent="0.45">
      <c r="B28" s="167" t="s">
        <v>254</v>
      </c>
      <c r="C28" s="207">
        <f>+Summary!C22</f>
        <v>212.718346</v>
      </c>
    </row>
    <row r="29" spans="2:9" x14ac:dyDescent="0.45">
      <c r="B29" s="167" t="s">
        <v>255</v>
      </c>
      <c r="C29" s="223">
        <f>+C27/C28</f>
        <v>45.934656846657802</v>
      </c>
    </row>
  </sheetData>
  <mergeCells count="2">
    <mergeCell ref="B4:H4"/>
    <mergeCell ref="B17:H17"/>
  </mergeCells>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H17"/>
  <sheetViews>
    <sheetView zoomScaleNormal="100" workbookViewId="0">
      <selection activeCell="A2" sqref="A2"/>
    </sheetView>
  </sheetViews>
  <sheetFormatPr defaultColWidth="8.6640625" defaultRowHeight="14.25" x14ac:dyDescent="0.45"/>
  <cols>
    <col min="1" max="1" width="3" customWidth="1"/>
    <col min="2" max="2" width="30" customWidth="1"/>
    <col min="3" max="5" width="16" customWidth="1"/>
    <col min="6" max="6" width="55" customWidth="1"/>
  </cols>
  <sheetData>
    <row r="2" spans="2:6" ht="19.5" customHeight="1" x14ac:dyDescent="0.6">
      <c r="B2" s="5" t="s">
        <v>275</v>
      </c>
    </row>
    <row r="3" spans="2:6" ht="15" customHeight="1" x14ac:dyDescent="0.45">
      <c r="B3" s="1" t="s">
        <v>276</v>
      </c>
    </row>
    <row r="5" spans="2:6" ht="18" customHeight="1" x14ac:dyDescent="0.45">
      <c r="B5" s="259" t="s">
        <v>277</v>
      </c>
      <c r="C5" s="259"/>
      <c r="D5" s="259"/>
      <c r="E5" s="259"/>
      <c r="F5" s="259"/>
    </row>
    <row r="6" spans="2:6" ht="15" customHeight="1" x14ac:dyDescent="0.45">
      <c r="B6" s="60" t="s">
        <v>278</v>
      </c>
      <c r="C6" s="60" t="s">
        <v>279</v>
      </c>
      <c r="D6" s="60" t="s">
        <v>280</v>
      </c>
      <c r="E6" s="60" t="s">
        <v>281</v>
      </c>
      <c r="F6" s="60" t="s">
        <v>282</v>
      </c>
    </row>
    <row r="7" spans="2:6" ht="15" customHeight="1" x14ac:dyDescent="0.45">
      <c r="B7" s="6" t="s">
        <v>283</v>
      </c>
      <c r="C7" s="64"/>
      <c r="D7" s="64"/>
      <c r="E7" s="63" t="str">
        <f>IFERROR(C7/D7-1,"-")</f>
        <v>-</v>
      </c>
      <c r="F7" s="3" t="s">
        <v>284</v>
      </c>
    </row>
    <row r="8" spans="2:6" ht="15" customHeight="1" x14ac:dyDescent="0.45">
      <c r="B8" s="6" t="s">
        <v>285</v>
      </c>
      <c r="C8" s="64"/>
      <c r="D8" s="64"/>
      <c r="E8" s="63" t="str">
        <f>IFERROR(C8/D8-1,"-")</f>
        <v>-</v>
      </c>
      <c r="F8" s="3" t="s">
        <v>284</v>
      </c>
    </row>
    <row r="9" spans="2:6" ht="15" customHeight="1" x14ac:dyDescent="0.45">
      <c r="B9" s="6" t="s">
        <v>286</v>
      </c>
      <c r="C9" s="64"/>
      <c r="D9" s="64"/>
      <c r="E9" s="63" t="str">
        <f>IFERROR(C9/D9-1,"-")</f>
        <v>-</v>
      </c>
      <c r="F9" s="3" t="s">
        <v>284</v>
      </c>
    </row>
    <row r="10" spans="2:6" ht="15" customHeight="1" x14ac:dyDescent="0.45">
      <c r="B10" s="6" t="s">
        <v>287</v>
      </c>
      <c r="C10" s="64"/>
      <c r="D10" s="64"/>
      <c r="E10" s="63" t="str">
        <f>IFERROR(C10/D10-1,"-")</f>
        <v>-</v>
      </c>
      <c r="F10" s="3" t="s">
        <v>284</v>
      </c>
    </row>
    <row r="13" spans="2:6" ht="18" customHeight="1" x14ac:dyDescent="0.45">
      <c r="B13" s="259" t="s">
        <v>288</v>
      </c>
      <c r="C13" s="259"/>
      <c r="D13" s="259"/>
      <c r="E13" s="259"/>
      <c r="F13" s="259"/>
    </row>
    <row r="14" spans="2:6" ht="15" customHeight="1" x14ac:dyDescent="0.45">
      <c r="B14" s="6" t="s">
        <v>289</v>
      </c>
      <c r="C14" s="261" t="s">
        <v>290</v>
      </c>
      <c r="D14" s="261"/>
      <c r="E14" s="261"/>
      <c r="F14" s="261"/>
    </row>
    <row r="17" spans="2:8" ht="15" customHeight="1" x14ac:dyDescent="0.45">
      <c r="B17" s="262" t="s">
        <v>3</v>
      </c>
      <c r="C17" s="262"/>
      <c r="D17" s="262"/>
      <c r="E17" s="262"/>
      <c r="F17" s="262"/>
      <c r="G17" s="262"/>
      <c r="H17" s="262"/>
    </row>
  </sheetData>
  <mergeCells count="4">
    <mergeCell ref="B5:F5"/>
    <mergeCell ref="B13:F13"/>
    <mergeCell ref="C14:F14"/>
    <mergeCell ref="B17:H1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18"/>
  <sheetViews>
    <sheetView zoomScaleNormal="100" workbookViewId="0"/>
  </sheetViews>
  <sheetFormatPr defaultColWidth="8.6640625" defaultRowHeight="14.25" x14ac:dyDescent="0.45"/>
  <cols>
    <col min="1" max="1" width="3" customWidth="1"/>
    <col min="2" max="6" width="16" customWidth="1"/>
    <col min="7" max="7" width="55" customWidth="1"/>
  </cols>
  <sheetData>
    <row r="2" spans="2:7" ht="19.5" customHeight="1" x14ac:dyDescent="0.6">
      <c r="B2" s="5" t="s">
        <v>291</v>
      </c>
    </row>
    <row r="3" spans="2:7" ht="15" customHeight="1" x14ac:dyDescent="0.45">
      <c r="B3" s="1" t="s">
        <v>292</v>
      </c>
    </row>
    <row r="5" spans="2:7" ht="18" customHeight="1" x14ac:dyDescent="0.45">
      <c r="B5" s="259" t="s">
        <v>293</v>
      </c>
      <c r="C5" s="259"/>
      <c r="D5" s="259"/>
      <c r="E5" s="259"/>
      <c r="F5" s="259"/>
      <c r="G5" s="259"/>
    </row>
    <row r="6" spans="2:7" ht="23.25" customHeight="1" x14ac:dyDescent="0.45">
      <c r="B6" s="61" t="s">
        <v>294</v>
      </c>
      <c r="C6" s="61" t="s">
        <v>278</v>
      </c>
      <c r="D6" s="61" t="s">
        <v>295</v>
      </c>
      <c r="E6" s="61" t="s">
        <v>296</v>
      </c>
      <c r="F6" s="61" t="s">
        <v>281</v>
      </c>
      <c r="G6" s="61" t="s">
        <v>297</v>
      </c>
    </row>
    <row r="7" spans="2:7" ht="15" customHeight="1" x14ac:dyDescent="0.45">
      <c r="B7" s="260" t="s">
        <v>234</v>
      </c>
      <c r="C7" s="260"/>
      <c r="D7" s="260"/>
      <c r="E7" s="260"/>
      <c r="F7" s="260"/>
      <c r="G7" s="260"/>
    </row>
    <row r="8" spans="2:7" ht="15" customHeight="1" x14ac:dyDescent="0.45">
      <c r="B8" s="2" t="s">
        <v>298</v>
      </c>
      <c r="C8" s="2" t="s">
        <v>274</v>
      </c>
      <c r="D8" s="62">
        <v>425</v>
      </c>
      <c r="E8" s="62">
        <v>441</v>
      </c>
      <c r="F8" s="65">
        <f>E8/D8-1</f>
        <v>3.7647058823529367E-2</v>
      </c>
      <c r="G8" s="2" t="s">
        <v>299</v>
      </c>
    </row>
    <row r="10" spans="2:7" ht="15" customHeight="1" x14ac:dyDescent="0.45">
      <c r="B10" s="3" t="s">
        <v>2</v>
      </c>
    </row>
    <row r="11" spans="2:7" ht="15" customHeight="1" x14ac:dyDescent="0.45">
      <c r="B11" s="3" t="s">
        <v>2</v>
      </c>
    </row>
    <row r="12" spans="2:7" ht="15" customHeight="1" x14ac:dyDescent="0.45">
      <c r="B12" s="3" t="s">
        <v>2</v>
      </c>
    </row>
    <row r="13" spans="2:7" ht="15" customHeight="1" x14ac:dyDescent="0.45">
      <c r="B13" s="3" t="s">
        <v>2</v>
      </c>
    </row>
    <row r="14" spans="2:7" ht="15" customHeight="1" x14ac:dyDescent="0.45">
      <c r="B14" s="3" t="s">
        <v>2</v>
      </c>
    </row>
    <row r="15" spans="2:7" ht="15" customHeight="1" x14ac:dyDescent="0.45">
      <c r="B15" s="3" t="s">
        <v>2</v>
      </c>
    </row>
    <row r="18" spans="2:8" ht="15" customHeight="1" x14ac:dyDescent="0.45">
      <c r="B18" s="262" t="s">
        <v>3</v>
      </c>
      <c r="C18" s="262"/>
      <c r="D18" s="262"/>
      <c r="E18" s="262"/>
      <c r="F18" s="262"/>
      <c r="G18" s="262"/>
      <c r="H18" s="262"/>
    </row>
  </sheetData>
  <mergeCells count="3">
    <mergeCell ref="B5:G5"/>
    <mergeCell ref="B7:G7"/>
    <mergeCell ref="B18:H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Summary</vt:lpstr>
      <vt:lpstr>Valuation</vt:lpstr>
      <vt:lpstr>P&amp;L</vt:lpstr>
      <vt:lpstr>Revenue Build</vt:lpstr>
      <vt:lpstr>Scenario &amp; Sensitivity</vt:lpstr>
      <vt:lpstr>P&amp;L Inputs &gt;&gt;</vt:lpstr>
      <vt:lpstr>Income Statement</vt:lpstr>
      <vt:lpstr>Balance Sheet</vt:lpstr>
      <vt:lpstr>Cash Flow Statement</vt:lpstr>
      <vt:lpstr>Rev Build Inputs &gt;&gt;</vt:lpstr>
      <vt:lpstr>Monthly Metrics</vt:lpstr>
      <vt:lpstr>Volatility Cycle Timeline</vt:lpstr>
      <vt:lpstr>Valuation Inputs &gt;&gt;</vt:lpstr>
      <vt:lpstr>Comps</vt:lpstr>
      <vt:lpstr>DCF</vt:lpstr>
      <vt:lpstr>11. Model vs. Street</vt:lpstr>
      <vt:lpstr>12. Historical Tracker</vt:lpstr>
      <vt:lpstr>'Monthly Metrics'!Print_Area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Andrew Hromada</cp:lastModifiedBy>
  <cp:revision>0</cp:revision>
  <dcterms:created xsi:type="dcterms:W3CDTF">2026-07-12T01:04:00Z</dcterms:created>
  <dcterms:modified xsi:type="dcterms:W3CDTF">2026-08-29T21:46:26Z</dcterms:modified>
  <dc:language>en-US</dc:language>
</cp:coreProperties>
</file>